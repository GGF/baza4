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11610" yWindow="-15" windowWidth="11445" windowHeight="9225"/>
  </bookViews>
  <sheets>
    <sheet name="Расчет" sheetId="1" r:id="rId1"/>
    <sheet name="Коэф" sheetId="2" r:id="rId2"/>
    <sheet name="Калькуляция" sheetId="6" r:id="rId3"/>
    <sheet name="Материалы" sheetId="3" r:id="rId4"/>
    <sheet name="ФОТ" sheetId="5" r:id="rId5"/>
    <sheet name="Трудоемкости" sheetId="4" r:id="rId6"/>
  </sheets>
  <functionGroups builtInGroupCount="17"/>
  <externalReferences>
    <externalReference r:id="rId7"/>
  </externalReferences>
  <definedNames>
    <definedName name="bigdrill">Расчет!$G$12</definedName>
    <definedName name="blockname">Расчет!$C$7</definedName>
    <definedName name="bsizex">Расчет!$C$16</definedName>
    <definedName name="bsizey">Расчет!$C$17</definedName>
    <definedName name="class">Расчет!$C$12</definedName>
    <definedName name="constr">Расчет!$G$8</definedName>
    <definedName name="first">Расчет!$C$9</definedName>
    <definedName name="frez_factor">Расчет!$G$21</definedName>
    <definedName name="frezcorner">Расчет!$G$20</definedName>
    <definedName name="fullname">Расчет!$C$5</definedName>
    <definedName name="gold">Расчет!$G$23</definedName>
    <definedName name="lamel">Расчет!$G$22</definedName>
    <definedName name="letter">Расчет!$C$6</definedName>
    <definedName name="mark">Расчет!$G$17</definedName>
    <definedName name="marktype">Расчет!$G$17</definedName>
    <definedName name="mask">Расчет!$G$16</definedName>
    <definedName name="N" comment="Количество_заготовок__">Расчет!$C$19</definedName>
    <definedName name="n_малое" comment="количество плат на заготовке">Расчет!$C$18</definedName>
    <definedName name="nib">Расчет!$C$18</definedName>
    <definedName name="numbers">Расчет!$C$8</definedName>
    <definedName name="nummask">Расчет!$G$15</definedName>
    <definedName name="priem">Расчет!$C$13</definedName>
    <definedName name="printarкраска">Материалы!$I$100</definedName>
    <definedName name="psizex">Расчет!$C$14</definedName>
    <definedName name="psizey">Расчет!$C$15</definedName>
    <definedName name="razr">Расчет!$G$19</definedName>
    <definedName name="rmark">Расчет!$G$18</definedName>
    <definedName name="smalldrill">Расчет!$G$11</definedName>
    <definedName name="srok">Расчет!$C$10</definedName>
    <definedName name="Sзаг" comment="Площадь заготовок">Расчет!$C$31</definedName>
    <definedName name="Sзагм2" comment="Площадь заготовок в м2">Расчет!$D$31</definedName>
    <definedName name="Sи" comment="Площадь иммерсионного золочения">Расчет!$G$23</definedName>
    <definedName name="Sпл" comment="Площадь плат">Расчет!$C$30</definedName>
    <definedName name="template_check">Расчет!$G$10</definedName>
    <definedName name="template_make">Расчет!$G$9</definedName>
    <definedName name="thickness">Расчет!$G$14</definedName>
    <definedName name="А" comment="длина заготовки">Расчет!$C$16</definedName>
    <definedName name="А1" comment="длина платы">Расчет!$C$14</definedName>
    <definedName name="базмат">Расчет!$G$13</definedName>
    <definedName name="В" comment="ширина заготовки">Расчет!$C$17</definedName>
    <definedName name="В1" comment="ширина платы">Расчет!$C$15</definedName>
    <definedName name="Время_конструкторов">Расчет!$G$8</definedName>
    <definedName name="Выбор_материалов">Материалы!$L$2:$P$131</definedName>
    <definedName name="Длина_ламелей">Расчет!$O$22</definedName>
    <definedName name="жидкаямаска">Материалы!$I$94</definedName>
    <definedName name="Заготовок_в_пакете">Коэф!$I$18</definedName>
    <definedName name="калийдецианоауреат">Материалы!$H$128</definedName>
    <definedName name="КалькуляцияТаблица">Калькуляция!$A$12:$C$19</definedName>
    <definedName name="Квг">Расчет!$C$25</definedName>
    <definedName name="Класс_точности">Расчет!$C$12</definedName>
    <definedName name="Км" comment="Коэф. сложности маскирования">Расчет!$C$29</definedName>
    <definedName name="колво_ламелей">Расчет!$M$22</definedName>
    <definedName name="Котрс">Коэф!$L$17</definedName>
    <definedName name="Котрф" comment="коэф фрезеровки">Коэф!$L$36</definedName>
    <definedName name="Коэфвыхгод">Коэф!$K$40:$L$42</definedName>
    <definedName name="Коэфстоиостизолота">Расчет!$P$22</definedName>
    <definedName name="Кп" comment="Коэфф. плотности и сложности">Расчет!$C$20</definedName>
    <definedName name="Кс" comment="коэф серийности">Расчет!$C$26</definedName>
    <definedName name="Кср" comment="Коэфф срочности">Расчет!$C$27</definedName>
    <definedName name="Кутр">Трудоемкости!$E$5</definedName>
    <definedName name="Кф" comment="Коэф сложности фрезеровки">Расчет!$G$21</definedName>
    <definedName name="ламели">Расчет!$G$22</definedName>
    <definedName name="материалы">Материалы!$I$64</definedName>
    <definedName name="Материалы_dropdownlist">Материалы!$M$2:$M$88</definedName>
    <definedName name="Материалы_всего">Материалы!$I$131</definedName>
    <definedName name="материалыимер">Материалы!$I$130</definedName>
    <definedName name="Наименование_платы">Расчет!$C$7</definedName>
    <definedName name="наклрасх">Расчет!$G$29</definedName>
    <definedName name="Нац_на_мат">Расчет!$G$33</definedName>
    <definedName name="наценкаПКИ">Расчет!$G$31</definedName>
    <definedName name="_xlnm.Print_Area" localSheetId="2">Калькуляция!$A$1:$C$31</definedName>
    <definedName name="_xlnm.Print_Area" localSheetId="1">Коэф!$B$1:$L$47</definedName>
    <definedName name="_xlnm.Print_Area" localSheetId="3">Материалы!$B$1:$I$135</definedName>
    <definedName name="_xlnm.Print_Area" localSheetId="0">Расчет!$A$1:$G$72</definedName>
    <definedName name="_xlnm.Print_Area" localSheetId="5">Трудоемкости!$A$1:$D$55</definedName>
    <definedName name="_xlnm.Print_Area" localSheetId="4">ФОТ!$B$1:$F$50</definedName>
    <definedName name="П">Расчет!$C$8</definedName>
    <definedName name="Первичное_изготовление">Расчет!$C$9</definedName>
    <definedName name="ПКИ">Материалы!$I$110</definedName>
    <definedName name="плановнакопл">Расчет!$G$30</definedName>
    <definedName name="пленка">Материалы!$I$80</definedName>
    <definedName name="приемка">Расчет!$C$13</definedName>
    <definedName name="Рз" comment="периметр заготовки">Расчет!$C$33</definedName>
    <definedName name="Рп" comment="периметр платы">Расчет!$C$32</definedName>
    <definedName name="Ручная_маркировка">Расчет!$G$18</definedName>
    <definedName name="Сжм" comment="Слоев жидкой маски">Расчет!$K$16</definedName>
    <definedName name="Сл3">Трудоемкости!$C$39</definedName>
    <definedName name="Сл4">Трудоемкости!$D$39</definedName>
    <definedName name="Слесобр">Расчет!$G$19</definedName>
    <definedName name="СлоевМаски">Расчет!$G$15</definedName>
    <definedName name="Сн" comment="Полная стоимость нормочаса">Расчет!$G$32</definedName>
    <definedName name="Соцналог">Расчет!$G$28</definedName>
    <definedName name="Срок_изготовления">Расчет!$C$10</definedName>
    <definedName name="Ссм" comment="Слоев сухой маски">Расчет!$K$15</definedName>
    <definedName name="СтоимостьМатериаловДляЗолота">Материалы!$C$120:$I$129</definedName>
    <definedName name="СтоимостьМатериаловДляМаркировкиПринтар">Материалы!$C$99:$I$99</definedName>
    <definedName name="СтоимостьМатериаловДляМаркировкиФМ">Материалы!$C$96:$I$96</definedName>
    <definedName name="СтоимостьМатериаловДляМаски">Материалы!$C$90,Материалы!$C$90:$I$90,Материалы!$C$93:$I$93,Материалы!$C$96:$I$96,Материалы!$C$99:$I$99</definedName>
    <definedName name="СтоимостьМатериаловДляМаскиЖМ">Материалы!$C$93:$I$93</definedName>
    <definedName name="СтоимостьМатериаловДляМаскиКМ">Материалы!$C$90:$I$90</definedName>
    <definedName name="СтоимостьМатериаловДляФШ">Материалы!$C$77:$I$79</definedName>
    <definedName name="СтоимостьМатериаловПКИ">Материалы!$C$108:$I$109</definedName>
    <definedName name="СтоимостьОсновныхМатериалов">Материалы!$C$16:$I$63</definedName>
    <definedName name="сухаямаска">Материалы!$I$91</definedName>
    <definedName name="Сф" comment="Слоев ФМ">Расчет!$K$17</definedName>
    <definedName name="Таблица1" comment="Коэфф. серийности">Коэф!$B$5:$C$43</definedName>
    <definedName name="Таблица2" comment="Коэф толщины текстолита">Коэф!$E$6:$F$11</definedName>
    <definedName name="Таблица3" comment="Коэфф срочности">Коэф!$E$19:$F$21</definedName>
    <definedName name="Таблица4" comment="Коэфф срочности повторного изготовления">Коэф!$E$28:$F$31</definedName>
    <definedName name="Таблица6">Коэф!$H$6:$L$9</definedName>
    <definedName name="Таблица7">Коэф!$H$13:$L$15</definedName>
    <definedName name="Таблица8" comment="Коэф от кличества фрезеруемых плат">Коэф!$H$23:$L$24</definedName>
    <definedName name="Таблица9" comment="коэф от толщины платы">Коэф!$H$28:$L$34</definedName>
    <definedName name="Тжм13">Трудоемкости!$C$43</definedName>
    <definedName name="Тжм14">Трудоемкости!$D$43</definedName>
    <definedName name="Тжм23">Трудоемкости!$C$44</definedName>
    <definedName name="Тжм24">Трудоемкости!$D$44</definedName>
    <definedName name="Тз">Трудоемкости!$C$52</definedName>
    <definedName name="типмаркировки">Расчет!$K$18</definedName>
    <definedName name="ТипМаски">Расчет!$G$16</definedName>
    <definedName name="типплаты">Расчет!$C$11</definedName>
    <definedName name="Тмр13">Трудоемкости!$C$47</definedName>
    <definedName name="Тмр14">Трудоемкости!$D$47</definedName>
    <definedName name="Тмр23">Трудоемкости!$C$48</definedName>
    <definedName name="Тмр24">Трудоемкости!$D$48</definedName>
    <definedName name="Толщина">Расчет!$G$14</definedName>
    <definedName name="Тр">Трудоемкости!$C$45</definedName>
    <definedName name="трудоём3">Трудоемкости!$C$33</definedName>
    <definedName name="трудоём4">Трудоемкости!$D$33</definedName>
    <definedName name="ТрудоемкостьДополнительныхОпераций">ФОТ!$C$40:$F$45</definedName>
    <definedName name="ТрудоемкостьОсновныхМатериалов">ФОТ!$C$17:$F$37</definedName>
    <definedName name="ТрудоемкостьПодготовкиПроизводства">ФОТ!$C$10:$F$14</definedName>
    <definedName name="труёмзол1пл">Расчет!$Q$22</definedName>
    <definedName name="Тсм13">Трудоемкости!$C$41</definedName>
    <definedName name="Тсм14">Трудоемкости!$D$41</definedName>
    <definedName name="Тсм23">Трудоемкости!$C$42</definedName>
    <definedName name="Тсм24">Трудоемкости!$D$42</definedName>
    <definedName name="ТТ">Расчет!$C$28</definedName>
    <definedName name="Тф1">Трудоемкости!$C$37</definedName>
    <definedName name="Тф1пл">Трудоемкости!$G$59</definedName>
    <definedName name="Тф2">Трудоемкости!$C$38</definedName>
    <definedName name="Тф2пл">Трудоемкости!$G$60</definedName>
    <definedName name="Тфм13">Трудоемкости!$C$50</definedName>
    <definedName name="Тфм14">Трудоемкости!$D$50</definedName>
    <definedName name="Тфм23">Трудоемкости!$C$51</definedName>
    <definedName name="Тфм24">Трудоемкости!$D$51</definedName>
    <definedName name="Фкон" comment="Фрезеровка по контуру">Расчет!$G$20</definedName>
    <definedName name="фммаркировка">Материалы!$I$97</definedName>
    <definedName name="ФОТ_всего">ФОТ!$F$48</definedName>
    <definedName name="ФОТнч" comment="Стоимость нормочаса без дополнительных">Расчет!$G$27</definedName>
    <definedName name="ФШи" comment="Изготовить фотошаблонов">Расчет!$G$9</definedName>
    <definedName name="ФШп" comment="Проверить фотошаблонов">Расчет!$G$10</definedName>
    <definedName name="Цена_За_штуку">Расчет!$G$71</definedName>
    <definedName name="Чо1" comment="Отверстий меньше 0.6">Расчет!$G$11</definedName>
    <definedName name="Чо2" comment="отверстий больше 0.6">Расчет!$G$12</definedName>
    <definedName name="Ширина_ламелей">Расчет!$N$22</definedName>
    <definedName name="Электроконтроль">Расчет!$G$70</definedName>
  </definedNames>
  <calcPr calcId="145621" iterateCount="1"/>
</workbook>
</file>

<file path=xl/calcChain.xml><?xml version="1.0" encoding="utf-8"?>
<calcChain xmlns="http://schemas.openxmlformats.org/spreadsheetml/2006/main">
  <c r="G63" i="3" l="1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79" i="3"/>
  <c r="G78" i="3"/>
  <c r="G77" i="3"/>
  <c r="G90" i="3"/>
  <c r="G93" i="3"/>
  <c r="G96" i="3"/>
  <c r="G99" i="3"/>
  <c r="G109" i="3"/>
  <c r="G108" i="3"/>
  <c r="G128" i="3"/>
  <c r="G127" i="3"/>
  <c r="G126" i="3"/>
  <c r="G125" i="3"/>
  <c r="G124" i="3"/>
  <c r="G123" i="3"/>
  <c r="G122" i="3"/>
  <c r="G121" i="3"/>
  <c r="G120" i="3"/>
  <c r="G129" i="3"/>
  <c r="D30" i="4" l="1"/>
  <c r="C30" i="4"/>
  <c r="G70" i="1" l="1"/>
  <c r="L49" i="1"/>
  <c r="G66" i="1" l="1"/>
  <c r="H69" i="1"/>
  <c r="E53" i="1"/>
  <c r="C41" i="3" l="1"/>
  <c r="J50" i="4" l="1"/>
  <c r="D36" i="3"/>
  <c r="G36" i="3" s="1"/>
  <c r="O19" i="3"/>
  <c r="P19" i="3" s="1"/>
  <c r="O20" i="3"/>
  <c r="P20" i="3" s="1"/>
  <c r="H109" i="3"/>
  <c r="C109" i="3"/>
  <c r="H108" i="3"/>
  <c r="C108" i="3"/>
  <c r="G32" i="1"/>
  <c r="C79" i="3"/>
  <c r="C129" i="3"/>
  <c r="C128" i="3"/>
  <c r="C127" i="3"/>
  <c r="C126" i="3"/>
  <c r="C125" i="3"/>
  <c r="C124" i="3"/>
  <c r="C123" i="3"/>
  <c r="C122" i="3"/>
  <c r="C121" i="3"/>
  <c r="C120" i="3"/>
  <c r="C99" i="3"/>
  <c r="C96" i="3"/>
  <c r="C93" i="3"/>
  <c r="C90" i="3"/>
  <c r="C78" i="3"/>
  <c r="C77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0" i="3"/>
  <c r="C39" i="3"/>
  <c r="C38" i="3"/>
  <c r="C37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H129" i="3"/>
  <c r="H128" i="3"/>
  <c r="P22" i="1" s="1"/>
  <c r="H127" i="3"/>
  <c r="H126" i="3"/>
  <c r="H125" i="3"/>
  <c r="H124" i="3"/>
  <c r="H123" i="3"/>
  <c r="H122" i="3"/>
  <c r="H121" i="3"/>
  <c r="H120" i="3"/>
  <c r="H99" i="3"/>
  <c r="H96" i="3"/>
  <c r="H93" i="3"/>
  <c r="H90" i="3"/>
  <c r="H79" i="3"/>
  <c r="H78" i="3"/>
  <c r="H77" i="3"/>
  <c r="O65" i="3"/>
  <c r="P65" i="3" s="1"/>
  <c r="O64" i="3"/>
  <c r="P64" i="3" s="1"/>
  <c r="H63" i="3"/>
  <c r="O63" i="3"/>
  <c r="P63" i="3" s="1"/>
  <c r="H62" i="3"/>
  <c r="O62" i="3"/>
  <c r="P62" i="3" s="1"/>
  <c r="H61" i="3"/>
  <c r="O61" i="3"/>
  <c r="P61" i="3" s="1"/>
  <c r="H60" i="3"/>
  <c r="O60" i="3"/>
  <c r="P60" i="3" s="1"/>
  <c r="H59" i="3"/>
  <c r="O59" i="3"/>
  <c r="P59" i="3" s="1"/>
  <c r="H58" i="3"/>
  <c r="O58" i="3"/>
  <c r="P58" i="3" s="1"/>
  <c r="H57" i="3"/>
  <c r="O57" i="3"/>
  <c r="P57" i="3" s="1"/>
  <c r="H56" i="3"/>
  <c r="O56" i="3"/>
  <c r="P56" i="3" s="1"/>
  <c r="H55" i="3"/>
  <c r="O55" i="3"/>
  <c r="P55" i="3" s="1"/>
  <c r="H54" i="3"/>
  <c r="O54" i="3"/>
  <c r="P54" i="3" s="1"/>
  <c r="H53" i="3"/>
  <c r="O53" i="3"/>
  <c r="P53" i="3" s="1"/>
  <c r="H52" i="3"/>
  <c r="O52" i="3"/>
  <c r="P52" i="3" s="1"/>
  <c r="H51" i="3"/>
  <c r="O51" i="3"/>
  <c r="P51" i="3" s="1"/>
  <c r="H50" i="3"/>
  <c r="O50" i="3"/>
  <c r="P50" i="3" s="1"/>
  <c r="H49" i="3"/>
  <c r="O49" i="3"/>
  <c r="P49" i="3" s="1"/>
  <c r="H48" i="3"/>
  <c r="O48" i="3"/>
  <c r="P48" i="3" s="1"/>
  <c r="H47" i="3"/>
  <c r="O47" i="3"/>
  <c r="P47" i="3" s="1"/>
  <c r="H46" i="3"/>
  <c r="O46" i="3"/>
  <c r="P46" i="3" s="1"/>
  <c r="H45" i="3"/>
  <c r="O45" i="3"/>
  <c r="P45" i="3" s="1"/>
  <c r="H44" i="3"/>
  <c r="O44" i="3"/>
  <c r="P44" i="3" s="1"/>
  <c r="H43" i="3"/>
  <c r="O43" i="3"/>
  <c r="P43" i="3" s="1"/>
  <c r="H42" i="3"/>
  <c r="O42" i="3"/>
  <c r="P42" i="3" s="1"/>
  <c r="H41" i="3"/>
  <c r="O41" i="3"/>
  <c r="P41" i="3" s="1"/>
  <c r="H40" i="3"/>
  <c r="O40" i="3"/>
  <c r="P40" i="3" s="1"/>
  <c r="H39" i="3"/>
  <c r="O39" i="3"/>
  <c r="P39" i="3" s="1"/>
  <c r="H38" i="3"/>
  <c r="O38" i="3"/>
  <c r="P38" i="3" s="1"/>
  <c r="H37" i="3"/>
  <c r="O37" i="3"/>
  <c r="P37" i="3" s="1"/>
  <c r="O36" i="3"/>
  <c r="P36" i="3" s="1"/>
  <c r="H35" i="3"/>
  <c r="O35" i="3"/>
  <c r="P35" i="3" s="1"/>
  <c r="H34" i="3"/>
  <c r="O34" i="3"/>
  <c r="P34" i="3" s="1"/>
  <c r="H33" i="3"/>
  <c r="O33" i="3"/>
  <c r="P33" i="3" s="1"/>
  <c r="H32" i="3"/>
  <c r="O32" i="3"/>
  <c r="P32" i="3" s="1"/>
  <c r="H31" i="3"/>
  <c r="O31" i="3"/>
  <c r="P31" i="3" s="1"/>
  <c r="H30" i="3"/>
  <c r="O30" i="3"/>
  <c r="P30" i="3" s="1"/>
  <c r="H29" i="3"/>
  <c r="O29" i="3"/>
  <c r="P29" i="3" s="1"/>
  <c r="H28" i="3"/>
  <c r="O28" i="3"/>
  <c r="P28" i="3" s="1"/>
  <c r="H27" i="3"/>
  <c r="O27" i="3"/>
  <c r="P27" i="3" s="1"/>
  <c r="H26" i="3"/>
  <c r="O26" i="3"/>
  <c r="P26" i="3" s="1"/>
  <c r="H25" i="3"/>
  <c r="O25" i="3"/>
  <c r="P25" i="3" s="1"/>
  <c r="H24" i="3"/>
  <c r="O24" i="3"/>
  <c r="P24" i="3" s="1"/>
  <c r="H23" i="3"/>
  <c r="O23" i="3"/>
  <c r="P23" i="3" s="1"/>
  <c r="H22" i="3"/>
  <c r="O22" i="3"/>
  <c r="P22" i="3" s="1"/>
  <c r="H21" i="3"/>
  <c r="O21" i="3"/>
  <c r="P21" i="3" s="1"/>
  <c r="H20" i="3"/>
  <c r="H19" i="3"/>
  <c r="O18" i="3"/>
  <c r="P18" i="3" s="1"/>
  <c r="H18" i="3"/>
  <c r="O17" i="3"/>
  <c r="P17" i="3" s="1"/>
  <c r="H17" i="3"/>
  <c r="O16" i="3"/>
  <c r="P16" i="3" s="1"/>
  <c r="H16" i="3"/>
  <c r="O15" i="3"/>
  <c r="P15" i="3" s="1"/>
  <c r="O14" i="3"/>
  <c r="P14" i="3" s="1"/>
  <c r="O13" i="3"/>
  <c r="P13" i="3" s="1"/>
  <c r="O12" i="3"/>
  <c r="O11" i="3"/>
  <c r="P11" i="3" s="1"/>
  <c r="O10" i="3"/>
  <c r="P10" i="3" s="1"/>
  <c r="O9" i="3"/>
  <c r="P9" i="3" s="1"/>
  <c r="O8" i="3"/>
  <c r="O7" i="3"/>
  <c r="P7" i="3" s="1"/>
  <c r="O6" i="3"/>
  <c r="P6" i="3" s="1"/>
  <c r="O5" i="3"/>
  <c r="P5" i="3" s="1"/>
  <c r="O4" i="3"/>
  <c r="P4" i="3" s="1"/>
  <c r="O3" i="3"/>
  <c r="P3" i="3" s="1"/>
  <c r="E38" i="1"/>
  <c r="E37" i="1"/>
  <c r="G37" i="1" s="1"/>
  <c r="C45" i="4"/>
  <c r="E43" i="5" s="1"/>
  <c r="F43" i="5" s="1"/>
  <c r="C38" i="4"/>
  <c r="D42" i="4"/>
  <c r="C42" i="4"/>
  <c r="D41" i="4"/>
  <c r="C41" i="4"/>
  <c r="M44" i="4"/>
  <c r="M43" i="4"/>
  <c r="M46" i="4"/>
  <c r="M45" i="4"/>
  <c r="C29" i="1"/>
  <c r="D37" i="4"/>
  <c r="C37" i="4"/>
  <c r="D38" i="4"/>
  <c r="D11" i="4"/>
  <c r="C11" i="4"/>
  <c r="C39" i="4"/>
  <c r="E54" i="1" s="1"/>
  <c r="D39" i="4"/>
  <c r="D13" i="4"/>
  <c r="C13" i="4"/>
  <c r="F12" i="4"/>
  <c r="E51" i="1"/>
  <c r="C52" i="4"/>
  <c r="E64" i="1" s="1"/>
  <c r="D32" i="4"/>
  <c r="C32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C22" i="4"/>
  <c r="D20" i="4"/>
  <c r="C20" i="4"/>
  <c r="D19" i="4"/>
  <c r="C19" i="4"/>
  <c r="D18" i="4"/>
  <c r="C18" i="4"/>
  <c r="D16" i="4"/>
  <c r="C16" i="4"/>
  <c r="D15" i="4"/>
  <c r="C15" i="4"/>
  <c r="D14" i="4"/>
  <c r="C14" i="4"/>
  <c r="B17" i="6"/>
  <c r="C25" i="1"/>
  <c r="F77" i="3" s="1"/>
  <c r="I77" i="3" s="1"/>
  <c r="C19" i="1"/>
  <c r="C26" i="1"/>
  <c r="K15" i="1"/>
  <c r="L22" i="1"/>
  <c r="K22" i="1"/>
  <c r="J22" i="1"/>
  <c r="K18" i="1"/>
  <c r="E44" i="5" s="1"/>
  <c r="F44" i="5" s="1"/>
  <c r="K17" i="1"/>
  <c r="K16" i="1"/>
  <c r="E58" i="1" s="1"/>
  <c r="E11" i="5"/>
  <c r="A5" i="6"/>
  <c r="B14" i="6"/>
  <c r="B13" i="6"/>
  <c r="C32" i="1"/>
  <c r="E52" i="1" s="1"/>
  <c r="E7" i="5"/>
  <c r="L34" i="2"/>
  <c r="L33" i="2"/>
  <c r="L32" i="2"/>
  <c r="L31" i="2"/>
  <c r="L30" i="2"/>
  <c r="L29" i="2"/>
  <c r="L28" i="2"/>
  <c r="L36" i="2"/>
  <c r="G53" i="1" s="1"/>
  <c r="H53" i="1" s="1"/>
  <c r="L24" i="2"/>
  <c r="L23" i="2"/>
  <c r="C27" i="1"/>
  <c r="E45" i="5"/>
  <c r="F45" i="5" s="1"/>
  <c r="E12" i="5"/>
  <c r="F12" i="5" s="1"/>
  <c r="G41" i="1"/>
  <c r="G38" i="1"/>
  <c r="G43" i="1"/>
  <c r="G44" i="1"/>
  <c r="E10" i="5"/>
  <c r="F10" i="5" s="1"/>
  <c r="E36" i="1"/>
  <c r="I18" i="2"/>
  <c r="I19" i="2" s="1"/>
  <c r="C28" i="1"/>
  <c r="C33" i="1"/>
  <c r="C30" i="1"/>
  <c r="B5" i="3"/>
  <c r="B5" i="5"/>
  <c r="L15" i="2"/>
  <c r="J19" i="2"/>
  <c r="L17" i="2" s="1"/>
  <c r="L14" i="2"/>
  <c r="L13" i="2"/>
  <c r="L9" i="2"/>
  <c r="L8" i="2"/>
  <c r="L7" i="2"/>
  <c r="L6" i="2"/>
  <c r="J18" i="2"/>
  <c r="A6" i="6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2" i="3"/>
  <c r="E14" i="5"/>
  <c r="F14" i="5" s="1"/>
  <c r="H60" i="1"/>
  <c r="H55" i="1"/>
  <c r="C31" i="1"/>
  <c r="F78" i="3"/>
  <c r="E43" i="1"/>
  <c r="G36" i="1"/>
  <c r="O22" i="1"/>
  <c r="G40" i="1"/>
  <c r="Q22" i="1"/>
  <c r="E42" i="1"/>
  <c r="G42" i="1" s="1"/>
  <c r="E61" i="1"/>
  <c r="G61" i="1" s="1"/>
  <c r="H61" i="1" s="1"/>
  <c r="E27" i="5"/>
  <c r="F27" i="5" s="1"/>
  <c r="E19" i="5"/>
  <c r="F19" i="5" s="1"/>
  <c r="E42" i="5"/>
  <c r="F42" i="5" s="1"/>
  <c r="M22" i="1"/>
  <c r="E20" i="3"/>
  <c r="F11" i="5"/>
  <c r="E36" i="3" l="1"/>
  <c r="E56" i="1"/>
  <c r="E29" i="5"/>
  <c r="F29" i="5" s="1"/>
  <c r="E31" i="5"/>
  <c r="F31" i="5" s="1"/>
  <c r="E33" i="5"/>
  <c r="F33" i="5" s="1"/>
  <c r="E37" i="5"/>
  <c r="F37" i="5" s="1"/>
  <c r="G54" i="1"/>
  <c r="H54" i="1" s="1"/>
  <c r="I78" i="3"/>
  <c r="E21" i="3"/>
  <c r="E22" i="5"/>
  <c r="F22" i="5" s="1"/>
  <c r="E30" i="5"/>
  <c r="F30" i="5" s="1"/>
  <c r="D31" i="4"/>
  <c r="D33" i="4" s="1"/>
  <c r="C31" i="4"/>
  <c r="G52" i="1"/>
  <c r="F128" i="3"/>
  <c r="I128" i="3" s="1"/>
  <c r="E26" i="5"/>
  <c r="F26" i="5" s="1"/>
  <c r="E36" i="5"/>
  <c r="F36" i="5" s="1"/>
  <c r="I108" i="3"/>
  <c r="E62" i="1"/>
  <c r="G62" i="1" s="1"/>
  <c r="H62" i="1" s="1"/>
  <c r="E20" i="5"/>
  <c r="F20" i="5" s="1"/>
  <c r="E17" i="5"/>
  <c r="F17" i="5" s="1"/>
  <c r="G64" i="1"/>
  <c r="H64" i="1" s="1"/>
  <c r="E25" i="5"/>
  <c r="F25" i="5" s="1"/>
  <c r="E23" i="5"/>
  <c r="F23" i="5" s="1"/>
  <c r="F79" i="3"/>
  <c r="N22" i="1"/>
  <c r="F109" i="3"/>
  <c r="I109" i="3" s="1"/>
  <c r="F108" i="3"/>
  <c r="E32" i="5"/>
  <c r="F32" i="5" s="1"/>
  <c r="J72" i="1"/>
  <c r="J73" i="1" s="1"/>
  <c r="J74" i="1" s="1"/>
  <c r="E41" i="5"/>
  <c r="F41" i="5" s="1"/>
  <c r="G58" i="1"/>
  <c r="H58" i="1" s="1"/>
  <c r="E13" i="5"/>
  <c r="F30" i="4"/>
  <c r="I79" i="3"/>
  <c r="I80" i="3" s="1"/>
  <c r="G39" i="1" s="1"/>
  <c r="G45" i="1" s="1"/>
  <c r="G56" i="1"/>
  <c r="H56" i="1" s="1"/>
  <c r="I22" i="1"/>
  <c r="E24" i="5"/>
  <c r="F24" i="5" s="1"/>
  <c r="E34" i="5"/>
  <c r="F34" i="5" s="1"/>
  <c r="E21" i="5"/>
  <c r="F21" i="5" s="1"/>
  <c r="E28" i="5"/>
  <c r="F28" i="5" s="1"/>
  <c r="D31" i="1"/>
  <c r="G51" i="1"/>
  <c r="E40" i="5"/>
  <c r="F40" i="5" s="1"/>
  <c r="H52" i="1"/>
  <c r="C36" i="3"/>
  <c r="H36" i="3"/>
  <c r="I110" i="3" l="1"/>
  <c r="F36" i="3"/>
  <c r="I36" i="3" s="1"/>
  <c r="E46" i="5"/>
  <c r="J82" i="1"/>
  <c r="J83" i="1" s="1"/>
  <c r="J84" i="1" s="1"/>
  <c r="E15" i="5"/>
  <c r="F13" i="5"/>
  <c r="F15" i="5" s="1"/>
  <c r="J75" i="1" s="1"/>
  <c r="K75" i="1" s="1"/>
  <c r="I58" i="1"/>
  <c r="F46" i="5"/>
  <c r="J85" i="1" s="1"/>
  <c r="F60" i="3"/>
  <c r="I60" i="3" s="1"/>
  <c r="F43" i="3"/>
  <c r="I43" i="3" s="1"/>
  <c r="F39" i="3"/>
  <c r="I39" i="3" s="1"/>
  <c r="F57" i="3"/>
  <c r="I57" i="3" s="1"/>
  <c r="F48" i="3"/>
  <c r="I48" i="3" s="1"/>
  <c r="F56" i="3"/>
  <c r="I56" i="3" s="1"/>
  <c r="B6" i="3"/>
  <c r="F35" i="3"/>
  <c r="I35" i="3" s="1"/>
  <c r="F51" i="3"/>
  <c r="I51" i="3" s="1"/>
  <c r="F127" i="3"/>
  <c r="I127" i="3" s="1"/>
  <c r="F32" i="3"/>
  <c r="I32" i="3" s="1"/>
  <c r="F53" i="3"/>
  <c r="I53" i="3" s="1"/>
  <c r="F121" i="3"/>
  <c r="I121" i="3" s="1"/>
  <c r="F44" i="3"/>
  <c r="I44" i="3" s="1"/>
  <c r="F42" i="3"/>
  <c r="I42" i="3" s="1"/>
  <c r="F126" i="3"/>
  <c r="I126" i="3" s="1"/>
  <c r="F20" i="3"/>
  <c r="I20" i="3" s="1"/>
  <c r="F96" i="3"/>
  <c r="I96" i="3" s="1"/>
  <c r="I97" i="3" s="1"/>
  <c r="F16" i="3"/>
  <c r="I16" i="3" s="1"/>
  <c r="F34" i="3"/>
  <c r="I34" i="3" s="1"/>
  <c r="F54" i="3"/>
  <c r="I54" i="3" s="1"/>
  <c r="F33" i="3"/>
  <c r="I33" i="3" s="1"/>
  <c r="F61" i="3"/>
  <c r="I61" i="3" s="1"/>
  <c r="F17" i="3"/>
  <c r="I17" i="3" s="1"/>
  <c r="F125" i="3"/>
  <c r="I125" i="3" s="1"/>
  <c r="F18" i="3"/>
  <c r="I18" i="3" s="1"/>
  <c r="F29" i="3"/>
  <c r="I29" i="3" s="1"/>
  <c r="F63" i="3"/>
  <c r="I63" i="3" s="1"/>
  <c r="F52" i="3"/>
  <c r="I52" i="3" s="1"/>
  <c r="F129" i="3"/>
  <c r="I129" i="3" s="1"/>
  <c r="F38" i="3"/>
  <c r="I38" i="3" s="1"/>
  <c r="F31" i="3"/>
  <c r="I31" i="3" s="1"/>
  <c r="F28" i="3"/>
  <c r="I28" i="3" s="1"/>
  <c r="F93" i="3"/>
  <c r="I93" i="3" s="1"/>
  <c r="I94" i="3" s="1"/>
  <c r="G59" i="1" s="1"/>
  <c r="F55" i="3"/>
  <c r="I55" i="3" s="1"/>
  <c r="F122" i="3"/>
  <c r="I122" i="3" s="1"/>
  <c r="F59" i="3"/>
  <c r="I59" i="3" s="1"/>
  <c r="F99" i="3"/>
  <c r="I99" i="3" s="1"/>
  <c r="I100" i="3" s="1"/>
  <c r="G63" i="1" s="1"/>
  <c r="F40" i="3"/>
  <c r="I40" i="3" s="1"/>
  <c r="F37" i="3"/>
  <c r="I37" i="3" s="1"/>
  <c r="F24" i="3"/>
  <c r="I24" i="3" s="1"/>
  <c r="F120" i="3"/>
  <c r="I120" i="3" s="1"/>
  <c r="F23" i="3"/>
  <c r="I23" i="3" s="1"/>
  <c r="F25" i="3"/>
  <c r="I25" i="3" s="1"/>
  <c r="F45" i="3"/>
  <c r="I45" i="3" s="1"/>
  <c r="F47" i="3"/>
  <c r="I47" i="3" s="1"/>
  <c r="F27" i="3"/>
  <c r="I27" i="3" s="1"/>
  <c r="F41" i="3"/>
  <c r="I41" i="3" s="1"/>
  <c r="F62" i="3"/>
  <c r="I62" i="3" s="1"/>
  <c r="F26" i="3"/>
  <c r="I26" i="3" s="1"/>
  <c r="F49" i="3"/>
  <c r="I49" i="3" s="1"/>
  <c r="F124" i="3"/>
  <c r="I124" i="3" s="1"/>
  <c r="F22" i="3"/>
  <c r="I22" i="3" s="1"/>
  <c r="F19" i="3"/>
  <c r="I19" i="3" s="1"/>
  <c r="F123" i="3"/>
  <c r="I123" i="3" s="1"/>
  <c r="F90" i="3"/>
  <c r="I90" i="3" s="1"/>
  <c r="I91" i="3" s="1"/>
  <c r="G57" i="1" s="1"/>
  <c r="F58" i="3"/>
  <c r="I58" i="3" s="1"/>
  <c r="F50" i="3"/>
  <c r="I50" i="3" s="1"/>
  <c r="F30" i="3"/>
  <c r="I30" i="3" s="1"/>
  <c r="F46" i="3"/>
  <c r="I46" i="3" s="1"/>
  <c r="E35" i="5"/>
  <c r="F35" i="5" s="1"/>
  <c r="C33" i="4"/>
  <c r="E50" i="1" s="1"/>
  <c r="G50" i="1" s="1"/>
  <c r="H50" i="1" s="1"/>
  <c r="F21" i="3"/>
  <c r="I21" i="3" s="1"/>
  <c r="E18" i="5"/>
  <c r="F18" i="5" s="1"/>
  <c r="H51" i="1"/>
  <c r="I130" i="3" l="1"/>
  <c r="G65" i="1" s="1"/>
  <c r="H65" i="1" s="1"/>
  <c r="I64" i="3"/>
  <c r="F38" i="5"/>
  <c r="J80" i="1" s="1"/>
  <c r="E38" i="5"/>
  <c r="E48" i="5" s="1"/>
  <c r="K85" i="1"/>
  <c r="J66" i="1"/>
  <c r="J77" i="1"/>
  <c r="J78" i="1" s="1"/>
  <c r="J79" i="1" s="1"/>
  <c r="I131" i="3" l="1"/>
  <c r="C15" i="6" s="1"/>
  <c r="G49" i="1"/>
  <c r="L66" i="1" s="1"/>
  <c r="K80" i="1"/>
  <c r="F48" i="5"/>
  <c r="J70" i="1" s="1"/>
  <c r="L67" i="1" l="1"/>
  <c r="G67" i="1"/>
  <c r="G68" i="1" s="1"/>
  <c r="J67" i="1" s="1"/>
  <c r="J68" i="1" s="1"/>
  <c r="J69" i="1" s="1"/>
  <c r="K70" i="1" s="1"/>
  <c r="G15" i="6"/>
  <c r="E15" i="6" s="1"/>
  <c r="G12" i="6"/>
  <c r="G13" i="6" s="1"/>
  <c r="G69" i="1" l="1"/>
  <c r="G71" i="1" s="1"/>
  <c r="I5" i="1" s="1"/>
  <c r="G14" i="6"/>
  <c r="G16" i="6" s="1"/>
  <c r="G17" i="6" s="1"/>
  <c r="G18" i="6" s="1"/>
  <c r="C18" i="6" l="1"/>
  <c r="C17" i="6" s="1"/>
  <c r="C16" i="6" s="1"/>
  <c r="E16" i="6" s="1"/>
  <c r="G19" i="6"/>
  <c r="C19" i="6"/>
  <c r="C12" i="6" l="1"/>
  <c r="E12" i="6" s="1"/>
  <c r="E19" i="6"/>
  <c r="E17" i="6"/>
  <c r="E18" i="6"/>
  <c r="C13" i="6" l="1"/>
  <c r="E13" i="6" s="1"/>
  <c r="C14" i="6"/>
  <c r="E14" i="6" s="1"/>
</calcChain>
</file>

<file path=xl/comments1.xml><?xml version="1.0" encoding="utf-8"?>
<comments xmlns="http://schemas.openxmlformats.org/spreadsheetml/2006/main">
  <authors>
    <author>Игорь Федоров</author>
  </authors>
  <commentList>
    <comment ref="C25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Влияет на материалы</t>
        </r>
      </text>
    </comment>
    <comment ref="E56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Умножением на количество слоев чтоб обнулялось при отсутствии</t>
        </r>
      </text>
    </comment>
    <comment ref="E58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Аналогично примечанию выше умножаем на количество слоев маски чтоб был ноль если нет маски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E20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E21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2.16 вест квадратный метр, а покупается килограммами</t>
        </r>
      </text>
    </comment>
    <comment ref="E10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</commentList>
</comments>
</file>

<file path=xl/comments3.xml><?xml version="1.0" encoding="utf-8"?>
<comments xmlns="http://schemas.openxmlformats.org/spreadsheetml/2006/main">
  <authors>
    <author>Игорь Федоров</author>
  </authors>
  <commentList>
    <comment ref="C3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
</t>
        </r>
      </text>
    </comment>
    <comment ref="D3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sharedStrings.xml><?xml version="1.0" encoding="utf-8"?>
<sst xmlns="http://schemas.openxmlformats.org/spreadsheetml/2006/main" count="622" uniqueCount="462">
  <si>
    <t>Заказчик</t>
  </si>
  <si>
    <t>Наименование платы</t>
  </si>
  <si>
    <t>Итого стоимость изготовления, руб, без НДС</t>
  </si>
  <si>
    <t>Всего, руб., без НДС:</t>
  </si>
  <si>
    <t>Класс точности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</si>
  <si>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</si>
  <si>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</si>
  <si>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</si>
  <si>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</si>
  <si>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</si>
  <si>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t>Таблица 1</t>
  </si>
  <si>
    <t>Таблица 2</t>
  </si>
  <si>
    <t>Таблица 3</t>
  </si>
  <si>
    <t>Таблица 4</t>
  </si>
  <si>
    <t xml:space="preserve">   Изготовление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</si>
  <si>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</si>
  <si>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>Размеры заготовки, дм:          длина,</t>
    </r>
    <r>
      <rPr>
        <b/>
        <sz val="10"/>
        <rFont val="Arial Cyr"/>
        <family val="2"/>
        <charset val="204"/>
      </rPr>
      <t xml:space="preserve"> А</t>
    </r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</si>
  <si>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</si>
  <si>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t>Сумма, руб.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</si>
  <si>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</si>
  <si>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</si>
  <si>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</si>
  <si>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7,5;10;15...</t>
    </r>
    <r>
      <rPr>
        <sz val="10"/>
        <rFont val="Arial Cyr"/>
        <family val="2"/>
        <charset val="204"/>
      </rPr>
      <t>)</t>
    </r>
  </si>
  <si>
    <t>Приложение. Справочные таблицы к расчету стоимости изготовления ДПП</t>
  </si>
  <si>
    <t>Цена</t>
  </si>
  <si>
    <t>№</t>
  </si>
  <si>
    <t>Наименование материала</t>
  </si>
  <si>
    <t xml:space="preserve">Ед. </t>
  </si>
  <si>
    <t>за ед.</t>
  </si>
  <si>
    <t>п/п</t>
  </si>
  <si>
    <t>измер.</t>
  </si>
  <si>
    <t>без НДС,</t>
  </si>
  <si>
    <t>м2/м2</t>
  </si>
  <si>
    <t>руб.</t>
  </si>
  <si>
    <t xml:space="preserve">Аммиак водный 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</si>
  <si>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</si>
  <si>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</si>
  <si>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</si>
  <si>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</si>
  <si>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</si>
  <si>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</si>
  <si>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</si>
  <si>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</si>
  <si>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Натрий углекислый </t>
  </si>
  <si>
    <t>Натрия гидроокись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</si>
  <si>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</si>
  <si>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</si>
  <si>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</si>
  <si>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</si>
  <si>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Припой ПОС-61</t>
  </si>
  <si>
    <t>Состав для удаления олова</t>
  </si>
  <si>
    <t>Сода кальцинированная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</si>
  <si>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</si>
  <si>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</si>
  <si>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</si>
  <si>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</si>
  <si>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</si>
  <si>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</si>
  <si>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г/м2,</t>
  </si>
  <si>
    <t xml:space="preserve">Удельная </t>
  </si>
  <si>
    <t>норма</t>
  </si>
  <si>
    <t>расхода,</t>
  </si>
  <si>
    <t>Стои-</t>
  </si>
  <si>
    <t>мость</t>
  </si>
  <si>
    <t>№п/п</t>
  </si>
  <si>
    <t>Наименование операции</t>
  </si>
  <si>
    <t>Зачистка заусенцев</t>
  </si>
  <si>
    <t>Получение рисунка схемы</t>
  </si>
  <si>
    <t>Ламинирование</t>
  </si>
  <si>
    <t>Экспонирование</t>
  </si>
  <si>
    <t>Проявление</t>
  </si>
  <si>
    <t>Ретуширование</t>
  </si>
  <si>
    <t>Травление</t>
  </si>
  <si>
    <t>Снятие олова</t>
  </si>
  <si>
    <t>Подрезка, ремонт рисунка</t>
  </si>
  <si>
    <t>Расчистка, ремонт</t>
  </si>
  <si>
    <t>Технический контроль (ОТК)</t>
  </si>
  <si>
    <r>
      <t xml:space="preserve">Количество слоев СЗПМ, </t>
    </r>
    <r>
      <rPr>
        <b/>
        <sz val="10"/>
        <rFont val="Arial Cyr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</si>
  <si>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charset val="204"/>
      </rPr>
      <t>Сжм</t>
    </r>
  </si>
  <si>
    <t>Изготовление ФШ, шт.</t>
  </si>
  <si>
    <t xml:space="preserve">Заказ </t>
  </si>
  <si>
    <t xml:space="preserve">   Подготовка  производства</t>
  </si>
  <si>
    <t>Подготовка ФШ, шт.</t>
  </si>
  <si>
    <t xml:space="preserve"> 3 кл. точности</t>
  </si>
  <si>
    <t xml:space="preserve"> 4 кл. точности</t>
  </si>
  <si>
    <t>Время на констр.и технол.подгот.,час.</t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</si>
  <si>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charset val="204"/>
      </rPr>
      <t xml:space="preserve"> ... 1,5)</t>
    </r>
  </si>
  <si>
    <t>2а</t>
  </si>
  <si>
    <t>2б</t>
  </si>
  <si>
    <t>Изготовление фотошаблонов, 3 кл. точн.</t>
  </si>
  <si>
    <t>Изготовление фотошаблонов, 4 кл. точн.</t>
  </si>
  <si>
    <t>трудоемкость</t>
  </si>
  <si>
    <t>Конструкторская и технол.подготовка, трудоемкость</t>
  </si>
  <si>
    <t>Изготовление мастер-плат для сверления,</t>
  </si>
  <si>
    <t>Изготовление мастер-плат для фрезерования, трудоемк.</t>
  </si>
  <si>
    <t>Материалы</t>
  </si>
  <si>
    <t>Наименование разделов</t>
  </si>
  <si>
    <t>-</t>
  </si>
  <si>
    <t xml:space="preserve">Нанесение защитной маски:    </t>
  </si>
  <si>
    <t>Трудоемкость,час.</t>
  </si>
  <si>
    <t>по контуру платы</t>
  </si>
  <si>
    <t>по углам</t>
  </si>
  <si>
    <t xml:space="preserve">Итого стоимость подготовки производства без НДС:    </t>
  </si>
  <si>
    <t>Нанесение маркировки</t>
  </si>
  <si>
    <t>С учетом коэфф.Кср., руб., без НДС</t>
  </si>
  <si>
    <t>1. ФОТ , нормочас, руб.</t>
  </si>
  <si>
    <t>2. Социальный налог, %</t>
  </si>
  <si>
    <t>3. Накладные расходы, %</t>
  </si>
  <si>
    <t>4. Плановые накопления, %</t>
  </si>
  <si>
    <t xml:space="preserve">Норма времени </t>
  </si>
  <si>
    <t>Заготовительная, комплектовочная</t>
  </si>
  <si>
    <t>Подготовка поверхности (химическая)</t>
  </si>
  <si>
    <t>Химическое меднение и затяжка</t>
  </si>
  <si>
    <t>Механическая и химическая подготовка поверхности</t>
  </si>
  <si>
    <t xml:space="preserve">Ретуширование </t>
  </si>
  <si>
    <t>Гальваническое меднение и оловянирование</t>
  </si>
  <si>
    <t>Удаление пленочного фоторезиста</t>
  </si>
  <si>
    <t>Нанесение сплава гор ПОС-61</t>
  </si>
  <si>
    <t>Упаковочная, вспомогательные операции</t>
  </si>
  <si>
    <t>на 1дм2 заг-ки 3 кл. точн., час/дм2</t>
  </si>
  <si>
    <t>на 1 дм2 заг-ки 4 кл. точн., час/дм2</t>
  </si>
  <si>
    <t>Формула расчета стоим.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</si>
  <si>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</si>
  <si>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t>час/компл.</t>
  </si>
  <si>
    <t>час./компл.</t>
  </si>
  <si>
    <t>час.</t>
  </si>
  <si>
    <t>трудоемкость.</t>
  </si>
  <si>
    <t>час/слой</t>
  </si>
  <si>
    <t>Кол-во заготовок,шт.</t>
  </si>
  <si>
    <r>
      <t xml:space="preserve">Значение </t>
    </r>
    <r>
      <rPr>
        <b/>
        <sz val="10"/>
        <rFont val="Arial Cyr"/>
        <charset val="204"/>
      </rPr>
      <t>Кс</t>
    </r>
  </si>
  <si>
    <t xml:space="preserve">    Полная трудоемкость (без сверления):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</si>
  <si>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</si>
  <si>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</si>
  <si>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</si>
  <si>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</si>
  <si>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</si>
  <si>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</si>
  <si>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</si>
  <si>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</si>
  <si>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</si>
  <si>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r>
      <t>Площадь иммерс.покрытия заготовки,</t>
    </r>
    <r>
      <rPr>
        <b/>
        <sz val="9"/>
        <rFont val="Arial Cyr"/>
        <charset val="204"/>
      </rPr>
      <t>Sи</t>
    </r>
    <r>
      <rPr>
        <sz val="9"/>
        <rFont val="Arial Cyr"/>
        <charset val="204"/>
      </rPr>
      <t>,дм2</t>
    </r>
  </si>
  <si>
    <t>Расход</t>
  </si>
  <si>
    <t>Расшифровка</t>
  </si>
  <si>
    <t>Фотоплёнка KODAK ARD-7</t>
  </si>
  <si>
    <t>Проявитель KODAK ACCUMAX Rapid Access</t>
  </si>
  <si>
    <t>Фиксаж KODAK 3000</t>
  </si>
  <si>
    <t>2в</t>
  </si>
  <si>
    <t>Изготовление фотошаблонов</t>
  </si>
  <si>
    <t>Лист 1</t>
  </si>
  <si>
    <t>Лист2</t>
  </si>
  <si>
    <t>Конструкторская и технол.подготовка</t>
  </si>
  <si>
    <t>Подготовка ФШ для повторного примен.</t>
  </si>
  <si>
    <t>Изготовление мастер-плат для фрезерования</t>
  </si>
  <si>
    <t xml:space="preserve">№ </t>
  </si>
  <si>
    <t>Трудоемкость, нормочас.</t>
  </si>
  <si>
    <t>Наименование операций</t>
  </si>
  <si>
    <t>Фрезерование</t>
  </si>
  <si>
    <t>Ручная маркировка</t>
  </si>
  <si>
    <t>1.   Подготовка производства</t>
  </si>
  <si>
    <t>2.   Основные операции</t>
  </si>
  <si>
    <t>3.   Дополнительные операции</t>
  </si>
  <si>
    <t>Сумма,руб.</t>
  </si>
  <si>
    <t>Итого:</t>
  </si>
  <si>
    <t>ВСЕГО:</t>
  </si>
  <si>
    <t>Ручная маркировка, час/шт.</t>
  </si>
  <si>
    <r>
      <t>Иммерсионное золочение</t>
    </r>
    <r>
      <rPr>
        <sz val="10"/>
        <rFont val="Arial Cyr"/>
        <charset val="204"/>
      </rPr>
      <t>, час/загот.</t>
    </r>
  </si>
  <si>
    <t>1_1</t>
  </si>
  <si>
    <t>1_2</t>
  </si>
  <si>
    <t>3_1</t>
  </si>
  <si>
    <t>3_2</t>
  </si>
  <si>
    <t>3_3</t>
  </si>
  <si>
    <t>3_4</t>
  </si>
  <si>
    <t>Фрезерование:</t>
  </si>
  <si>
    <t>Фотомаркировка:</t>
  </si>
  <si>
    <t>Иммерсионное золочение</t>
  </si>
  <si>
    <t>№ п/п</t>
  </si>
  <si>
    <t>Наименование статьи</t>
  </si>
  <si>
    <t>Фонд оплаты труда</t>
  </si>
  <si>
    <t>Себестоимость</t>
  </si>
  <si>
    <t>5_1</t>
  </si>
  <si>
    <t>5_2</t>
  </si>
  <si>
    <t>Слесарная обработка: разрубка, разрезка, доводка, час/м</t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</si>
  <si>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</si>
  <si>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Слесарная обработка: разрубка, разрезка, доводка, час/загот.</t>
  </si>
  <si>
    <r>
      <t>Тф2</t>
    </r>
    <r>
      <rPr>
        <sz val="10"/>
        <rFont val="Arial Cyr"/>
        <charset val="204"/>
      </rPr>
      <t>, час/загот.</t>
    </r>
  </si>
  <si>
    <t>Основные операции</t>
  </si>
  <si>
    <t>Дополнительные операции</t>
  </si>
  <si>
    <t xml:space="preserve">Единица </t>
  </si>
  <si>
    <t>единицу</t>
  </si>
  <si>
    <t>за</t>
  </si>
  <si>
    <t>к протоколу согласования договорной цены</t>
  </si>
  <si>
    <t xml:space="preserve">               Расчет расхода и стоимости расходных материалов для изготовления фотошаблонов</t>
  </si>
  <si>
    <t>Расчет расхода и стоимости расходных материалов для нанесения защитной маски и фотомаркировки</t>
  </si>
  <si>
    <t xml:space="preserve">             Расчет расхода и стоимости расходных материалов для иммерсионного золочения</t>
  </si>
  <si>
    <t>кг/м2,</t>
  </si>
  <si>
    <t xml:space="preserve">Флюс </t>
  </si>
  <si>
    <t>материалы</t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</si>
  <si>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</si>
  <si>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t xml:space="preserve"> </t>
  </si>
  <si>
    <t xml:space="preserve">                                                                               </t>
  </si>
  <si>
    <t xml:space="preserve">           </t>
  </si>
  <si>
    <t xml:space="preserve">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</si>
  <si>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</si>
  <si>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</si>
  <si>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,час/загот.</t>
    </r>
  </si>
  <si>
    <r>
      <t>Кол. отверстий.на загот.</t>
    </r>
    <r>
      <rPr>
        <b/>
        <sz val="10"/>
        <rFont val="Arial Cyr"/>
        <charset val="204"/>
      </rPr>
      <t>d &lt;0,60 мм, Чо1</t>
    </r>
  </si>
  <si>
    <r>
      <t>Кол. отверстий на загот.</t>
    </r>
    <r>
      <rPr>
        <b/>
        <sz val="10"/>
        <rFont val="Arial Cyr"/>
        <charset val="204"/>
      </rPr>
      <t>d &gt;0.60 мм, Чо2</t>
    </r>
  </si>
  <si>
    <t>Проверка, паспортизация, ретушь ФШ,</t>
  </si>
  <si>
    <t>Цена, без НДС</t>
  </si>
  <si>
    <t>Материалы (не печатается)</t>
  </si>
  <si>
    <t>Стеклотекстолит фольг. DE 104 18/18-1.5</t>
  </si>
  <si>
    <t>Стеклотекстолит фольг. DE 104 50/50-1.5</t>
  </si>
  <si>
    <t>Стеклотекстолит фольг. DE 104 50/50-2.0</t>
  </si>
  <si>
    <t>Стеклотекстолит фольг. FR-4 МИ 18/18-1.5 1кл.</t>
  </si>
  <si>
    <t>Стеклотекстолит фольг. МИ1222.9-2-18-1.0 1кл.</t>
  </si>
  <si>
    <t>Стеклотекстолит фольг. МИ1222.9-2-18-1.5 1кл.</t>
  </si>
  <si>
    <t>Стеклотекстолит фольг. МИ1222.9-2-18-2.0 1кл.</t>
  </si>
  <si>
    <t>Стеклотекстолит фольг. МИ1222.9-2-35-1.0 1кл.</t>
  </si>
  <si>
    <t>Стеклотекстолит фольг. МИ1222.9-2-35-2.0 1кл.</t>
  </si>
  <si>
    <t>Стеклотекстолит фольг. МИ1222.9-2-35-2.5 1кл.</t>
  </si>
  <si>
    <t>Стеклотекстолит фольг. МИ1222.9-2-50-1.0 1кл.</t>
  </si>
  <si>
    <t>Стеклотекстолит фольг. МИ1222.9-2-50-1.5 1кл.</t>
  </si>
  <si>
    <t>Стеклотекстолит фольг. МИ1222.9-2-50-2.0 1кл</t>
  </si>
  <si>
    <t>Стеклотекстолит фольг. СТФ-1-35-0.13 1кл.</t>
  </si>
  <si>
    <t>Стеклотекстолит фольг. СТФ-1-35-0.2 1кл.</t>
  </si>
  <si>
    <t>Стеклотекстолит фольг. СТФ-2-18-0.13 1кл.</t>
  </si>
  <si>
    <t>Стеклотекстолит фольг. СТФ-2-18-0.13 1кл. "ОС"</t>
  </si>
  <si>
    <t>Стеклотекстолит фольг. СТФ-2-18-0.18 1кл.</t>
  </si>
  <si>
    <t>Стеклотекстолит фольг. СТФ-2-18-0.18 1кл. "ОС"</t>
  </si>
  <si>
    <t>Стеклотекстолит фольг. СТФ-2-35-0.13 1кл. "OC"</t>
  </si>
  <si>
    <t>Стеклотекстолит фольг. СТФ-2-35-0.2 1кл.</t>
  </si>
  <si>
    <t>Стеклотекстолит фольг. СТФ-2-35-0.2 1кл. "ОС"</t>
  </si>
  <si>
    <t>Стеклотекстолит фольг. СТФ-2-35-2.5 1кл.</t>
  </si>
  <si>
    <t>Стеклотекстолит фольг. СТФ-2-35-3.0 1кл.</t>
  </si>
  <si>
    <t>Стеклотекстолит фольг. СТФ-2-50-2.0 1кл.</t>
  </si>
  <si>
    <t>Стеклотекстолит электротехн. СТЭФ-1 вс 3.0</t>
  </si>
  <si>
    <t>#</t>
  </si>
  <si>
    <t>Коэфф. Перевода единиц в метры квадратные</t>
  </si>
  <si>
    <t>Базовый материал</t>
  </si>
  <si>
    <t>Стеклотекстолит фольг. DE 104 18/18-2.0</t>
  </si>
  <si>
    <t>Стеклотекстолит фольг. DE 104 35/35-1.5</t>
  </si>
  <si>
    <t>Стеклотекстолит фольг. DE 104 35/35-2.0</t>
  </si>
  <si>
    <t>Стеклотекстолит фольг. DE 104 35/35-2.4</t>
  </si>
  <si>
    <t>Стеклотекстолит фольг. DE 104 35/35-3.2</t>
  </si>
  <si>
    <r>
      <t xml:space="preserve">Коэффициент серийности, 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 </t>
    </r>
  </si>
  <si>
    <r>
      <t xml:space="preserve">Коэффициент срочности, </t>
    </r>
    <r>
      <rPr>
        <b/>
        <sz val="10"/>
        <rFont val="Arial Cyr"/>
        <charset val="204"/>
      </rPr>
      <t>Кср</t>
    </r>
  </si>
  <si>
    <r>
      <t xml:space="preserve">Коэфф.толщины стеклотекстолита </t>
    </r>
    <r>
      <rPr>
        <b/>
        <sz val="10"/>
        <rFont val="Arial Cyr"/>
        <charset val="204"/>
      </rPr>
      <t>Тт</t>
    </r>
  </si>
  <si>
    <r>
      <t xml:space="preserve">Коэфф.сложности маскирования, </t>
    </r>
    <r>
      <rPr>
        <b/>
        <sz val="10"/>
        <rFont val="Arial Cyr"/>
        <charset val="204"/>
      </rPr>
      <t>Км</t>
    </r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</si>
  <si>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</si>
  <si>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</si>
  <si>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r>
      <t xml:space="preserve">Периметр платы </t>
    </r>
    <r>
      <rPr>
        <b/>
        <sz val="10"/>
        <rFont val="Arial Cyr"/>
        <charset val="204"/>
      </rPr>
      <t>Рп</t>
    </r>
    <r>
      <rPr>
        <sz val="10"/>
        <rFont val="Arial Cyr"/>
        <charset val="204"/>
      </rPr>
      <t>, дм</t>
    </r>
  </si>
  <si>
    <r>
      <t xml:space="preserve">Периметр заготовки </t>
    </r>
    <r>
      <rPr>
        <b/>
        <sz val="10"/>
        <rFont val="Arial Cyr"/>
        <charset val="204"/>
      </rPr>
      <t>Рз</t>
    </r>
    <r>
      <rPr>
        <sz val="10"/>
        <rFont val="Arial Cyr"/>
        <charset val="204"/>
      </rPr>
      <t>, дм</t>
    </r>
  </si>
  <si>
    <t>СОГЛАСОВАНО:</t>
  </si>
  <si>
    <t>_________________ И.И.Николайчук</t>
  </si>
  <si>
    <t>Приложение № 1</t>
  </si>
  <si>
    <t>_____________________   Ильина О.С.</t>
  </si>
  <si>
    <t>Таблица 6</t>
  </si>
  <si>
    <t>Кол-во использованных шпинделей, шт.</t>
  </si>
  <si>
    <t>Коэф-т риска производства</t>
  </si>
  <si>
    <t>Толщина стеклотекстолита</t>
  </si>
  <si>
    <t>Значение Тт</t>
  </si>
  <si>
    <t>Толщина заготовки (t), мм</t>
  </si>
  <si>
    <t>Кол-во заготовок в пакете, шт</t>
  </si>
  <si>
    <t>Коэф-т трудоёмкости, Кт</t>
  </si>
  <si>
    <t>Коэффициент риска производства</t>
  </si>
  <si>
    <t>Ктр</t>
  </si>
  <si>
    <t>Таблица 7</t>
  </si>
  <si>
    <t>Кол-во заготовок (n), шт.</t>
  </si>
  <si>
    <t>Коэф-т трудоёмкости, Кз.</t>
  </si>
  <si>
    <t>Кзр</t>
  </si>
  <si>
    <t>Котрс = СРЕДНЕЕ(Котвр+Ктр+Кзр)</t>
  </si>
  <si>
    <t>Котрс=</t>
  </si>
  <si>
    <t>Заготовок в пакете</t>
  </si>
  <si>
    <t>Шпинделей по Таблице 7</t>
  </si>
  <si>
    <t>Срок изготовления, рабочих дней</t>
  </si>
  <si>
    <t xml:space="preserve">Коэффициент срочности Кср при повторном изготовлении 
</t>
  </si>
  <si>
    <t>Значение Кср</t>
  </si>
  <si>
    <t xml:space="preserve">Коэффициент срочности Кср при первичном изготовлении 
(необх. подготовка производства)
</t>
  </si>
  <si>
    <t xml:space="preserve">Коэффициент серийности Кс
</t>
  </si>
  <si>
    <t>Таблица 8</t>
  </si>
  <si>
    <t>Кол-во фрезеруемых плат, шт.</t>
  </si>
  <si>
    <t>Кол-во используемых шпинделей, шт.</t>
  </si>
  <si>
    <t>Коэф-т трудоёмкости, Кфк.</t>
  </si>
  <si>
    <t>Коэф-т риска</t>
  </si>
  <si>
    <t>Кфкр</t>
  </si>
  <si>
    <t>Таблица 9</t>
  </si>
  <si>
    <t>Коэф-т трудоёмкости, Кфт</t>
  </si>
  <si>
    <t>Коэф-т трудоёмкости скорости фрезерования, Ктс</t>
  </si>
  <si>
    <t>Кфттс</t>
  </si>
  <si>
    <t>Котрф=</t>
  </si>
  <si>
    <t>Котрф=СРЕДНЕЕ(Кфкр+Кфттс)</t>
  </si>
  <si>
    <t>Тф1*N*Сн*Кф*Тт*Котрф</t>
  </si>
  <si>
    <t>Тф2*N*Сн*Кф*Тт*Котрф</t>
  </si>
  <si>
    <t>Сл*N*Сн*Кп*Тт</t>
  </si>
  <si>
    <t>Тр*Сн*П</t>
  </si>
  <si>
    <t>Приложение №2</t>
  </si>
  <si>
    <t>Приложение №3</t>
  </si>
  <si>
    <t>Фрезеровка: 0-нет, 1-контур,2-углы</t>
  </si>
  <si>
    <t>ФОТ</t>
  </si>
  <si>
    <t>всего-материалы</t>
  </si>
  <si>
    <t>часов</t>
  </si>
  <si>
    <t>ФОТ=часов*ФОТнч=</t>
  </si>
  <si>
    <t>сумма</t>
  </si>
  <si>
    <t>со страницы материалы</t>
  </si>
  <si>
    <t>со страницы ФОТ</t>
  </si>
  <si>
    <t>подготовка</t>
  </si>
  <si>
    <t>основные</t>
  </si>
  <si>
    <t>дополнительные</t>
  </si>
  <si>
    <t>Стеклотекстолит фольг. DE 104 35/35-1.0</t>
  </si>
  <si>
    <t>Цена за 1 штуку, без НДС</t>
  </si>
  <si>
    <t>Тз*Сн*N*Кп*Кс</t>
  </si>
  <si>
    <t>Добавка STH ADDITIVE</t>
  </si>
  <si>
    <t>Добавка Sulfotech SP Additive</t>
  </si>
  <si>
    <t>ДПП</t>
  </si>
  <si>
    <r>
      <t xml:space="preserve">Тип платы, </t>
    </r>
    <r>
      <rPr>
        <b/>
        <sz val="10"/>
        <rFont val="Arial Cyr"/>
        <family val="2"/>
        <charset val="204"/>
      </rPr>
      <t>ОПП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family val="2"/>
        <charset val="204"/>
      </rPr>
      <t>ДПП</t>
    </r>
  </si>
  <si>
    <t>Вид приемки (ОТК, ПЗ)</t>
  </si>
  <si>
    <t>ОТК</t>
  </si>
  <si>
    <t>Материал Заказчика</t>
  </si>
  <si>
    <t>Стеклотекстолит фольг. FR-4 МИ 50/50-2.0</t>
  </si>
  <si>
    <t>Стеклотекстолит фольг. СТФ-2-18-0.2 1кл</t>
  </si>
  <si>
    <t>Толщина материала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</si>
  <si>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</si>
  <si>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</si>
  <si>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</si>
  <si>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t>2+2</t>
  </si>
  <si>
    <r>
      <t xml:space="preserve">Тип маркировки и количество слоев, </t>
    </r>
    <r>
      <rPr>
        <b/>
        <sz val="10"/>
        <rFont val="Arial Cyr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</si>
  <si>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</si>
  <si>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</si>
  <si>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Цена ламелей</t>
  </si>
  <si>
    <t>длина</t>
  </si>
  <si>
    <t>пробел</t>
  </si>
  <si>
    <t>крест</t>
  </si>
  <si>
    <t>колламел</t>
  </si>
  <si>
    <t>шир</t>
  </si>
  <si>
    <t>Цз</t>
  </si>
  <si>
    <t>Сз</t>
  </si>
  <si>
    <t>Краска белая термоотверждаемая Mark 3.1</t>
  </si>
  <si>
    <t>7.3. Материалы</t>
  </si>
  <si>
    <t>7.1. Ручная маркировка, трудоемкость , Тр, час./шт.</t>
  </si>
  <si>
    <t>6.4.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</si>
  <si>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</si>
  <si>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6.2. Материалы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</si>
  <si>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</si>
  <si>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Маркировка термоотверждаемой краской на Printarе:</t>
  </si>
  <si>
    <t>6_1</t>
  </si>
  <si>
    <t>6_2</t>
  </si>
  <si>
    <t>Маркировка</t>
  </si>
  <si>
    <t>Activator Neoganth LS Plus</t>
  </si>
  <si>
    <t>Борная кислота</t>
  </si>
  <si>
    <t>Neoganth LS REDUCER (восстановитель)</t>
  </si>
  <si>
    <t>Стеклотекстолит фольг. МИ1222.9-2-35-1.5 1кл.</t>
  </si>
  <si>
    <r>
      <t xml:space="preserve">Коэффициент выхода годных,  </t>
    </r>
    <r>
      <rPr>
        <b/>
        <sz val="10"/>
        <rFont val="Arial Cyr"/>
        <charset val="204"/>
      </rPr>
      <t>Квг</t>
    </r>
    <r>
      <rPr>
        <sz val="10"/>
        <rFont val="Arial Cyr"/>
        <charset val="204"/>
      </rPr>
      <t xml:space="preserve"> </t>
    </r>
  </si>
  <si>
    <t>Таблица 10</t>
  </si>
  <si>
    <t>Класс сложности</t>
  </si>
  <si>
    <t>Квг</t>
  </si>
  <si>
    <t>Printar с 1-ой</t>
  </si>
  <si>
    <t>Представитель 310 ВП МО РФ</t>
  </si>
  <si>
    <t>Neoganth LS PREDIP (предактивация)</t>
  </si>
  <si>
    <t>Стеклотекстолит фольг. FR-4 35/35-0.8</t>
  </si>
  <si>
    <t>Добавка "AUNIC EN "C"</t>
  </si>
  <si>
    <t>Децимальный номер платы</t>
  </si>
  <si>
    <t>Стеклотекстолит фольг. СТФ-2-35-0.1 1кл</t>
  </si>
  <si>
    <t>Стеклотекстолит фольг. DE 104 18/18-0.36</t>
  </si>
  <si>
    <t>Стеклотекстолит фольг. DE 104 35/35-0.36</t>
  </si>
  <si>
    <t>Всего, включая плановые накопления:</t>
  </si>
  <si>
    <t>RO4350B-17/17-0.508</t>
  </si>
  <si>
    <t>Стеклотекстолит фольг. FR-4 35/35-0.15</t>
  </si>
  <si>
    <t>__________________  Д.А. Романов</t>
  </si>
  <si>
    <t>Расчет стоимости изготовления двухслойных печатных плат в ООО "МПП"</t>
  </si>
  <si>
    <t>Экономист ООО "МПП"</t>
  </si>
  <si>
    <t>Генеральный директор ООО "МПП"</t>
  </si>
  <si>
    <t>Коэф. увеличения трудоемкости</t>
  </si>
  <si>
    <t>Сверление (отверстия под металлизацию на отверстие)</t>
  </si>
  <si>
    <t>работа с одной платой</t>
  </si>
  <si>
    <t>Количество и размер ламелей (например 7 1.5х6.0)</t>
  </si>
  <si>
    <t>0 0.0х0.0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</si>
  <si>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</si>
  <si>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</si>
  <si>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charset val="204"/>
      </rPr>
      <t>1, в заготовке-2</t>
    </r>
    <r>
      <rPr>
        <sz val="10"/>
        <rFont val="Arial Cyr"/>
        <charset val="204"/>
      </rPr>
      <t>)</t>
    </r>
  </si>
  <si>
    <t xml:space="preserve">В этой строке формула. Не затирать. </t>
  </si>
  <si>
    <t>0.2*Коп*Кк/6дм</t>
  </si>
  <si>
    <t>0.23*Коп*Кк/6дм</t>
  </si>
  <si>
    <t>Защитная паяльная маска XV501 T-4 SM Green (жидкая)</t>
  </si>
  <si>
    <t>разница</t>
  </si>
  <si>
    <t>Нанесение защитной маски</t>
  </si>
  <si>
    <t>Сверление</t>
  </si>
  <si>
    <t>Упаковочная</t>
  </si>
  <si>
    <t>Технический контроль</t>
  </si>
  <si>
    <t>Расчистка</t>
  </si>
  <si>
    <t>Покрытие ГорПОС</t>
  </si>
  <si>
    <t>Заготовительная</t>
  </si>
  <si>
    <t>Подготовка поверхности</t>
  </si>
  <si>
    <t>Изготовление мастер-плат для сверления</t>
  </si>
  <si>
    <t>Номер заказа от дата</t>
  </si>
  <si>
    <t>Дата расчета</t>
  </si>
  <si>
    <t>по контуру платы, час/метр.</t>
  </si>
  <si>
    <t>по углам, час/плату.</t>
  </si>
  <si>
    <t xml:space="preserve">Защитная паяльная маска Dynamask 5030 (сухая) </t>
  </si>
  <si>
    <t>Приложение</t>
  </si>
  <si>
    <t>Плановая калькуляция</t>
  </si>
  <si>
    <t>Приложения:</t>
  </si>
  <si>
    <t>2. Расшифровка трудозатрат на изготовление ДПП</t>
  </si>
  <si>
    <t>1. Расшифровка материальных затрат на изготовление ДПП</t>
  </si>
  <si>
    <t>к плановой калькуляции</t>
  </si>
  <si>
    <t>Расчетные нормы времени выполнения операций при</t>
  </si>
  <si>
    <t>изготовлении двусторонних печатных плат</t>
  </si>
  <si>
    <t>8_1</t>
  </si>
  <si>
    <t>8_2</t>
  </si>
  <si>
    <t>8_3</t>
  </si>
  <si>
    <t>8_4</t>
  </si>
  <si>
    <t>__________Горницкий И.В.</t>
  </si>
  <si>
    <t>Начальник технологической группы ООО "МПП"</t>
  </si>
  <si>
    <t>3. Расчетные нормы времени выполнения операций при изготовлении ДПП</t>
  </si>
  <si>
    <t>_____________ О.С. Ильина</t>
  </si>
  <si>
    <t>Фоторезист Riston 50мкм</t>
  </si>
  <si>
    <t xml:space="preserve">Коэф. толщины стеклотекстолита Тт
</t>
  </si>
  <si>
    <t>Стеклотекстолит фольг. DE 104ML 18/18-0.8</t>
  </si>
  <si>
    <t>Маркировочная краска XV501 T-4 SM White (жидк.)</t>
  </si>
  <si>
    <t>Гетинакс-1 0,5-1 мм</t>
  </si>
  <si>
    <t>Гетинакс-1 1,5 мм</t>
  </si>
  <si>
    <t xml:space="preserve"> г/м2</t>
  </si>
  <si>
    <t>То*Sзаг.*Кс*Сн*Кп*Квг</t>
  </si>
  <si>
    <t>Тс*N*Кc*Cн*Кп*Тт*Котрс*Квг</t>
  </si>
  <si>
    <t xml:space="preserve">     Расчет  расхода и стоимости химикатов, базовых, дополнительных материалов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</si>
  <si>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</si>
  <si>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</si>
  <si>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</si>
  <si>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</si>
  <si>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</si>
  <si>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</si>
  <si>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</si>
  <si>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</si>
  <si>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</si>
  <si>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</si>
  <si>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</si>
  <si>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</si>
  <si>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</si>
  <si>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Стеклотекстолит фольг. МИ1222.9-2-105-2.0 1кл.</t>
  </si>
  <si>
    <t>Для непробиваемых шаблонов</t>
  </si>
  <si>
    <t>Тф*Сн*Sзаг</t>
  </si>
  <si>
    <r>
      <t xml:space="preserve">Полная стоимость 1-го нормочаса, </t>
    </r>
    <r>
      <rPr>
        <b/>
        <sz val="9"/>
        <rFont val="Arial Cyr"/>
        <charset val="204"/>
      </rPr>
      <t>Cн</t>
    </r>
    <r>
      <rPr>
        <sz val="9"/>
        <rFont val="Arial Cyr"/>
        <charset val="204"/>
      </rPr>
      <t>, руб.</t>
    </r>
  </si>
  <si>
    <t>5. Наценка на ПКИ, %</t>
  </si>
  <si>
    <t>Сверло твердосплавное d 0,70…2,05 мм, отв/шт</t>
  </si>
  <si>
    <t>Фреза твердосплавная</t>
  </si>
  <si>
    <t>Стеклотекстолит фольг. МИ1222.9-2-105-1.5 1кл.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</si>
  <si>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</si>
  <si>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</si>
  <si>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</si>
  <si>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</si>
  <si>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 xml:space="preserve"> с одной стороны,час/дм2</t>
  </si>
  <si>
    <t xml:space="preserve"> с двух сторон, час/дм2</t>
  </si>
  <si>
    <t>11.02.2017 опять поменялось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</si>
  <si>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,час/дм2.</t>
    </r>
  </si>
  <si>
    <t>Сн*Мс*Sпл*Км</t>
  </si>
  <si>
    <t>Сн*Мж*Sпл*Км</t>
  </si>
  <si>
    <t>Очиститель SECURIGANTH 902 CLEANER</t>
  </si>
  <si>
    <t>Электоконтроль</t>
  </si>
  <si>
    <t>Электроконтроль</t>
  </si>
  <si>
    <t>Экономические показатели ООО "МПП" на 2018 г., утвержденные 310 ВП МО РФ</t>
  </si>
  <si>
    <t>____ ____________ 2018 г.</t>
  </si>
  <si>
    <t>Утвержденная 310 ВП МО РФ стоимость 1 нормочаса в ООО "МПП" в 2018 г.</t>
  </si>
  <si>
    <t>Приложение к ведомости поставки №__________ от _______________2018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</si>
</sst>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dd/mm/yy;@"/>
    <numFmt numFmtId="167" formatCode="0.0000"/>
    <numFmt numFmtId="168" formatCode="0.00000"/>
    <numFmt numFmtId="169" formatCode="[$-F800]dddd\,\ mmmm\ dd\,\ yyyy"/>
  </numFmts>
  <fonts count="20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charset val="204"/>
    </font>
    <font>
      <b/>
      <sz val="10"/>
      <name val="Arial Cyr"/>
      <charset val="204"/>
    </font>
    <font>
      <b/>
      <sz val="9"/>
      <name val="Arial Cyr"/>
      <charset val="204"/>
    </font>
    <font>
      <sz val="10"/>
      <name val="Arial Cyr"/>
      <charset val="204"/>
    </font>
    <font>
      <b/>
      <sz val="12"/>
      <name val="Times New Roman"/>
      <family val="1"/>
      <charset val="204"/>
    </font>
    <font>
      <sz val="9"/>
      <name val="Arial Cyr"/>
      <charset val="204"/>
    </font>
    <font>
      <b/>
      <sz val="8"/>
      <name val="Arial Cyr"/>
      <charset val="204"/>
    </font>
    <font>
      <b/>
      <sz val="14"/>
      <name val="Arial Cyr"/>
      <charset val="204"/>
    </font>
    <font>
      <sz val="12"/>
      <name val="Times New Roman"/>
      <family val="1"/>
      <charset val="204"/>
    </font>
    <font>
      <sz val="10"/>
      <color indexed="9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  <font>
      <b/>
      <sz val="12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9" fontId="7" fillId="0" borderId="0"/>
  </cellStyleXfs>
  <cellXfs count="43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left"/>
    </xf>
    <xf numFmtId="2" fontId="2" fillId="0" borderId="0" xfId="0" applyNumberFormat="1" applyFont="1" applyAlignment="1">
      <alignment horizontal="lef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0" xfId="0" applyFont="1" applyBorder="1"/>
    <xf numFmtId="0" fontId="0" fillId="0" borderId="6" xfId="0" applyBorder="1"/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/>
    <xf numFmtId="2" fontId="0" fillId="0" borderId="0" xfId="0" applyNumberFormat="1" applyBorder="1" applyAlignment="1">
      <alignment horizontal="right"/>
    </xf>
    <xf numFmtId="0" fontId="0" fillId="0" borderId="7" xfId="0" applyBorder="1"/>
    <xf numFmtId="0" fontId="2" fillId="0" borderId="9" xfId="0" applyFont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/>
      <protection locked="0"/>
    </xf>
    <xf numFmtId="2" fontId="0" fillId="0" borderId="6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 applyAlignment="1">
      <alignment horizontal="left"/>
    </xf>
    <xf numFmtId="0" fontId="2" fillId="0" borderId="9" xfId="0" applyFont="1" applyBorder="1" applyAlignment="1">
      <alignment horizontal="center"/>
    </xf>
    <xf numFmtId="0" fontId="1" fillId="0" borderId="0" xfId="0" applyFont="1" applyBorder="1"/>
    <xf numFmtId="0" fontId="0" fillId="0" borderId="3" xfId="0" applyBorder="1" applyAlignment="1">
      <alignment horizontal="left"/>
    </xf>
    <xf numFmtId="0" fontId="2" fillId="2" borderId="13" xfId="0" applyFont="1" applyFill="1" applyBorder="1" applyAlignment="1" applyProtection="1">
      <alignment horizontal="center"/>
      <protection locked="0"/>
    </xf>
    <xf numFmtId="0" fontId="5" fillId="0" borderId="14" xfId="0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Fill="1" applyBorder="1"/>
    <xf numFmtId="0" fontId="0" fillId="0" borderId="16" xfId="0" applyBorder="1" applyAlignment="1">
      <alignment horizontal="center"/>
    </xf>
    <xf numFmtId="0" fontId="0" fillId="0" borderId="8" xfId="0" applyBorder="1"/>
    <xf numFmtId="0" fontId="0" fillId="0" borderId="17" xfId="0" applyBorder="1"/>
    <xf numFmtId="0" fontId="0" fillId="0" borderId="3" xfId="0" applyBorder="1" applyAlignment="1">
      <alignment horizontal="center"/>
    </xf>
    <xf numFmtId="0" fontId="0" fillId="0" borderId="18" xfId="0" applyBorder="1"/>
    <xf numFmtId="0" fontId="0" fillId="0" borderId="1" xfId="0" applyBorder="1" applyAlignment="1">
      <alignment horizontal="center"/>
    </xf>
    <xf numFmtId="0" fontId="0" fillId="0" borderId="16" xfId="0" applyBorder="1"/>
    <xf numFmtId="0" fontId="0" fillId="0" borderId="12" xfId="0" applyBorder="1" applyAlignment="1">
      <alignment horizontal="center"/>
    </xf>
    <xf numFmtId="0" fontId="2" fillId="0" borderId="19" xfId="0" applyFont="1" applyBorder="1" applyAlignment="1" applyProtection="1">
      <alignment horizontal="center"/>
      <protection locked="0"/>
    </xf>
    <xf numFmtId="0" fontId="1" fillId="0" borderId="4" xfId="0" applyFont="1" applyBorder="1"/>
    <xf numFmtId="1" fontId="2" fillId="0" borderId="9" xfId="0" applyNumberFormat="1" applyFont="1" applyBorder="1" applyAlignment="1" applyProtection="1">
      <alignment horizontal="center"/>
      <protection locked="0"/>
    </xf>
    <xf numFmtId="0" fontId="0" fillId="0" borderId="4" xfId="0" applyBorder="1" applyAlignment="1">
      <alignment horizontal="left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2" fillId="2" borderId="0" xfId="0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0" xfId="0" applyBorder="1"/>
    <xf numFmtId="0" fontId="5" fillId="0" borderId="9" xfId="0" applyFont="1" applyBorder="1" applyAlignment="1">
      <alignment horizontal="center"/>
    </xf>
    <xf numFmtId="0" fontId="0" fillId="0" borderId="6" xfId="0" applyBorder="1" applyAlignment="1">
      <alignment horizontal="left"/>
    </xf>
    <xf numFmtId="0" fontId="3" fillId="0" borderId="0" xfId="0" applyFont="1" applyBorder="1"/>
    <xf numFmtId="0" fontId="2" fillId="0" borderId="0" xfId="0" applyFont="1" applyBorder="1" applyAlignment="1" applyProtection="1">
      <alignment horizontal="center"/>
      <protection locked="0"/>
    </xf>
    <xf numFmtId="0" fontId="1" fillId="0" borderId="20" xfId="0" applyFont="1" applyBorder="1"/>
    <xf numFmtId="0" fontId="1" fillId="0" borderId="7" xfId="0" applyFont="1" applyBorder="1" applyAlignment="1">
      <alignment horizontal="right"/>
    </xf>
    <xf numFmtId="2" fontId="0" fillId="0" borderId="11" xfId="0" applyNumberFormat="1" applyBorder="1" applyAlignment="1">
      <alignment horizontal="center"/>
    </xf>
    <xf numFmtId="166" fontId="2" fillId="0" borderId="13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Alignment="1">
      <alignment horizontal="left"/>
    </xf>
    <xf numFmtId="0" fontId="0" fillId="0" borderId="16" xfId="0" applyBorder="1" applyAlignment="1">
      <alignment horizontal="left"/>
    </xf>
    <xf numFmtId="2" fontId="1" fillId="2" borderId="7" xfId="0" applyNumberFormat="1" applyFont="1" applyFill="1" applyBorder="1" applyAlignment="1">
      <alignment horizontal="center"/>
    </xf>
    <xf numFmtId="166" fontId="2" fillId="2" borderId="19" xfId="0" applyNumberFormat="1" applyFont="1" applyFill="1" applyBorder="1" applyAlignment="1" applyProtection="1">
      <alignment horizontal="center"/>
      <protection locked="0"/>
    </xf>
    <xf numFmtId="0" fontId="4" fillId="0" borderId="21" xfId="0" applyFont="1" applyBorder="1"/>
    <xf numFmtId="2" fontId="1" fillId="2" borderId="16" xfId="0" applyNumberFormat="1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>
      <alignment horizontal="center" wrapText="1"/>
    </xf>
    <xf numFmtId="0" fontId="5" fillId="0" borderId="16" xfId="0" applyFont="1" applyBorder="1" applyAlignment="1">
      <alignment horizontal="center" wrapText="1"/>
    </xf>
    <xf numFmtId="0" fontId="5" fillId="0" borderId="8" xfId="0" applyNumberFormat="1" applyFont="1" applyBorder="1" applyAlignment="1">
      <alignment horizontal="center" vertical="justify" wrapText="1"/>
    </xf>
    <xf numFmtId="0" fontId="5" fillId="0" borderId="6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0" fillId="0" borderId="2" xfId="0" applyFill="1" applyBorder="1" applyAlignment="1">
      <alignment vertical="justify" wrapText="1"/>
    </xf>
    <xf numFmtId="0" fontId="0" fillId="0" borderId="7" xfId="0" applyNumberFormat="1" applyBorder="1" applyAlignment="1">
      <alignment horizontal="center" vertical="justify" wrapText="1"/>
    </xf>
    <xf numFmtId="0" fontId="0" fillId="0" borderId="5" xfId="0" applyFill="1" applyBorder="1" applyAlignment="1">
      <alignment vertical="justify" wrapText="1"/>
    </xf>
    <xf numFmtId="0" fontId="0" fillId="0" borderId="0" xfId="0" applyFill="1" applyBorder="1" applyAlignment="1">
      <alignment vertical="justify" wrapText="1"/>
    </xf>
    <xf numFmtId="1" fontId="0" fillId="0" borderId="7" xfId="0" applyNumberFormat="1" applyBorder="1" applyAlignment="1">
      <alignment horizontal="center" vertical="justify" wrapText="1"/>
    </xf>
    <xf numFmtId="0" fontId="6" fillId="0" borderId="16" xfId="0" applyNumberFormat="1" applyFont="1" applyBorder="1" applyAlignment="1">
      <alignment horizontal="center" vertical="justify" wrapText="1"/>
    </xf>
    <xf numFmtId="0" fontId="1" fillId="0" borderId="1" xfId="0" applyFont="1" applyBorder="1"/>
    <xf numFmtId="0" fontId="1" fillId="0" borderId="0" xfId="0" applyFont="1" applyFill="1" applyBorder="1"/>
    <xf numFmtId="0" fontId="1" fillId="0" borderId="3" xfId="0" applyFont="1" applyBorder="1"/>
    <xf numFmtId="0" fontId="1" fillId="0" borderId="5" xfId="0" applyFont="1" applyBorder="1"/>
    <xf numFmtId="0" fontId="0" fillId="0" borderId="1" xfId="0" applyFill="1" applyBorder="1" applyAlignment="1">
      <alignment horizontal="left"/>
    </xf>
    <xf numFmtId="0" fontId="0" fillId="0" borderId="2" xfId="0" applyBorder="1" applyAlignment="1">
      <alignment horizontal="right"/>
    </xf>
    <xf numFmtId="0" fontId="1" fillId="0" borderId="17" xfId="0" applyFont="1" applyBorder="1"/>
    <xf numFmtId="0" fontId="0" fillId="0" borderId="22" xfId="0" applyBorder="1"/>
    <xf numFmtId="0" fontId="0" fillId="0" borderId="23" xfId="0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" fontId="5" fillId="0" borderId="9" xfId="0" applyNumberFormat="1" applyFont="1" applyBorder="1" applyAlignment="1">
      <alignment horizontal="center"/>
    </xf>
    <xf numFmtId="0" fontId="2" fillId="0" borderId="25" xfId="0" applyFont="1" applyBorder="1"/>
    <xf numFmtId="0" fontId="1" fillId="0" borderId="4" xfId="0" applyFont="1" applyBorder="1" applyAlignment="1">
      <alignment vertical="justify" wrapText="1"/>
    </xf>
    <xf numFmtId="0" fontId="1" fillId="0" borderId="5" xfId="0" applyFont="1" applyBorder="1" applyAlignment="1">
      <alignment vertical="justify" wrapText="1"/>
    </xf>
    <xf numFmtId="0" fontId="0" fillId="0" borderId="1" xfId="0" applyBorder="1" applyAlignment="1">
      <alignment horizontal="left"/>
    </xf>
    <xf numFmtId="0" fontId="0" fillId="0" borderId="12" xfId="0" applyFill="1" applyBorder="1" applyAlignment="1">
      <alignment horizontal="left"/>
    </xf>
    <xf numFmtId="0" fontId="1" fillId="0" borderId="18" xfId="0" applyFont="1" applyBorder="1"/>
    <xf numFmtId="0" fontId="0" fillId="0" borderId="4" xfId="0" applyFill="1" applyBorder="1" applyAlignment="1">
      <alignment vertical="justify" wrapText="1"/>
    </xf>
    <xf numFmtId="0" fontId="0" fillId="0" borderId="1" xfId="0" applyFill="1" applyBorder="1" applyAlignment="1">
      <alignment vertical="justify" wrapText="1"/>
    </xf>
    <xf numFmtId="0" fontId="0" fillId="0" borderId="4" xfId="0" applyBorder="1" applyAlignment="1">
      <alignment vertical="justify" wrapText="1"/>
    </xf>
    <xf numFmtId="0" fontId="5" fillId="0" borderId="17" xfId="0" applyFont="1" applyBorder="1" applyAlignment="1">
      <alignment horizontal="center" wrapText="1"/>
    </xf>
    <xf numFmtId="0" fontId="5" fillId="0" borderId="10" xfId="0" applyFont="1" applyBorder="1" applyAlignment="1">
      <alignment horizontal="center" wrapText="1"/>
    </xf>
    <xf numFmtId="0" fontId="5" fillId="0" borderId="8" xfId="0" applyFont="1" applyBorder="1" applyAlignment="1">
      <alignment horizontal="right"/>
    </xf>
    <xf numFmtId="0" fontId="4" fillId="0" borderId="0" xfId="0" applyFont="1"/>
    <xf numFmtId="0" fontId="9" fillId="0" borderId="4" xfId="0" applyFont="1" applyBorder="1"/>
    <xf numFmtId="0" fontId="9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2" fontId="0" fillId="0" borderId="23" xfId="0" applyNumberFormat="1" applyBorder="1" applyAlignment="1">
      <alignment horizontal="center"/>
    </xf>
    <xf numFmtId="2" fontId="5" fillId="0" borderId="9" xfId="0" applyNumberFormat="1" applyFont="1" applyBorder="1" applyAlignment="1">
      <alignment horizontal="center"/>
    </xf>
    <xf numFmtId="2" fontId="0" fillId="0" borderId="0" xfId="0" applyNumberFormat="1"/>
    <xf numFmtId="0" fontId="6" fillId="0" borderId="5" xfId="0" applyFont="1" applyBorder="1"/>
    <xf numFmtId="0" fontId="0" fillId="0" borderId="7" xfId="0" applyFill="1" applyBorder="1" applyAlignment="1">
      <alignment horizontal="left"/>
    </xf>
    <xf numFmtId="0" fontId="5" fillId="0" borderId="7" xfId="0" applyNumberFormat="1" applyFont="1" applyBorder="1" applyAlignment="1">
      <alignment horizontal="center" vertical="justify" wrapText="1"/>
    </xf>
    <xf numFmtId="0" fontId="5" fillId="0" borderId="5" xfId="0" applyFont="1" applyBorder="1" applyAlignment="1">
      <alignment horizontal="center" wrapText="1"/>
    </xf>
    <xf numFmtId="0" fontId="5" fillId="0" borderId="7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16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2" fontId="5" fillId="0" borderId="0" xfId="0" applyNumberFormat="1" applyFont="1" applyBorder="1" applyAlignment="1">
      <alignment horizontal="center"/>
    </xf>
    <xf numFmtId="2" fontId="0" fillId="0" borderId="0" xfId="0" applyNumberFormat="1" applyBorder="1"/>
    <xf numFmtId="0" fontId="0" fillId="0" borderId="8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Fill="1" applyBorder="1" applyAlignment="1">
      <alignment horizontal="left"/>
    </xf>
    <xf numFmtId="0" fontId="5" fillId="0" borderId="0" xfId="0" applyFont="1" applyFill="1" applyBorder="1" applyAlignment="1">
      <alignment horizontal="center" vertical="justify" wrapText="1"/>
    </xf>
    <xf numFmtId="0" fontId="10" fillId="0" borderId="0" xfId="0" applyFont="1"/>
    <xf numFmtId="0" fontId="4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2" fontId="4" fillId="0" borderId="7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4" fillId="0" borderId="16" xfId="0" applyFont="1" applyBorder="1"/>
    <xf numFmtId="0" fontId="4" fillId="2" borderId="16" xfId="0" applyFont="1" applyFill="1" applyBorder="1"/>
    <xf numFmtId="0" fontId="4" fillId="0" borderId="16" xfId="0" applyFont="1" applyBorder="1" applyAlignment="1">
      <alignment horizontal="center"/>
    </xf>
    <xf numFmtId="0" fontId="4" fillId="0" borderId="0" xfId="0" applyFont="1" applyBorder="1"/>
    <xf numFmtId="0" fontId="4" fillId="0" borderId="15" xfId="0" applyFont="1" applyBorder="1"/>
    <xf numFmtId="0" fontId="4" fillId="0" borderId="15" xfId="0" applyFont="1" applyBorder="1" applyAlignment="1">
      <alignment horizontal="center"/>
    </xf>
    <xf numFmtId="0" fontId="4" fillId="0" borderId="8" xfId="0" applyFont="1" applyBorder="1"/>
    <xf numFmtId="0" fontId="4" fillId="0" borderId="8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2" fontId="4" fillId="0" borderId="4" xfId="0" applyNumberFormat="1" applyFont="1" applyFill="1" applyBorder="1"/>
    <xf numFmtId="0" fontId="4" fillId="0" borderId="7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2" fontId="4" fillId="0" borderId="16" xfId="0" applyNumberFormat="1" applyFont="1" applyBorder="1" applyAlignment="1">
      <alignment horizontal="center"/>
    </xf>
    <xf numFmtId="2" fontId="4" fillId="0" borderId="12" xfId="0" applyNumberFormat="1" applyFont="1" applyFill="1" applyBorder="1"/>
    <xf numFmtId="0" fontId="4" fillId="0" borderId="15" xfId="0" applyNumberFormat="1" applyFont="1" applyBorder="1" applyAlignment="1">
      <alignment horizontal="center"/>
    </xf>
    <xf numFmtId="1" fontId="4" fillId="0" borderId="7" xfId="0" applyNumberFormat="1" applyFont="1" applyBorder="1" applyAlignment="1">
      <alignment horizontal="center"/>
    </xf>
    <xf numFmtId="2" fontId="4" fillId="0" borderId="1" xfId="0" applyNumberFormat="1" applyFont="1" applyFill="1" applyBorder="1"/>
    <xf numFmtId="1" fontId="4" fillId="0" borderId="16" xfId="0" applyNumberFormat="1" applyFont="1" applyFill="1" applyBorder="1" applyAlignment="1">
      <alignment horizontal="center"/>
    </xf>
    <xf numFmtId="2" fontId="4" fillId="0" borderId="0" xfId="0" applyNumberFormat="1" applyFont="1" applyBorder="1"/>
    <xf numFmtId="0" fontId="4" fillId="0" borderId="3" xfId="0" applyFont="1" applyFill="1" applyBorder="1"/>
    <xf numFmtId="0" fontId="4" fillId="0" borderId="8" xfId="0" applyFont="1" applyBorder="1" applyAlignment="1">
      <alignment horizontal="center"/>
    </xf>
    <xf numFmtId="0" fontId="4" fillId="0" borderId="12" xfId="0" applyFont="1" applyFill="1" applyBorder="1"/>
    <xf numFmtId="0" fontId="4" fillId="0" borderId="0" xfId="0" applyFont="1" applyBorder="1" applyAlignment="1">
      <alignment horizontal="center"/>
    </xf>
    <xf numFmtId="0" fontId="4" fillId="0" borderId="4" xfId="0" applyFont="1" applyFill="1" applyBorder="1"/>
    <xf numFmtId="0" fontId="4" fillId="0" borderId="1" xfId="0" applyFont="1" applyFill="1" applyBorder="1"/>
    <xf numFmtId="0" fontId="4" fillId="0" borderId="7" xfId="0" applyFont="1" applyFill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4" xfId="0" applyNumberFormat="1" applyFont="1" applyFill="1" applyBorder="1"/>
    <xf numFmtId="0" fontId="4" fillId="0" borderId="7" xfId="0" applyFont="1" applyBorder="1"/>
    <xf numFmtId="0" fontId="4" fillId="0" borderId="7" xfId="0" applyNumberFormat="1" applyFont="1" applyFill="1" applyBorder="1"/>
    <xf numFmtId="1" fontId="4" fillId="0" borderId="15" xfId="0" applyNumberFormat="1" applyFont="1" applyBorder="1" applyAlignment="1">
      <alignment horizontal="center"/>
    </xf>
    <xf numFmtId="1" fontId="4" fillId="0" borderId="8" xfId="0" applyNumberFormat="1" applyFont="1" applyBorder="1" applyAlignment="1">
      <alignment horizontal="center"/>
    </xf>
    <xf numFmtId="0" fontId="4" fillId="0" borderId="1" xfId="0" applyFont="1" applyBorder="1"/>
    <xf numFmtId="0" fontId="4" fillId="0" borderId="4" xfId="0" applyFont="1" applyFill="1" applyBorder="1" applyAlignment="1">
      <alignment horizontal="center"/>
    </xf>
    <xf numFmtId="0" fontId="4" fillId="0" borderId="5" xfId="0" applyFont="1" applyBorder="1"/>
    <xf numFmtId="2" fontId="10" fillId="0" borderId="9" xfId="0" applyNumberFormat="1" applyFont="1" applyBorder="1" applyAlignment="1">
      <alignment horizontal="center"/>
    </xf>
    <xf numFmtId="0" fontId="4" fillId="0" borderId="0" xfId="0" applyNumberFormat="1" applyFont="1" applyFill="1" applyBorder="1"/>
    <xf numFmtId="0" fontId="10" fillId="0" borderId="0" xfId="0" applyNumberFormat="1" applyFont="1" applyFill="1" applyBorder="1" applyAlignment="1">
      <alignment horizontal="left"/>
    </xf>
    <xf numFmtId="0" fontId="10" fillId="0" borderId="0" xfId="0" applyNumberFormat="1" applyFont="1" applyFill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vertical="top" wrapText="1"/>
    </xf>
    <xf numFmtId="0" fontId="4" fillId="0" borderId="15" xfId="0" applyFont="1" applyBorder="1" applyAlignment="1">
      <alignment horizontal="center" vertical="top" wrapText="1"/>
    </xf>
    <xf numFmtId="0" fontId="4" fillId="0" borderId="15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4" fillId="0" borderId="0" xfId="0" applyFont="1" applyAlignment="1">
      <alignment horizontal="left"/>
    </xf>
    <xf numFmtId="2" fontId="4" fillId="0" borderId="1" xfId="0" applyNumberFormat="1" applyFont="1" applyFill="1" applyBorder="1" applyAlignment="1">
      <alignment vertical="distributed"/>
    </xf>
    <xf numFmtId="0" fontId="4" fillId="0" borderId="2" xfId="0" applyNumberFormat="1" applyFont="1" applyFill="1" applyBorder="1"/>
    <xf numFmtId="0" fontId="4" fillId="0" borderId="2" xfId="0" applyFont="1" applyBorder="1"/>
    <xf numFmtId="2" fontId="10" fillId="0" borderId="0" xfId="0" applyNumberFormat="1" applyFont="1" applyBorder="1" applyAlignment="1">
      <alignment horizontal="center"/>
    </xf>
    <xf numFmtId="2" fontId="4" fillId="0" borderId="7" xfId="0" applyNumberFormat="1" applyFont="1" applyFill="1" applyBorder="1" applyAlignment="1">
      <alignment vertical="distributed"/>
    </xf>
    <xf numFmtId="0" fontId="4" fillId="0" borderId="7" xfId="0" applyFont="1" applyFill="1" applyBorder="1"/>
    <xf numFmtId="2" fontId="4" fillId="0" borderId="9" xfId="0" applyNumberFormat="1" applyFont="1" applyBorder="1" applyAlignment="1">
      <alignment horizontal="center"/>
    </xf>
    <xf numFmtId="168" fontId="4" fillId="0" borderId="0" xfId="0" applyNumberFormat="1" applyFont="1"/>
    <xf numFmtId="2" fontId="4" fillId="0" borderId="7" xfId="0" applyNumberFormat="1" applyFont="1" applyFill="1" applyBorder="1"/>
    <xf numFmtId="0" fontId="10" fillId="0" borderId="4" xfId="0" applyFont="1" applyBorder="1"/>
    <xf numFmtId="0" fontId="10" fillId="0" borderId="1" xfId="0" applyFont="1" applyBorder="1"/>
    <xf numFmtId="0" fontId="10" fillId="0" borderId="5" xfId="0" applyFont="1" applyBorder="1"/>
    <xf numFmtId="0" fontId="4" fillId="0" borderId="11" xfId="0" applyFont="1" applyBorder="1"/>
    <xf numFmtId="2" fontId="10" fillId="0" borderId="7" xfId="0" applyNumberFormat="1" applyFont="1" applyBorder="1" applyAlignment="1">
      <alignment horizontal="center"/>
    </xf>
    <xf numFmtId="1" fontId="9" fillId="0" borderId="7" xfId="0" applyNumberFormat="1" applyFont="1" applyBorder="1" applyAlignment="1">
      <alignment horizontal="center"/>
    </xf>
    <xf numFmtId="0" fontId="10" fillId="0" borderId="4" xfId="0" applyNumberFormat="1" applyFont="1" applyFill="1" applyBorder="1"/>
    <xf numFmtId="2" fontId="4" fillId="0" borderId="0" xfId="0" applyNumberFormat="1" applyFont="1"/>
    <xf numFmtId="0" fontId="4" fillId="0" borderId="1" xfId="0" applyFont="1" applyBorder="1" applyAlignment="1">
      <alignment horizontal="center"/>
    </xf>
    <xf numFmtId="0" fontId="4" fillId="0" borderId="17" xfId="0" applyFont="1" applyBorder="1"/>
    <xf numFmtId="0" fontId="4" fillId="0" borderId="1" xfId="0" applyFont="1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4" fillId="0" borderId="4" xfId="0" applyFont="1" applyBorder="1"/>
    <xf numFmtId="0" fontId="10" fillId="0" borderId="5" xfId="0" applyFont="1" applyBorder="1" applyAlignment="1">
      <alignment horizontal="right"/>
    </xf>
    <xf numFmtId="167" fontId="4" fillId="0" borderId="7" xfId="0" applyNumberFormat="1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12" xfId="0" applyFont="1" applyBorder="1"/>
    <xf numFmtId="0" fontId="4" fillId="0" borderId="1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0" fillId="0" borderId="2" xfId="0" applyFont="1" applyBorder="1"/>
    <xf numFmtId="167" fontId="10" fillId="0" borderId="7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center" vertical="justify" wrapText="1"/>
    </xf>
    <xf numFmtId="0" fontId="4" fillId="0" borderId="3" xfId="0" applyFont="1" applyBorder="1" applyAlignment="1">
      <alignment vertical="justify" wrapText="1"/>
    </xf>
    <xf numFmtId="0" fontId="4" fillId="0" borderId="6" xfId="0" applyFont="1" applyBorder="1"/>
    <xf numFmtId="0" fontId="4" fillId="0" borderId="4" xfId="0" applyFont="1" applyFill="1" applyBorder="1" applyAlignment="1">
      <alignment vertical="justify" wrapText="1"/>
    </xf>
    <xf numFmtId="0" fontId="4" fillId="0" borderId="12" xfId="0" applyFont="1" applyBorder="1" applyAlignment="1">
      <alignment vertical="justify" wrapText="1"/>
    </xf>
    <xf numFmtId="0" fontId="4" fillId="0" borderId="4" xfId="0" applyFont="1" applyBorder="1" applyAlignment="1">
      <alignment vertical="justify" wrapText="1"/>
    </xf>
    <xf numFmtId="0" fontId="4" fillId="0" borderId="1" xfId="0" applyFont="1" applyBorder="1" applyAlignment="1">
      <alignment vertical="justify" wrapText="1"/>
    </xf>
    <xf numFmtId="0" fontId="4" fillId="0" borderId="4" xfId="0" applyFont="1" applyBorder="1" applyAlignment="1">
      <alignment horizontal="center" vertical="justify" wrapText="1"/>
    </xf>
    <xf numFmtId="0" fontId="10" fillId="0" borderId="5" xfId="0" applyFont="1" applyBorder="1" applyAlignment="1">
      <alignment vertical="justify" wrapText="1"/>
    </xf>
    <xf numFmtId="167" fontId="4" fillId="0" borderId="17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justify" wrapText="1"/>
    </xf>
    <xf numFmtId="0" fontId="4" fillId="0" borderId="10" xfId="0" applyFont="1" applyBorder="1"/>
    <xf numFmtId="0" fontId="4" fillId="0" borderId="18" xfId="0" applyFont="1" applyBorder="1"/>
    <xf numFmtId="167" fontId="4" fillId="0" borderId="11" xfId="0" applyNumberFormat="1" applyFont="1" applyBorder="1" applyAlignment="1">
      <alignment horizontal="center"/>
    </xf>
    <xf numFmtId="0" fontId="4" fillId="0" borderId="12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4" fillId="0" borderId="7" xfId="0" applyFont="1" applyBorder="1" applyAlignment="1">
      <alignment horizontal="center" vertical="justify" wrapText="1"/>
    </xf>
    <xf numFmtId="0" fontId="4" fillId="0" borderId="0" xfId="0" applyFont="1" applyBorder="1" applyAlignment="1">
      <alignment horizontal="center" vertical="justify" wrapText="1"/>
    </xf>
    <xf numFmtId="0" fontId="4" fillId="0" borderId="0" xfId="0" applyFont="1" applyBorder="1" applyAlignment="1">
      <alignment vertical="justify" wrapText="1"/>
    </xf>
    <xf numFmtId="49" fontId="4" fillId="0" borderId="0" xfId="0" applyNumberFormat="1" applyFont="1"/>
    <xf numFmtId="0" fontId="4" fillId="0" borderId="0" xfId="0" applyFont="1" applyFill="1" applyBorder="1" applyAlignment="1">
      <alignment vertical="justify" wrapText="1"/>
    </xf>
    <xf numFmtId="0" fontId="6" fillId="0" borderId="7" xfId="0" applyFont="1" applyBorder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0" fillId="0" borderId="26" xfId="0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4" fontId="5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5" xfId="0" applyNumberFormat="1" applyBorder="1"/>
    <xf numFmtId="2" fontId="0" fillId="0" borderId="29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2" fontId="4" fillId="0" borderId="4" xfId="0" applyNumberFormat="1" applyFont="1" applyFill="1" applyBorder="1" applyAlignment="1">
      <alignment horizontal="center" vertical="center"/>
    </xf>
    <xf numFmtId="0" fontId="4" fillId="3" borderId="0" xfId="0" applyFont="1" applyFill="1"/>
    <xf numFmtId="0" fontId="10" fillId="3" borderId="0" xfId="0" applyFont="1" applyFill="1"/>
    <xf numFmtId="2" fontId="0" fillId="0" borderId="11" xfId="0" applyNumberFormat="1" applyBorder="1" applyAlignment="1">
      <alignment horizontal="left"/>
    </xf>
    <xf numFmtId="0" fontId="2" fillId="0" borderId="31" xfId="0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 applyProtection="1">
      <alignment horizontal="center"/>
      <protection locked="0"/>
    </xf>
    <xf numFmtId="0" fontId="2" fillId="4" borderId="19" xfId="0" applyFont="1" applyFill="1" applyBorder="1" applyAlignment="1">
      <alignment horizontal="center"/>
    </xf>
    <xf numFmtId="164" fontId="2" fillId="0" borderId="19" xfId="0" applyNumberFormat="1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6" fillId="0" borderId="11" xfId="0" applyFont="1" applyBorder="1"/>
    <xf numFmtId="2" fontId="6" fillId="0" borderId="11" xfId="0" applyNumberFormat="1" applyFont="1" applyBorder="1" applyAlignment="1">
      <alignment horizontal="center"/>
    </xf>
    <xf numFmtId="2" fontId="6" fillId="0" borderId="7" xfId="0" applyNumberFormat="1" applyFont="1" applyFill="1" applyBorder="1"/>
    <xf numFmtId="0" fontId="0" fillId="0" borderId="0" xfId="0" applyFont="1"/>
    <xf numFmtId="0" fontId="5" fillId="0" borderId="0" xfId="0" applyFont="1" applyBorder="1"/>
    <xf numFmtId="0" fontId="10" fillId="0" borderId="0" xfId="0" applyFont="1" applyAlignment="1"/>
    <xf numFmtId="0" fontId="13" fillId="0" borderId="0" xfId="0" applyFont="1" applyBorder="1"/>
    <xf numFmtId="0" fontId="0" fillId="0" borderId="26" xfId="0" applyBorder="1" applyAlignment="1">
      <alignment horizontal="center" vertical="center" wrapText="1"/>
    </xf>
    <xf numFmtId="2" fontId="12" fillId="0" borderId="0" xfId="0" applyNumberFormat="1" applyFont="1" applyFill="1" applyBorder="1" applyAlignment="1">
      <alignment horizontal="center" vertical="top" wrapText="1"/>
    </xf>
    <xf numFmtId="0" fontId="12" fillId="0" borderId="7" xfId="0" applyFont="1" applyBorder="1" applyAlignment="1">
      <alignment horizontal="center" vertical="top" wrapText="1"/>
    </xf>
    <xf numFmtId="2" fontId="12" fillId="0" borderId="7" xfId="0" applyNumberFormat="1" applyFont="1" applyBorder="1" applyAlignment="1">
      <alignment horizontal="center" vertical="top" wrapText="1"/>
    </xf>
    <xf numFmtId="0" fontId="12" fillId="0" borderId="32" xfId="0" applyFont="1" applyBorder="1" applyAlignment="1">
      <alignment horizontal="center" vertical="top" wrapText="1"/>
    </xf>
    <xf numFmtId="0" fontId="12" fillId="0" borderId="33" xfId="0" applyFont="1" applyBorder="1" applyAlignment="1">
      <alignment horizontal="center" vertical="top" wrapText="1"/>
    </xf>
    <xf numFmtId="0" fontId="12" fillId="0" borderId="34" xfId="0" applyFont="1" applyFill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165" fontId="0" fillId="0" borderId="27" xfId="0" applyNumberFormat="1" applyBorder="1"/>
    <xf numFmtId="0" fontId="12" fillId="0" borderId="30" xfId="0" applyFont="1" applyBorder="1" applyAlignment="1">
      <alignment horizontal="center" vertical="top" wrapText="1"/>
    </xf>
    <xf numFmtId="0" fontId="12" fillId="0" borderId="23" xfId="0" applyFont="1" applyBorder="1" applyAlignment="1">
      <alignment horizontal="center" vertical="top" wrapText="1"/>
    </xf>
    <xf numFmtId="2" fontId="12" fillId="0" borderId="23" xfId="0" applyNumberFormat="1" applyFont="1" applyBorder="1" applyAlignment="1">
      <alignment horizontal="center" vertical="top" wrapText="1"/>
    </xf>
    <xf numFmtId="165" fontId="0" fillId="0" borderId="29" xfId="0" applyNumberFormat="1" applyBorder="1"/>
    <xf numFmtId="2" fontId="0" fillId="0" borderId="26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2" fillId="0" borderId="28" xfId="0" applyNumberFormat="1" applyFont="1" applyBorder="1" applyAlignment="1">
      <alignment horizontal="center"/>
    </xf>
    <xf numFmtId="0" fontId="0" fillId="0" borderId="27" xfId="0" applyBorder="1" applyAlignment="1">
      <alignment horizontal="center" vertical="center"/>
    </xf>
    <xf numFmtId="164" fontId="0" fillId="0" borderId="26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12" fillId="0" borderId="26" xfId="0" applyNumberFormat="1" applyFont="1" applyBorder="1" applyAlignment="1">
      <alignment horizontal="center" vertical="top" wrapText="1"/>
    </xf>
    <xf numFmtId="164" fontId="12" fillId="0" borderId="30" xfId="0" applyNumberFormat="1" applyFont="1" applyBorder="1" applyAlignment="1">
      <alignment horizontal="center" vertical="top" wrapText="1"/>
    </xf>
    <xf numFmtId="165" fontId="0" fillId="0" borderId="0" xfId="0" applyNumberFormat="1" applyFill="1" applyBorder="1"/>
    <xf numFmtId="165" fontId="0" fillId="0" borderId="11" xfId="0" applyNumberFormat="1" applyBorder="1"/>
    <xf numFmtId="2" fontId="0" fillId="0" borderId="0" xfId="0" applyNumberFormat="1" applyFill="1" applyBorder="1"/>
    <xf numFmtId="0" fontId="0" fillId="0" borderId="36" xfId="0" applyBorder="1"/>
    <xf numFmtId="0" fontId="0" fillId="0" borderId="7" xfId="0" applyFill="1" applyBorder="1"/>
    <xf numFmtId="0" fontId="0" fillId="0" borderId="32" xfId="0" applyBorder="1" applyAlignment="1">
      <alignment horizontal="center"/>
    </xf>
    <xf numFmtId="0" fontId="0" fillId="0" borderId="33" xfId="0" applyBorder="1"/>
    <xf numFmtId="0" fontId="0" fillId="0" borderId="26" xfId="0" applyFill="1" applyBorder="1" applyAlignment="1">
      <alignment horizontal="center"/>
    </xf>
    <xf numFmtId="0" fontId="0" fillId="0" borderId="30" xfId="0" applyBorder="1"/>
    <xf numFmtId="0" fontId="0" fillId="0" borderId="29" xfId="0" applyBorder="1"/>
    <xf numFmtId="0" fontId="4" fillId="0" borderId="7" xfId="0" applyNumberFormat="1" applyFont="1" applyFill="1" applyBorder="1" applyAlignment="1">
      <alignment horizontal="left" vertical="top" wrapText="1"/>
    </xf>
    <xf numFmtId="0" fontId="5" fillId="0" borderId="19" xfId="0" applyFont="1" applyBorder="1" applyAlignment="1">
      <alignment horizontal="center"/>
    </xf>
    <xf numFmtId="0" fontId="0" fillId="0" borderId="0" xfId="0" applyFill="1"/>
    <xf numFmtId="2" fontId="0" fillId="0" borderId="11" xfId="0" applyNumberFormat="1" applyFont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5" fillId="0" borderId="37" xfId="0" applyFont="1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0" fillId="0" borderId="35" xfId="0" applyBorder="1"/>
    <xf numFmtId="0" fontId="0" fillId="0" borderId="28" xfId="0" applyBorder="1"/>
    <xf numFmtId="0" fontId="0" fillId="0" borderId="26" xfId="0" applyBorder="1"/>
    <xf numFmtId="0" fontId="0" fillId="0" borderId="27" xfId="0" applyBorder="1"/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9" fillId="0" borderId="1" xfId="0" applyFont="1" applyFill="1" applyBorder="1"/>
    <xf numFmtId="2" fontId="0" fillId="0" borderId="16" xfId="0" applyNumberFormat="1" applyBorder="1" applyAlignment="1">
      <alignment horizontal="center"/>
    </xf>
    <xf numFmtId="0" fontId="0" fillId="0" borderId="2" xfId="0" applyFill="1" applyBorder="1"/>
    <xf numFmtId="0" fontId="0" fillId="0" borderId="2" xfId="0" applyBorder="1" applyAlignment="1">
      <alignment horizontal="center"/>
    </xf>
    <xf numFmtId="0" fontId="0" fillId="6" borderId="0" xfId="0" applyFill="1"/>
    <xf numFmtId="168" fontId="4" fillId="0" borderId="11" xfId="0" applyNumberFormat="1" applyFont="1" applyBorder="1" applyAlignment="1">
      <alignment horizontal="center" vertical="justify" wrapText="1"/>
    </xf>
    <xf numFmtId="168" fontId="4" fillId="0" borderId="16" xfId="0" applyNumberFormat="1" applyFont="1" applyBorder="1" applyAlignment="1">
      <alignment horizontal="center" vertical="justify" wrapText="1"/>
    </xf>
    <xf numFmtId="167" fontId="0" fillId="0" borderId="15" xfId="0" applyNumberFormat="1" applyBorder="1" applyAlignment="1">
      <alignment horizontal="center" vertical="justify" wrapText="1"/>
    </xf>
    <xf numFmtId="167" fontId="0" fillId="0" borderId="18" xfId="0" applyNumberFormat="1" applyBorder="1" applyAlignment="1">
      <alignment horizontal="center" vertical="justify" wrapText="1"/>
    </xf>
    <xf numFmtId="167" fontId="0" fillId="0" borderId="7" xfId="0" applyNumberFormat="1" applyBorder="1" applyAlignment="1">
      <alignment horizontal="center" vertical="justify" wrapText="1"/>
    </xf>
    <xf numFmtId="167" fontId="0" fillId="0" borderId="11" xfId="0" applyNumberForma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 vertical="justify" wrapText="1"/>
    </xf>
    <xf numFmtId="167" fontId="0" fillId="0" borderId="17" xfId="0" applyNumberFormat="1" applyBorder="1" applyAlignment="1">
      <alignment horizontal="center" vertical="justify" wrapText="1"/>
    </xf>
    <xf numFmtId="167" fontId="1" fillId="0" borderId="7" xfId="0" applyNumberFormat="1" applyFont="1" applyBorder="1" applyAlignment="1">
      <alignment horizontal="center" vertical="justify" wrapText="1"/>
    </xf>
    <xf numFmtId="167" fontId="1" fillId="0" borderId="11" xfId="0" applyNumberFormat="1" applyFon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/>
    </xf>
    <xf numFmtId="167" fontId="0" fillId="0" borderId="5" xfId="0" applyNumberFormat="1" applyBorder="1"/>
    <xf numFmtId="167" fontId="0" fillId="0" borderId="11" xfId="0" applyNumberFormat="1" applyBorder="1"/>
    <xf numFmtId="167" fontId="0" fillId="0" borderId="8" xfId="0" applyNumberForma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2" fontId="0" fillId="7" borderId="0" xfId="0" applyNumberFormat="1" applyFill="1"/>
    <xf numFmtId="49" fontId="16" fillId="0" borderId="9" xfId="0" applyNumberFormat="1" applyFont="1" applyBorder="1" applyAlignment="1">
      <alignment horizontal="center"/>
    </xf>
    <xf numFmtId="0" fontId="10" fillId="0" borderId="3" xfId="0" applyNumberFormat="1" applyFont="1" applyFill="1" applyBorder="1"/>
    <xf numFmtId="2" fontId="10" fillId="0" borderId="14" xfId="0" applyNumberFormat="1" applyFont="1" applyBorder="1" applyAlignment="1">
      <alignment horizontal="center"/>
    </xf>
    <xf numFmtId="2" fontId="4" fillId="0" borderId="4" xfId="0" applyNumberFormat="1" applyFont="1" applyFill="1" applyBorder="1" applyAlignment="1">
      <alignment wrapText="1"/>
    </xf>
    <xf numFmtId="0" fontId="4" fillId="2" borderId="7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left"/>
    </xf>
    <xf numFmtId="0" fontId="16" fillId="0" borderId="19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0" fillId="0" borderId="39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0" fontId="0" fillId="0" borderId="7" xfId="0" applyBorder="1" applyAlignment="1">
      <alignment vertical="justify" wrapText="1"/>
    </xf>
    <xf numFmtId="0" fontId="10" fillId="0" borderId="4" xfId="0" applyFont="1" applyBorder="1" applyAlignment="1">
      <alignment horizontal="left"/>
    </xf>
    <xf numFmtId="167" fontId="0" fillId="0" borderId="8" xfId="0" applyNumberFormat="1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/>
    </xf>
    <xf numFmtId="2" fontId="0" fillId="0" borderId="11" xfId="0" applyNumberFormat="1" applyFont="1" applyBorder="1" applyAlignment="1">
      <alignment horizontal="left"/>
    </xf>
    <xf numFmtId="0" fontId="0" fillId="0" borderId="4" xfId="0" applyFont="1" applyBorder="1"/>
    <xf numFmtId="165" fontId="4" fillId="0" borderId="7" xfId="0" applyNumberFormat="1" applyFont="1" applyBorder="1" applyAlignment="1">
      <alignment horizontal="center"/>
    </xf>
    <xf numFmtId="0" fontId="0" fillId="0" borderId="15" xfId="0" applyFill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11" xfId="0" applyFont="1" applyBorder="1"/>
    <xf numFmtId="0" fontId="1" fillId="0" borderId="11" xfId="0" applyFont="1" applyBorder="1"/>
    <xf numFmtId="167" fontId="0" fillId="0" borderId="23" xfId="0" applyNumberFormat="1" applyBorder="1" applyAlignment="1">
      <alignment horizontal="center"/>
    </xf>
    <xf numFmtId="0" fontId="19" fillId="0" borderId="0" xfId="0" applyFont="1" applyBorder="1"/>
    <xf numFmtId="1" fontId="17" fillId="0" borderId="0" xfId="0" applyNumberFormat="1" applyFont="1" applyBorder="1" applyAlignment="1">
      <alignment horizontal="center"/>
    </xf>
    <xf numFmtId="0" fontId="0" fillId="0" borderId="12" xfId="0" applyBorder="1"/>
    <xf numFmtId="0" fontId="0" fillId="0" borderId="17" xfId="0" applyBorder="1" applyAlignment="1">
      <alignment horizontal="center"/>
    </xf>
    <xf numFmtId="2" fontId="5" fillId="0" borderId="14" xfId="0" applyNumberFormat="1" applyFont="1" applyBorder="1" applyAlignment="1">
      <alignment horizontal="center"/>
    </xf>
    <xf numFmtId="2" fontId="4" fillId="0" borderId="8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3" fillId="0" borderId="36" xfId="0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41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0" fontId="17" fillId="0" borderId="7" xfId="0" applyFont="1" applyBorder="1" applyAlignment="1">
      <alignment horizontal="left"/>
    </xf>
    <xf numFmtId="0" fontId="17" fillId="0" borderId="4" xfId="0" applyFont="1" applyBorder="1" applyAlignment="1">
      <alignment horizontal="left"/>
    </xf>
    <xf numFmtId="0" fontId="0" fillId="2" borderId="7" xfId="0" applyFont="1" applyFill="1" applyBorder="1" applyAlignment="1">
      <alignment horizontal="left"/>
    </xf>
    <xf numFmtId="0" fontId="7" fillId="0" borderId="3" xfId="0" applyFont="1" applyFill="1" applyBorder="1" applyAlignment="1">
      <alignment horizontal="left"/>
    </xf>
    <xf numFmtId="0" fontId="7" fillId="0" borderId="6" xfId="0" applyFont="1" applyFill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0" fillId="5" borderId="0" xfId="0" applyFill="1" applyAlignment="1">
      <alignment horizontal="center"/>
    </xf>
    <xf numFmtId="0" fontId="0" fillId="0" borderId="43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44" xfId="0" applyFont="1" applyBorder="1" applyAlignment="1">
      <alignment horizontal="left"/>
    </xf>
    <xf numFmtId="0" fontId="1" fillId="0" borderId="45" xfId="0" applyFont="1" applyBorder="1" applyAlignment="1">
      <alignment horizontal="left"/>
    </xf>
    <xf numFmtId="0" fontId="1" fillId="0" borderId="46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0" fillId="0" borderId="7" xfId="0" applyFont="1" applyBorder="1" applyAlignment="1">
      <alignment horizontal="left"/>
    </xf>
    <xf numFmtId="0" fontId="17" fillId="0" borderId="37" xfId="0" applyFont="1" applyBorder="1" applyAlignment="1">
      <alignment horizontal="left"/>
    </xf>
    <xf numFmtId="0" fontId="17" fillId="0" borderId="38" xfId="0" applyFont="1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11" fillId="0" borderId="0" xfId="0" applyFont="1" applyAlignment="1">
      <alignment horizontal="center" vertical="center"/>
    </xf>
    <xf numFmtId="0" fontId="4" fillId="0" borderId="47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2" borderId="50" xfId="0" applyFont="1" applyFill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42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7" xfId="0" applyFill="1" applyBorder="1" applyAlignment="1">
      <alignment horizontal="left"/>
    </xf>
    <xf numFmtId="0" fontId="0" fillId="0" borderId="26" xfId="0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 wrapText="1"/>
    </xf>
    <xf numFmtId="0" fontId="0" fillId="0" borderId="52" xfId="0" applyBorder="1" applyAlignment="1">
      <alignment horizontal="center" vertical="top" wrapText="1"/>
    </xf>
    <xf numFmtId="0" fontId="0" fillId="0" borderId="42" xfId="0" applyBorder="1" applyAlignment="1">
      <alignment horizontal="center" vertical="top" wrapText="1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2" fontId="0" fillId="0" borderId="32" xfId="0" applyNumberFormat="1" applyBorder="1" applyAlignment="1">
      <alignment horizontal="center" wrapText="1"/>
    </xf>
    <xf numFmtId="2" fontId="0" fillId="0" borderId="34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2" fontId="4" fillId="0" borderId="0" xfId="0" applyNumberFormat="1" applyFont="1" applyAlignment="1">
      <alignment horizontal="center" vertical="top" wrapText="1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6" fillId="0" borderId="6" xfId="0" applyFont="1" applyBorder="1" applyAlignment="1">
      <alignment horizontal="left" wrapText="1"/>
    </xf>
    <xf numFmtId="167" fontId="0" fillId="0" borderId="4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5" dropStyle="combo" dx="20" fmlaLink="базмат" fmlaRange="Материалы_dropdownlist" noThreeD="1" sel="3" val="2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0</xdr:rowOff>
        </xdr:from>
        <xdr:to>
          <xdr:col>6</xdr:col>
          <xdr:colOff>866775</xdr:colOff>
          <xdr:row>13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19050</xdr:rowOff>
        </xdr:from>
        <xdr:to>
          <xdr:col>9</xdr:col>
          <xdr:colOff>0</xdr:colOff>
          <xdr:row>3</xdr:row>
          <xdr:rowOff>57150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 в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59" name="Text Box 1"/>
        <xdr:cNvSpPr txBox="1">
          <a:spLocks noChangeArrowheads="1"/>
        </xdr:cNvSpPr>
      </xdr:nvSpPr>
      <xdr:spPr bwMode="auto">
        <a:xfrm>
          <a:off x="3581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60960</xdr:colOff>
      <xdr:row>3</xdr:row>
      <xdr:rowOff>0</xdr:rowOff>
    </xdr:from>
    <xdr:to>
      <xdr:col>1</xdr:col>
      <xdr:colOff>137160</xdr:colOff>
      <xdr:row>3</xdr:row>
      <xdr:rowOff>0</xdr:rowOff>
    </xdr:to>
    <xdr:sp macro="" textlink="">
      <xdr:nvSpPr>
        <xdr:cNvPr id="15460" name="Text Box 2"/>
        <xdr:cNvSpPr txBox="1">
          <a:spLocks noChangeArrowheads="1"/>
        </xdr:cNvSpPr>
      </xdr:nvSpPr>
      <xdr:spPr bwMode="auto">
        <a:xfrm>
          <a:off x="3962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7620</xdr:colOff>
      <xdr:row>3</xdr:row>
      <xdr:rowOff>0</xdr:rowOff>
    </xdr:from>
    <xdr:to>
      <xdr:col>1</xdr:col>
      <xdr:colOff>144780</xdr:colOff>
      <xdr:row>3</xdr:row>
      <xdr:rowOff>0</xdr:rowOff>
    </xdr:to>
    <xdr:sp macro="" textlink="">
      <xdr:nvSpPr>
        <xdr:cNvPr id="15461" name="Text Box 3"/>
        <xdr:cNvSpPr txBox="1">
          <a:spLocks noChangeArrowheads="1"/>
        </xdr:cNvSpPr>
      </xdr:nvSpPr>
      <xdr:spPr bwMode="auto">
        <a:xfrm>
          <a:off x="342900" y="510540"/>
          <a:ext cx="13716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68580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62" name="Text Box 4"/>
        <xdr:cNvSpPr txBox="1">
          <a:spLocks noChangeArrowheads="1"/>
        </xdr:cNvSpPr>
      </xdr:nvSpPr>
      <xdr:spPr bwMode="auto">
        <a:xfrm flipV="1">
          <a:off x="403860" y="510540"/>
          <a:ext cx="3048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30480</xdr:colOff>
      <xdr:row>3</xdr:row>
      <xdr:rowOff>0</xdr:rowOff>
    </xdr:from>
    <xdr:to>
      <xdr:col>1</xdr:col>
      <xdr:colOff>106680</xdr:colOff>
      <xdr:row>3</xdr:row>
      <xdr:rowOff>0</xdr:rowOff>
    </xdr:to>
    <xdr:sp macro="" textlink="">
      <xdr:nvSpPr>
        <xdr:cNvPr id="15463" name="Text Box 5"/>
        <xdr:cNvSpPr txBox="1">
          <a:spLocks noChangeArrowheads="1"/>
        </xdr:cNvSpPr>
      </xdr:nvSpPr>
      <xdr:spPr bwMode="auto">
        <a:xfrm>
          <a:off x="36576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106680</xdr:colOff>
      <xdr:row>3</xdr:row>
      <xdr:rowOff>0</xdr:rowOff>
    </xdr:from>
    <xdr:to>
      <xdr:col>1</xdr:col>
      <xdr:colOff>335280</xdr:colOff>
      <xdr:row>3</xdr:row>
      <xdr:rowOff>0</xdr:rowOff>
    </xdr:to>
    <xdr:sp macro="" textlink="">
      <xdr:nvSpPr>
        <xdr:cNvPr id="15464" name="Text Box 6"/>
        <xdr:cNvSpPr txBox="1">
          <a:spLocks noChangeArrowheads="1"/>
        </xdr:cNvSpPr>
      </xdr:nvSpPr>
      <xdr:spPr bwMode="auto">
        <a:xfrm>
          <a:off x="441960" y="510540"/>
          <a:ext cx="2286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17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5465" name="Text Box 12"/>
        <xdr:cNvSpPr txBox="1">
          <a:spLocks noChangeArrowheads="1"/>
        </xdr:cNvSpPr>
      </xdr:nvSpPr>
      <xdr:spPr bwMode="auto">
        <a:xfrm>
          <a:off x="5288280" y="43891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3"/>
      <definedName name="ПрайсНаМатериалы" refersTo="='Материалы'!$D$4:$L$303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105/105-0.15</v>
          </cell>
          <cell r="B5">
            <v>2</v>
          </cell>
          <cell r="C5" t="str">
            <v>Стеклотекстолит фольгированный DE104ML 105/105-0.15</v>
          </cell>
          <cell r="D5" t="str">
            <v>DE 104 ML 105/105-0.15</v>
          </cell>
          <cell r="E5" t="str">
            <v>м2</v>
          </cell>
          <cell r="F5">
            <v>4828.3</v>
          </cell>
          <cell r="G5" t="str">
            <v>spb000000 от 02.04.2018 (spb000000)</v>
          </cell>
          <cell r="H5" t="str">
            <v>ООО "Петрокоммерц"</v>
          </cell>
          <cell r="I5">
            <v>0</v>
          </cell>
        </row>
        <row r="6">
          <cell r="A6" t="str">
            <v>DE 104 ML 12/12-0.1</v>
          </cell>
          <cell r="B6">
            <v>3</v>
          </cell>
          <cell r="C6" t="str">
            <v>Стеклотекстолит фольгированный DE104ML 12/12-0.1</v>
          </cell>
          <cell r="D6" t="str">
            <v>DE 104 ML 12/12-0.1</v>
          </cell>
          <cell r="E6" t="str">
            <v>м2</v>
          </cell>
          <cell r="F6">
            <v>1969.89</v>
          </cell>
          <cell r="G6" t="str">
            <v>spb14033106 от 31.03.2014 (spb140331006)</v>
          </cell>
          <cell r="H6" t="str">
            <v>ООО "Петрокоммерц"</v>
          </cell>
          <cell r="I6">
            <v>1969.89</v>
          </cell>
        </row>
        <row r="7">
          <cell r="A7" t="str">
            <v>DE 104 ML 18/105-0,1</v>
          </cell>
          <cell r="B7">
            <v>4</v>
          </cell>
          <cell r="C7" t="str">
            <v>Стеклотекстолит фольгированный DE104ML 18/105-0.1</v>
          </cell>
          <cell r="D7" t="str">
            <v>DE 104 ML 18/105-0,1</v>
          </cell>
          <cell r="E7" t="str">
            <v>м2</v>
          </cell>
          <cell r="F7">
            <v>3411.77</v>
          </cell>
          <cell r="G7" t="str">
            <v>spb17012601 от 26.01.2017 (spb170126001)</v>
          </cell>
          <cell r="H7" t="str">
            <v>ООО "Петрокоммерц"</v>
          </cell>
          <cell r="I7">
            <v>2983.84</v>
          </cell>
        </row>
        <row r="8">
          <cell r="A8" t="str">
            <v>DE 104 ML 18/18-0,1</v>
          </cell>
          <cell r="B8">
            <v>5</v>
          </cell>
          <cell r="C8" t="str">
            <v>Стеклотекстолит фольгированный DE104ML 18/18-0.1</v>
          </cell>
          <cell r="D8" t="str">
            <v>DE 104 ML 18/18-0,1</v>
          </cell>
          <cell r="E8" t="str">
            <v>м2</v>
          </cell>
          <cell r="F8">
            <v>1980</v>
          </cell>
          <cell r="G8" t="str">
            <v>555 от 08.06.2018 (556)</v>
          </cell>
          <cell r="H8" t="str">
            <v>ООО "БАЛТПРОМИЗОЛИТ"</v>
          </cell>
          <cell r="I8">
            <v>2263.83</v>
          </cell>
        </row>
        <row r="9">
          <cell r="A9" t="str">
            <v>DE 104 ML 18/18-0,15</v>
          </cell>
          <cell r="B9">
            <v>6</v>
          </cell>
          <cell r="C9" t="str">
            <v>Стеклотекстолит фольгированный DE104ML 18/18-0.15</v>
          </cell>
          <cell r="D9" t="str">
            <v>DE 104 ML 18/18-0,15</v>
          </cell>
          <cell r="E9" t="str">
            <v>м2</v>
          </cell>
          <cell r="F9">
            <v>1995.81</v>
          </cell>
          <cell r="G9" t="str">
            <v>164 от 21.08.2017 (185)</v>
          </cell>
          <cell r="H9" t="str">
            <v>ООО "Петроизолит"</v>
          </cell>
          <cell r="I9">
            <v>2281.91</v>
          </cell>
        </row>
        <row r="10">
          <cell r="A10" t="str">
            <v>DE 104 ML 18/18-0,18</v>
          </cell>
          <cell r="B10">
            <v>7</v>
          </cell>
          <cell r="C10" t="str">
            <v>Стеклотекстолит фольгированный DE104ML 18/18-0.18</v>
          </cell>
          <cell r="D10" t="str">
            <v>DE 104 ML 18/18-0,18</v>
          </cell>
          <cell r="E10" t="str">
            <v>м2</v>
          </cell>
          <cell r="F10">
            <v>1995.83</v>
          </cell>
          <cell r="G10" t="str">
            <v>165 от 21.08.2017 (186)</v>
          </cell>
          <cell r="H10" t="str">
            <v>ООО "Петроизолит"</v>
          </cell>
          <cell r="I10">
            <v>1994.47</v>
          </cell>
        </row>
        <row r="11">
          <cell r="A11" t="str">
            <v>DE 104 ML 18/18-0,2</v>
          </cell>
          <cell r="B11">
            <v>8</v>
          </cell>
          <cell r="C11" t="str">
            <v>Стеклотекстолит фольгированный DE104ML 18/18-0.2</v>
          </cell>
          <cell r="D11" t="str">
            <v>DE 104 ML 18/18-0,2</v>
          </cell>
          <cell r="E11" t="str">
            <v>м2</v>
          </cell>
          <cell r="F11">
            <v>1747.8</v>
          </cell>
          <cell r="G11" t="str">
            <v>ТН 50 от 16.03.2017 (50)</v>
          </cell>
          <cell r="H11" t="str">
            <v>ООО "БАЛТИЗОЛИТ"</v>
          </cell>
        </row>
        <row r="12">
          <cell r="A12" t="str">
            <v>DE 104 ML 18/18-0,25</v>
          </cell>
          <cell r="B12">
            <v>9</v>
          </cell>
          <cell r="C12" t="str">
            <v>Стеклотекстолит фольгированный DE104ML 18/18-0.25</v>
          </cell>
          <cell r="D12" t="str">
            <v>DE 104 ML 18/18-0,25</v>
          </cell>
          <cell r="E12" t="str">
            <v>м2</v>
          </cell>
          <cell r="F12">
            <v>2418.69</v>
          </cell>
          <cell r="G12" t="str">
            <v>105 от 08.06.2018 (113)</v>
          </cell>
          <cell r="H12" t="str">
            <v>ООО "Петроизолит"</v>
          </cell>
          <cell r="I12">
            <v>2487.48</v>
          </cell>
        </row>
        <row r="13">
          <cell r="A13" t="str">
            <v>DE 104 ML 18/18-0,36</v>
          </cell>
          <cell r="B13">
            <v>10</v>
          </cell>
          <cell r="C13" t="str">
            <v>Стеклотекстолит фольгированный DE104ML 18/18-0.36</v>
          </cell>
          <cell r="D13" t="str">
            <v>DE 104 ML 18/18-0,36</v>
          </cell>
          <cell r="E13" t="str">
            <v>м2</v>
          </cell>
          <cell r="F13">
            <v>2187.34</v>
          </cell>
          <cell r="G13" t="str">
            <v>169 от 21.08.2017 (190)</v>
          </cell>
          <cell r="H13" t="str">
            <v>ООО "ПЕТРОИЗОЛИТ"</v>
          </cell>
          <cell r="I13">
            <v>2358.84</v>
          </cell>
        </row>
        <row r="14">
          <cell r="A14" t="str">
            <v>DE 104 ML 18/18-0,51</v>
          </cell>
          <cell r="B14">
            <v>11</v>
          </cell>
          <cell r="C14" t="str">
            <v>Стеклотекстолит фольгированный DE104ML 18/18-0.51</v>
          </cell>
          <cell r="D14" t="str">
            <v>DE 104 ML 18/18-0,51</v>
          </cell>
          <cell r="E14" t="str">
            <v>м2</v>
          </cell>
          <cell r="F14">
            <v>2671</v>
          </cell>
          <cell r="G14" t="str">
            <v>416 от 03.05.2018 (416)</v>
          </cell>
          <cell r="H14" t="str">
            <v>ООО "БАЛТПРОМИЗОЛИТ"</v>
          </cell>
          <cell r="I14">
            <v>2693.67</v>
          </cell>
        </row>
        <row r="15">
          <cell r="A15" t="str">
            <v>DE 104 ML 18/18-0,8</v>
          </cell>
          <cell r="B15">
            <v>12</v>
          </cell>
          <cell r="C15" t="str">
            <v>Стеклотекстолит фольгированный DE104ML 18/18-0.8</v>
          </cell>
          <cell r="D15" t="str">
            <v>DE 104 ML 18/18-0,8</v>
          </cell>
          <cell r="E15" t="str">
            <v>м2</v>
          </cell>
          <cell r="F15">
            <v>2490</v>
          </cell>
          <cell r="G15" t="str">
            <v>1190 от 22.09.2016 (1190)</v>
          </cell>
          <cell r="H15" t="str">
            <v>ООО "БАЛТИЗОЛИТ"</v>
          </cell>
          <cell r="I15">
            <v>1563.82</v>
          </cell>
        </row>
        <row r="16">
          <cell r="A16" t="str">
            <v>DE 104 ML 18/18-1.0</v>
          </cell>
          <cell r="B16">
            <v>13</v>
          </cell>
          <cell r="C16" t="str">
            <v>Стеклотекстолит фольгированный DE104ML 18/18-1.0</v>
          </cell>
          <cell r="D16" t="str">
            <v>DE 104 ML 18/18-1.0</v>
          </cell>
          <cell r="E16" t="str">
            <v>м2</v>
          </cell>
          <cell r="F16">
            <v>1768.51</v>
          </cell>
          <cell r="G16" t="str">
            <v>spb14050701 от 07.05.2014 (spb140507001)</v>
          </cell>
          <cell r="H16" t="str">
            <v>ООО "Петрокоммерц"</v>
          </cell>
          <cell r="I16">
            <v>1592.49</v>
          </cell>
        </row>
        <row r="17">
          <cell r="A17" t="str">
            <v>DE 104 ML 18/70-0,1</v>
          </cell>
          <cell r="B17">
            <v>14</v>
          </cell>
          <cell r="C17" t="str">
            <v>Стеклотекстолит фольгированный DE104ML 18/70-0.1</v>
          </cell>
          <cell r="D17" t="str">
            <v>DE 104 ML 18/70-0,1</v>
          </cell>
          <cell r="E17" t="str">
            <v>м2</v>
          </cell>
          <cell r="F17">
            <v>2827.57</v>
          </cell>
          <cell r="G17" t="str">
            <v>spb018053102 от 31.05.2018(spb0180531002)</v>
          </cell>
          <cell r="H17" t="str">
            <v>ООО "Петрокоммерц"</v>
          </cell>
          <cell r="I17">
            <v>2367.83</v>
          </cell>
        </row>
        <row r="18">
          <cell r="A18" t="str">
            <v>DE 104 ML 35/35-0,1</v>
          </cell>
          <cell r="B18">
            <v>15</v>
          </cell>
          <cell r="C18" t="str">
            <v>Стеклотекстолит фольгированный DE104ML 35/35-0.1</v>
          </cell>
          <cell r="D18" t="str">
            <v>DE 104 ML 35/35-0,1</v>
          </cell>
          <cell r="E18" t="str">
            <v>м2</v>
          </cell>
          <cell r="F18">
            <v>2052.21</v>
          </cell>
          <cell r="G18" t="str">
            <v>170 от 21.08.2017 (191)</v>
          </cell>
          <cell r="H18" t="str">
            <v>ООО "ПЕТРОИЗОЛИТ"</v>
          </cell>
          <cell r="I18">
            <v>1860.51</v>
          </cell>
        </row>
        <row r="19">
          <cell r="A19" t="str">
            <v>DE 104 ML 35/35-0,15</v>
          </cell>
          <cell r="B19">
            <v>16</v>
          </cell>
          <cell r="C19" t="str">
            <v>Стеклотекстолит фольгированный DE104ML 35/35-0.15</v>
          </cell>
          <cell r="D19" t="str">
            <v>DE 104 ML 35/35-0,15</v>
          </cell>
          <cell r="E19" t="str">
            <v>м2</v>
          </cell>
          <cell r="F19" t="str">
            <v>2113.23</v>
          </cell>
          <cell r="G19" t="str">
            <v>171 от 21.08.2017 (192)</v>
          </cell>
          <cell r="H19" t="str">
            <v>ООО "ПЕТРОИЗОЛИТ"</v>
          </cell>
          <cell r="I19">
            <v>1583.85</v>
          </cell>
        </row>
        <row r="20">
          <cell r="A20" t="str">
            <v>DE 104 ML 35/35-0,20</v>
          </cell>
          <cell r="B20">
            <v>17</v>
          </cell>
          <cell r="C20" t="str">
            <v>Стеклотекстолит фольгированный DE104ML 35/35-0.2</v>
          </cell>
          <cell r="D20" t="str">
            <v>DE 104 ML 35/35-0,20</v>
          </cell>
          <cell r="E20" t="str">
            <v>м2</v>
          </cell>
          <cell r="F20">
            <v>2287</v>
          </cell>
          <cell r="G20" t="str">
            <v>321 от 09.08.2017 (321)</v>
          </cell>
          <cell r="H20" t="str">
            <v>ООО "БАЛТПРОМИЗОЛИТ"</v>
          </cell>
          <cell r="I20">
            <v>2425.9499999999998</v>
          </cell>
        </row>
        <row r="21">
          <cell r="A21" t="str">
            <v>DE 104 ML 35/35-0,25</v>
          </cell>
          <cell r="B21">
            <v>18</v>
          </cell>
          <cell r="C21" t="str">
            <v>Стеклотекстолит фольгированный DE104ML 35/35-0.25</v>
          </cell>
          <cell r="D21" t="str">
            <v>DE 104 ML 35/35-0,25</v>
          </cell>
          <cell r="E21" t="str">
            <v>м2</v>
          </cell>
          <cell r="F21">
            <v>2149</v>
          </cell>
          <cell r="G21" t="str">
            <v>249 от 23.03.2018 (249)</v>
          </cell>
          <cell r="H21" t="str">
            <v>ООО "БАЛТПРОМИЗОЛИТ"</v>
          </cell>
          <cell r="I21">
            <v>1445.11</v>
          </cell>
        </row>
        <row r="22">
          <cell r="A22" t="str">
            <v>DE 104 ML 35/35-0,36</v>
          </cell>
          <cell r="B22">
            <v>19</v>
          </cell>
          <cell r="C22" t="str">
            <v>Стеклотекстолит фольгированный DE104ML 35/35-0.36</v>
          </cell>
          <cell r="D22" t="str">
            <v>DE 104 ML 35/35-0,36</v>
          </cell>
          <cell r="E22" t="str">
            <v>м2</v>
          </cell>
          <cell r="F22">
            <v>2060</v>
          </cell>
          <cell r="G22" t="str">
            <v>449 от 03.05.2017 (449)</v>
          </cell>
          <cell r="H22" t="str">
            <v>ООО "БАЛТИЗОЛИТ"</v>
          </cell>
          <cell r="I22">
            <v>1628.44</v>
          </cell>
        </row>
        <row r="23">
          <cell r="A23" t="str">
            <v>DE 104 ML 35/35-0,51</v>
          </cell>
          <cell r="B23">
            <v>20</v>
          </cell>
          <cell r="C23" t="str">
            <v>Стеклотекстолит фольгированный DE104ML 35/35-0.51</v>
          </cell>
          <cell r="D23" t="str">
            <v>DE 104 ML 35/35-0,51</v>
          </cell>
          <cell r="E23" t="str">
            <v>м2</v>
          </cell>
          <cell r="F23">
            <v>3759</v>
          </cell>
          <cell r="G23" t="str">
            <v>698 от 26.07.2018 (698)</v>
          </cell>
          <cell r="H23" t="str">
            <v>ООО "БАЛТПРОМИЗОЛИТ"</v>
          </cell>
          <cell r="I23">
            <v>2525.02</v>
          </cell>
        </row>
        <row r="24">
          <cell r="A24" t="str">
            <v>DE 104 ML 35/35-0,8</v>
          </cell>
          <cell r="B24">
            <v>21</v>
          </cell>
          <cell r="C24" t="str">
            <v>Стеклотекстолит фольгированный DE104ML 35/35-0.8</v>
          </cell>
          <cell r="D24" t="str">
            <v>DE 104 ML 35/35-0,8</v>
          </cell>
          <cell r="E24" t="str">
            <v>м2</v>
          </cell>
          <cell r="F24">
            <v>1897</v>
          </cell>
          <cell r="G24" t="str">
            <v>spb14081806 от 18.08.2014 (spb140818006)</v>
          </cell>
          <cell r="H24" t="str">
            <v>ООО "Петрокоммерц"</v>
          </cell>
          <cell r="I24">
            <v>1651.98</v>
          </cell>
        </row>
        <row r="25">
          <cell r="A25" t="str">
            <v>DE 104 ML 35/35-1.0</v>
          </cell>
          <cell r="B25">
            <v>22</v>
          </cell>
          <cell r="C25" t="str">
            <v>Стеклотекстолит фольгированный DE104ML 35/35-1.0</v>
          </cell>
          <cell r="D25" t="str">
            <v>DE 104 ML 35/35-1.0</v>
          </cell>
          <cell r="E25" t="str">
            <v>м2</v>
          </cell>
          <cell r="F25">
            <v>2895</v>
          </cell>
          <cell r="G25" t="str">
            <v>1293 от 30.11.2015 (1293)</v>
          </cell>
          <cell r="H25" t="str">
            <v>ООО "БАЛТИЗОЛИТ"</v>
          </cell>
          <cell r="I25">
            <v>2895</v>
          </cell>
        </row>
        <row r="26">
          <cell r="A26" t="str">
            <v>DE 104 ML 50/50-0.51</v>
          </cell>
          <cell r="B26">
            <v>23</v>
          </cell>
          <cell r="C26" t="str">
            <v>Стеклотекстолит фольгированный DE104ML 50/50-0.051</v>
          </cell>
          <cell r="D26" t="str">
            <v>DE 104 ML 50/50-0.51</v>
          </cell>
          <cell r="E26" t="str">
            <v>м2</v>
          </cell>
          <cell r="F26">
            <v>2807.56</v>
          </cell>
          <cell r="G26" t="str">
            <v>spb016072607 от 26.07.16 (spb016072607)</v>
          </cell>
          <cell r="H26" t="str">
            <v>ООО "Петрокоммерц"</v>
          </cell>
          <cell r="I26">
            <v>0</v>
          </cell>
        </row>
        <row r="27">
          <cell r="A27" t="str">
            <v>Neoganth LS PREDIP (предактивация)</v>
          </cell>
          <cell r="B27">
            <v>24</v>
          </cell>
          <cell r="C27" t="str">
            <v>Предактиватор NEOGANTH LS PRE DIP</v>
          </cell>
          <cell r="D27" t="str">
            <v>Neoganth LS PREDIP (предактивация)</v>
          </cell>
          <cell r="E27" t="str">
            <v>кг</v>
          </cell>
          <cell r="F27">
            <v>367</v>
          </cell>
          <cell r="G27" t="str">
            <v>ax220 от 17.03.2017 (ax220)</v>
          </cell>
          <cell r="H27" t="str">
            <v>ООО "Атотех-Хемета"</v>
          </cell>
          <cell r="I27">
            <v>338.29</v>
          </cell>
        </row>
        <row r="28">
          <cell r="A28" t="str">
            <v>Neoganth LS REDUCER (восстановитель)</v>
          </cell>
          <cell r="B28">
            <v>25</v>
          </cell>
          <cell r="C28" t="str">
            <v>Восстановитель NEOGANTH LS REDUCER</v>
          </cell>
          <cell r="D28" t="str">
            <v>Neoganth LS REDUCER (восстановитель)</v>
          </cell>
          <cell r="E28" t="str">
            <v>кг</v>
          </cell>
          <cell r="F28">
            <v>3129.96</v>
          </cell>
          <cell r="G28" t="str">
            <v>ax000000047 от 01.02.2016 (ax0000000047)</v>
          </cell>
          <cell r="H28" t="str">
            <v>ООО "Атотех-Хемета"</v>
          </cell>
          <cell r="I28">
            <v>3051.45</v>
          </cell>
        </row>
        <row r="29">
          <cell r="A29" t="str">
            <v>RO4350B 0.168-035/035</v>
          </cell>
          <cell r="B29">
            <v>26</v>
          </cell>
          <cell r="C29" t="str">
            <v xml:space="preserve">Материал фольгированный RO4350B-35/35-0.168 </v>
          </cell>
          <cell r="D29" t="str">
            <v>RO4350B 0.168-035/035</v>
          </cell>
          <cell r="E29" t="str">
            <v>м2</v>
          </cell>
          <cell r="F29">
            <v>35262.04</v>
          </cell>
          <cell r="G29" t="str">
            <v>593 от 02.11.2015 (1131)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0.254-017/017</v>
          </cell>
          <cell r="B30">
            <v>27</v>
          </cell>
          <cell r="C30" t="str">
            <v xml:space="preserve">Материал фольгированный RO4350B-18/18-0.254 </v>
          </cell>
          <cell r="D30" t="str">
            <v>RO4350B 0.254-017/017</v>
          </cell>
          <cell r="E30" t="str">
            <v>м2</v>
          </cell>
          <cell r="F30">
            <v>29963.68</v>
          </cell>
          <cell r="G30" t="str">
            <v>156 от 18.04.2016 (303 от18.04.16)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0.254-035/035</v>
          </cell>
          <cell r="B31">
            <v>28</v>
          </cell>
          <cell r="C31" t="str">
            <v xml:space="preserve">Материал фольгированный RO4350B-35/35-0.254 </v>
          </cell>
          <cell r="D31" t="str">
            <v>RO4350B 0.254-035/035</v>
          </cell>
          <cell r="E31" t="str">
            <v>м2</v>
          </cell>
          <cell r="F31">
            <v>32384.99</v>
          </cell>
          <cell r="G31" t="str">
            <v>389 от 11.08.2016 (712)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0.508-017/017</v>
          </cell>
          <cell r="B32">
            <v>29</v>
          </cell>
          <cell r="C32" t="str">
            <v xml:space="preserve">Материал фольгированный RO4350B-18/18-0.508 </v>
          </cell>
          <cell r="D32" t="str">
            <v>RO4350B 0.508-017/017</v>
          </cell>
          <cell r="E32" t="str">
            <v>м2</v>
          </cell>
          <cell r="F32">
            <v>35871.870000000003</v>
          </cell>
          <cell r="G32" t="str">
            <v>589 от 22.11.2016 (1137)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0.508-035/035</v>
          </cell>
          <cell r="B33">
            <v>30</v>
          </cell>
          <cell r="C33" t="str">
            <v xml:space="preserve">Материал фольгированный RO4350B-35/35-0.508 </v>
          </cell>
          <cell r="D33" t="str">
            <v>RO4350B 0.508-035/035</v>
          </cell>
          <cell r="E33" t="str">
            <v>м2</v>
          </cell>
          <cell r="F33">
            <v>36016.959999999999</v>
          </cell>
          <cell r="G33" t="str">
            <v>593 от 02.11.2015 (1131)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 0.762-035/035</v>
          </cell>
          <cell r="B34">
            <v>31</v>
          </cell>
          <cell r="C34" t="str">
            <v>Материал фольгированный RO4350B 0.762-035/035</v>
          </cell>
          <cell r="D34" t="str">
            <v>RO4350B 0.762-035/035</v>
          </cell>
          <cell r="E34" t="str">
            <v>м2</v>
          </cell>
          <cell r="F34">
            <v>36955.21</v>
          </cell>
          <cell r="G34" t="str">
            <v>156 от 18.04.2016 (303 от18.04.16)</v>
          </cell>
          <cell r="H34" t="str">
            <v>ООО "ЭлекТрейд-М"</v>
          </cell>
          <cell r="I34">
            <v>0</v>
          </cell>
        </row>
        <row r="35">
          <cell r="A35" t="str">
            <v>RO4350B-17/17-0.508</v>
          </cell>
          <cell r="B35">
            <v>32</v>
          </cell>
          <cell r="C35" t="str">
            <v>Стеклотекстолит фольгированный RO4350B-17/17-0.508</v>
          </cell>
          <cell r="D35" t="str">
            <v>RO4350B-17/17-0.508</v>
          </cell>
          <cell r="E35" t="str">
            <v>м2</v>
          </cell>
          <cell r="F35">
            <v>45430</v>
          </cell>
          <cell r="I35">
            <v>0</v>
          </cell>
        </row>
        <row r="36">
          <cell r="A36" t="str">
            <v>Азотная кислота</v>
          </cell>
          <cell r="B36">
            <v>33</v>
          </cell>
          <cell r="C36" t="str">
            <v>Кислота азотная</v>
          </cell>
          <cell r="D36" t="str">
            <v>Азотная кислота</v>
          </cell>
          <cell r="E36" t="str">
            <v>кг</v>
          </cell>
          <cell r="F36">
            <v>74</v>
          </cell>
          <cell r="G36" t="str">
            <v>217 от 23.10.2014 (217)</v>
          </cell>
          <cell r="H36" t="str">
            <v>ООО "Реахим"</v>
          </cell>
          <cell r="I36">
            <v>74</v>
          </cell>
        </row>
        <row r="37">
          <cell r="A37" t="str">
            <v>Активатор AUNIC ACT</v>
          </cell>
          <cell r="B37">
            <v>34</v>
          </cell>
          <cell r="C37" t="str">
            <v>Активатор AUNIC ACTIVATOR</v>
          </cell>
          <cell r="D37" t="str">
            <v>Активатор AUNIC ACT</v>
          </cell>
          <cell r="E37" t="str">
            <v>кг</v>
          </cell>
          <cell r="F37">
            <v>3500</v>
          </cell>
          <cell r="G37" t="str">
            <v>ах991 от 24.10.2017 (991)</v>
          </cell>
          <cell r="H37" t="str">
            <v>ООО "Атотех-Хемета"</v>
          </cell>
          <cell r="I37">
            <v>2274.67</v>
          </cell>
        </row>
        <row r="38">
          <cell r="A38" t="str">
            <v>Активатор BONDFILM ACTIVATOR</v>
          </cell>
          <cell r="B38">
            <v>35</v>
          </cell>
          <cell r="C38" t="str">
            <v>Активатор BONDFILM ACTIVATOR</v>
          </cell>
          <cell r="D38" t="str">
            <v>Активатор BONDFILM ACTIVATOR</v>
          </cell>
          <cell r="E38" t="str">
            <v>кг</v>
          </cell>
          <cell r="F38">
            <v>397.15</v>
          </cell>
          <cell r="G38" t="str">
            <v>ax817 от 11.09.2017 (ax817)</v>
          </cell>
          <cell r="H38" t="str">
            <v>ООО "Атотех-Хемета"</v>
          </cell>
          <cell r="I38">
            <v>392.24</v>
          </cell>
        </row>
        <row r="39">
          <cell r="A39" t="str">
            <v>Алюминий 0.18 (230х395мм)</v>
          </cell>
          <cell r="B39">
            <v>36</v>
          </cell>
          <cell r="C39" t="str">
            <v>Алюминий 0.18 (230х395мм)</v>
          </cell>
          <cell r="D39" t="str">
            <v>Алюминий 0.18 (230х395мм)</v>
          </cell>
          <cell r="E39" t="str">
            <v>м2</v>
          </cell>
          <cell r="F39">
            <v>555.95000000000005</v>
          </cell>
          <cell r="G39" t="str">
            <v>71 от 09.02.2018 (без СФ)</v>
          </cell>
          <cell r="H39" t="str">
            <v>ООО "Торговый дом Абсолют"</v>
          </cell>
          <cell r="I39">
            <v>297.23</v>
          </cell>
        </row>
        <row r="40">
          <cell r="A40" t="str">
            <v>Алюминий 0.18 (280х395мм)</v>
          </cell>
          <cell r="B40">
            <v>37</v>
          </cell>
          <cell r="C40" t="str">
            <v>Алюминий 0.18 (280х395мм)</v>
          </cell>
          <cell r="D40" t="str">
            <v>Алюминий 0.18 (280х395мм)</v>
          </cell>
          <cell r="E40" t="str">
            <v>м2</v>
          </cell>
          <cell r="F40">
            <v>576.52</v>
          </cell>
          <cell r="G40" t="str">
            <v>71 от 09.02.2018 (без СФ)</v>
          </cell>
          <cell r="H40" t="str">
            <v>ООО "Торговый дом Абсолют"</v>
          </cell>
          <cell r="I40">
            <v>302.72000000000003</v>
          </cell>
        </row>
        <row r="41">
          <cell r="A41" t="str">
            <v>Аммиак водный</v>
          </cell>
          <cell r="B41">
            <v>38</v>
          </cell>
          <cell r="C41" t="str">
            <v>Аммиак водный</v>
          </cell>
          <cell r="D41" t="str">
            <v>Аммиак водный</v>
          </cell>
          <cell r="E41" t="str">
            <v>кг</v>
          </cell>
          <cell r="F41">
            <v>53</v>
          </cell>
          <cell r="G41" t="str">
            <v>26 от 10.02.2016 (Без СФ)</v>
          </cell>
          <cell r="H41" t="str">
            <v>ООО "ППФ"Химпроект"</v>
          </cell>
          <cell r="I41">
            <v>53</v>
          </cell>
        </row>
        <row r="42">
          <cell r="A42" t="str">
            <v>Аммоний надсернокислый</v>
          </cell>
          <cell r="B42">
            <v>39</v>
          </cell>
          <cell r="C42" t="str">
            <v>Аммоний надсернокислый</v>
          </cell>
          <cell r="D42" t="str">
            <v>Аммоний надсернокислый</v>
          </cell>
          <cell r="E42" t="str">
            <v>кг</v>
          </cell>
          <cell r="F42">
            <v>160</v>
          </cell>
          <cell r="G42" t="str">
            <v>77 от 16.05.2018 (Без СФ)</v>
          </cell>
          <cell r="H42" t="str">
            <v>ООО "ППФ"Химпроект"</v>
          </cell>
          <cell r="I42">
            <v>148.09</v>
          </cell>
        </row>
        <row r="43">
          <cell r="A43" t="str">
            <v>Аммоний хлористый</v>
          </cell>
          <cell r="B43">
            <v>40</v>
          </cell>
          <cell r="C43" t="str">
            <v>Аммоний хлористый</v>
          </cell>
          <cell r="D43" t="str">
            <v>Аммоний хлористый</v>
          </cell>
          <cell r="E43" t="str">
            <v>кг</v>
          </cell>
          <cell r="F43">
            <v>150</v>
          </cell>
          <cell r="G43" t="str">
            <v>113 от 16.08.2018(Без СФ)</v>
          </cell>
          <cell r="H43" t="str">
            <v>ООО "ППФ"Химпроект"</v>
          </cell>
          <cell r="I43">
            <v>92.22</v>
          </cell>
        </row>
        <row r="44">
          <cell r="A44" t="str">
            <v>Аноды медные АМФ</v>
          </cell>
          <cell r="B44">
            <v>41</v>
          </cell>
          <cell r="C44" t="str">
            <v>Аноды медные АМФ</v>
          </cell>
          <cell r="D44" t="str">
            <v>Аноды медные АМФ</v>
          </cell>
          <cell r="E44" t="str">
            <v>кг</v>
          </cell>
          <cell r="F44">
            <v>818.62</v>
          </cell>
          <cell r="G44" t="str">
            <v>spb017051025 от 10.05.2017 (spb0170510025 )</v>
          </cell>
          <cell r="H44" t="str">
            <v>ООО "Петрокоммерц"</v>
          </cell>
          <cell r="I44">
            <v>1015.89</v>
          </cell>
        </row>
        <row r="45">
          <cell r="A45" t="str">
            <v>Батист x/б отбеленный</v>
          </cell>
          <cell r="B45">
            <v>42</v>
          </cell>
          <cell r="C45" t="str">
            <v>ткань х/б Батист отбеленный</v>
          </cell>
          <cell r="D45" t="str">
            <v>Батист x/б отбеленный</v>
          </cell>
          <cell r="E45" t="str">
            <v>м2</v>
          </cell>
          <cell r="F45">
            <v>147.62</v>
          </cell>
          <cell r="G45" t="str">
            <v>23 от 18.01.2017(Без СФ)</v>
          </cell>
          <cell r="H45" t="str">
            <v>ООО "Хлопкотекс"</v>
          </cell>
          <cell r="I45">
            <v>0</v>
          </cell>
        </row>
        <row r="46">
          <cell r="A46" t="str">
            <v>Борная кислота</v>
          </cell>
          <cell r="B46">
            <v>43</v>
          </cell>
          <cell r="C46" t="str">
            <v>Кислота борная</v>
          </cell>
          <cell r="D46" t="str">
            <v>Борная кислота</v>
          </cell>
          <cell r="E46" t="str">
            <v>кг</v>
          </cell>
          <cell r="F46">
            <v>198</v>
          </cell>
          <cell r="G46" t="str">
            <v>12819 от 10.07.2018(Без СФ)</v>
          </cell>
          <cell r="H46" t="str">
            <v>АО "ЛенРеактив"</v>
          </cell>
          <cell r="I46">
            <v>190.04</v>
          </cell>
        </row>
        <row r="47">
          <cell r="A47" t="str">
            <v>Бумага для очистки валика</v>
          </cell>
          <cell r="B47">
            <v>44</v>
          </cell>
          <cell r="C47" t="str">
            <v>бумага д/очистки валика (уп 5х50л 238х330мм)</v>
          </cell>
          <cell r="D47" t="str">
            <v>Бумага для очистки валика</v>
          </cell>
          <cell r="E47" t="str">
            <v>м2</v>
          </cell>
          <cell r="F47">
            <v>872</v>
          </cell>
          <cell r="G47" t="str">
            <v>905 от 27.10.2015</v>
          </cell>
          <cell r="H47" t="str">
            <v>ООО "Торговый дом Абсолют"</v>
          </cell>
          <cell r="I47">
            <v>871.87</v>
          </cell>
        </row>
        <row r="48">
          <cell r="A48" t="str">
            <v>Бязь</v>
          </cell>
          <cell r="B48">
            <v>45</v>
          </cell>
          <cell r="C48" t="str">
            <v>Ткань х/б бязевой группы</v>
          </cell>
          <cell r="D48" t="str">
            <v>Бязь</v>
          </cell>
          <cell r="E48" t="str">
            <v>м2</v>
          </cell>
          <cell r="F48">
            <v>45.23</v>
          </cell>
          <cell r="G48" t="str">
            <v>11023 от 17.11.2016</v>
          </cell>
          <cell r="H48" t="str">
            <v>ООО "Белорусский Текстильный Центр"</v>
          </cell>
          <cell r="I48">
            <v>27.48</v>
          </cell>
        </row>
        <row r="49">
          <cell r="A49" t="str">
            <v>Восстановитель SECURIGANTH P500 REDUCTION</v>
          </cell>
          <cell r="B49">
            <v>46</v>
          </cell>
          <cell r="C49" t="str">
            <v>Восстановитель SECURIGANTH P500 REDUCTION CONDITIONER</v>
          </cell>
          <cell r="D49" t="str">
            <v>Восстановитель SECURIGANTH P500 REDUCTION</v>
          </cell>
          <cell r="E49" t="str">
            <v>кг</v>
          </cell>
          <cell r="F49">
            <v>993.56</v>
          </cell>
          <cell r="G49" t="str">
            <v>ax817 от 11.09.2017 (ax817)</v>
          </cell>
          <cell r="H49" t="str">
            <v>ООО "Атотех-Хемета"</v>
          </cell>
          <cell r="I49">
            <v>0</v>
          </cell>
        </row>
        <row r="50">
          <cell r="A50" t="str">
            <v>Восстановитель меди CU-REDUCTION SOLUTION</v>
          </cell>
          <cell r="B50">
            <v>47</v>
          </cell>
          <cell r="C50" t="str">
            <v>Восстановитель меди CU-REDUCTION SOLUTION</v>
          </cell>
          <cell r="D50" t="str">
            <v>Восстановитель меди CU-REDUCTION SOLUTION</v>
          </cell>
          <cell r="E50" t="str">
            <v>кг</v>
          </cell>
          <cell r="F50">
            <v>254.56</v>
          </cell>
          <cell r="G50" t="str">
            <v>ax855 от 17.08.2018 (без)</v>
          </cell>
          <cell r="H50" t="str">
            <v>ООО "Атотех-Хемета"</v>
          </cell>
          <cell r="I50">
            <v>227.77</v>
          </cell>
        </row>
        <row r="51">
          <cell r="A51" t="str">
            <v>Гетинакс-1 0,5-1 мм</v>
          </cell>
          <cell r="B51">
            <v>48</v>
          </cell>
          <cell r="C51" t="str">
            <v>Гетинакс -1 1.0мм</v>
          </cell>
          <cell r="D51" t="str">
            <v>Гетинакс-1 0,5-1 мм</v>
          </cell>
          <cell r="E51" t="str">
            <v>кг</v>
          </cell>
          <cell r="F51">
            <v>364</v>
          </cell>
          <cell r="G51" t="str">
            <v>832 от 27.08.2018 (832)</v>
          </cell>
          <cell r="H51" t="str">
            <v>ООО "БАЛТПРОМИЗОЛИТ"</v>
          </cell>
          <cell r="I51">
            <v>0</v>
          </cell>
        </row>
        <row r="52">
          <cell r="A52" t="str">
            <v>Гетинакс-1 1,5 мм</v>
          </cell>
          <cell r="B52">
            <v>49</v>
          </cell>
          <cell r="C52" t="str">
            <v>Гетинакс -1 1.5мм</v>
          </cell>
          <cell r="D52" t="str">
            <v>Гетинакс-1 1,5 мм</v>
          </cell>
          <cell r="E52" t="str">
            <v>кг</v>
          </cell>
          <cell r="F52">
            <v>328</v>
          </cell>
          <cell r="G52" t="str">
            <v>3 от 16.01.2018 (3)</v>
          </cell>
          <cell r="H52" t="str">
            <v>ООО "ПЕТРОИЗОЛИТ"</v>
          </cell>
          <cell r="I52">
            <v>0</v>
          </cell>
        </row>
        <row r="53">
          <cell r="A53" t="str">
            <v>Добавка "AUNIC EN "C"</v>
          </cell>
          <cell r="B53">
            <v>50</v>
          </cell>
          <cell r="C53" t="str">
            <v>Добавка AUNIC EN "C"</v>
          </cell>
          <cell r="D53" t="str">
            <v>Добавка "AUNIC EN "C"</v>
          </cell>
          <cell r="E53" t="str">
            <v>кг</v>
          </cell>
          <cell r="F53">
            <v>958.34</v>
          </cell>
          <cell r="G53" t="str">
            <v>ax000000745 от 04.12.2015 (ax0000000745)</v>
          </cell>
          <cell r="H53" t="str">
            <v>ООО "Атотех-Хемета"</v>
          </cell>
          <cell r="I53">
            <v>958.34</v>
          </cell>
        </row>
        <row r="54">
          <cell r="A54" t="str">
            <v>Добавка AUNIC EN "A"</v>
          </cell>
          <cell r="B54">
            <v>51</v>
          </cell>
          <cell r="C54" t="str">
            <v>Добавка AUNIC EN "A"</v>
          </cell>
          <cell r="D54" t="str">
            <v>Добавка AUNIC EN "A"</v>
          </cell>
          <cell r="E54" t="str">
            <v>кг</v>
          </cell>
          <cell r="F54">
            <v>705.42</v>
          </cell>
          <cell r="G54" t="str">
            <v>ax855 от 17.08.2018 (без)</v>
          </cell>
          <cell r="H54" t="str">
            <v>ООО "Атотех-Хемета"</v>
          </cell>
          <cell r="I54">
            <v>514.54999999999995</v>
          </cell>
        </row>
        <row r="55">
          <cell r="A55" t="str">
            <v>Добавка AUNIC EN "B"</v>
          </cell>
          <cell r="B55">
            <v>52</v>
          </cell>
          <cell r="C55" t="str">
            <v>Добавка AUNIC EN "B"</v>
          </cell>
          <cell r="D55" t="str">
            <v>Добавка AUNIC EN "B"</v>
          </cell>
          <cell r="E55" t="str">
            <v>кг</v>
          </cell>
          <cell r="F55">
            <v>633.91</v>
          </cell>
          <cell r="G55" t="str">
            <v>ax817 от 11.09.2017 (ax817)</v>
          </cell>
          <cell r="H55" t="str">
            <v>ООО "Атотех-Хемета"</v>
          </cell>
          <cell r="I55">
            <v>553.51</v>
          </cell>
        </row>
        <row r="56">
          <cell r="A56" t="str">
            <v>Добавка AUNIC IG "A"</v>
          </cell>
          <cell r="B56">
            <v>53</v>
          </cell>
          <cell r="C56" t="str">
            <v>Добавка AUNIC IG "A"</v>
          </cell>
          <cell r="D56" t="str">
            <v>Добавка AUNIC IG "A"</v>
          </cell>
          <cell r="E56" t="str">
            <v>кг</v>
          </cell>
          <cell r="F56">
            <v>1015</v>
          </cell>
          <cell r="G56" t="str">
            <v>84 от 26.02.2013 (84)</v>
          </cell>
          <cell r="H56" t="str">
            <v>ООО "Атотех-Хемета"</v>
          </cell>
          <cell r="I56">
            <v>1026.48</v>
          </cell>
        </row>
        <row r="57">
          <cell r="A57" t="str">
            <v>Добавка NOVIGANTH HC ADDITIVE</v>
          </cell>
          <cell r="B57">
            <v>54</v>
          </cell>
          <cell r="C57" t="str">
            <v>Добавка NOVIGANTH HC ADDITIVE</v>
          </cell>
          <cell r="D57" t="str">
            <v>Добавка NOVIGANTH HC ADDITIVE</v>
          </cell>
          <cell r="E57" t="str">
            <v>кг</v>
          </cell>
          <cell r="F57">
            <v>1495.95</v>
          </cell>
          <cell r="G57" t="str">
            <v>ax855 от 17.08.2018 (без)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STH ADDITIVE</v>
          </cell>
          <cell r="B58">
            <v>55</v>
          </cell>
          <cell r="C58" t="str">
            <v>Добавка STH ADDITIVE</v>
          </cell>
          <cell r="D58" t="str">
            <v>Добавка STH ADDITIVE</v>
          </cell>
          <cell r="E58" t="str">
            <v>кг</v>
          </cell>
          <cell r="F58">
            <v>984.12</v>
          </cell>
          <cell r="G58" t="str">
            <v>ax220 от 17.03.2017 (ax220)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Добавка Sulfotech SP Additive</v>
          </cell>
          <cell r="B59">
            <v>56</v>
          </cell>
          <cell r="C59" t="str">
            <v>Добавка SULFOTECH SP ADDITIVE</v>
          </cell>
          <cell r="D59" t="str">
            <v>Добавка Sulfotech SP Additive</v>
          </cell>
          <cell r="E59" t="str">
            <v>кг</v>
          </cell>
          <cell r="F59">
            <v>947.74</v>
          </cell>
          <cell r="G59" t="str">
            <v>ax991 от 24.10.2017 (безСФ)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Дозирующий раствор SECURIGANTH Р500</v>
          </cell>
          <cell r="B60">
            <v>57</v>
          </cell>
          <cell r="C60" t="str">
            <v>Дозир. раствор SECURIGANTH P500 DOSING SOLUTION</v>
          </cell>
          <cell r="D60" t="str">
            <v>Дозирующий раствор SECURIGANTH Р500</v>
          </cell>
          <cell r="E60" t="str">
            <v>кг</v>
          </cell>
          <cell r="F60">
            <v>1349.5</v>
          </cell>
          <cell r="G60" t="str">
            <v>ax855 от 17.08.2018 (ax855)</v>
          </cell>
          <cell r="H60" t="str">
            <v>ООО "Атотех-Хемета"</v>
          </cell>
          <cell r="I60">
            <v>0</v>
          </cell>
        </row>
        <row r="61">
          <cell r="A61" t="str">
            <v>Дополнительные</v>
          </cell>
          <cell r="B61">
            <v>58</v>
          </cell>
          <cell r="C61" t="str">
            <v>Дополнительные</v>
          </cell>
          <cell r="D61" t="str">
            <v>Дополнительные</v>
          </cell>
          <cell r="E61" t="str">
            <v>руб/м кв.</v>
          </cell>
          <cell r="F61">
            <v>180</v>
          </cell>
          <cell r="I61">
            <v>0</v>
          </cell>
        </row>
        <row r="62">
          <cell r="A62" t="str">
            <v>Защитная паяльная маска Dynamask 5030 (сухая)</v>
          </cell>
          <cell r="B62">
            <v>59</v>
          </cell>
          <cell r="C62" t="str">
            <v>Защитная паяльная маска Dynamask 5030 (сухая)</v>
          </cell>
          <cell r="D62" t="str">
            <v>Защитная паяльная маска Dynamask 5030 (сухая)</v>
          </cell>
          <cell r="E62" t="str">
            <v>м2</v>
          </cell>
          <cell r="F62">
            <v>1321.25</v>
          </cell>
          <cell r="G62" t="str">
            <v>spb018082701 от 27.08.2018 (spb0180827001)</v>
          </cell>
          <cell r="H62" t="str">
            <v>ООО "Петрокоммерц"</v>
          </cell>
          <cell r="I62">
            <v>1302.1199999999999</v>
          </cell>
        </row>
        <row r="63">
          <cell r="A63" t="str">
            <v>Защитная паяльная маска XV501 T-4 SM Green (жидкая)</v>
          </cell>
          <cell r="B63">
            <v>60</v>
          </cell>
          <cell r="C63" t="str">
            <v>Защитная паяльная маска XV501 T-4 Green (жидкая).</v>
          </cell>
          <cell r="D63" t="str">
            <v>Защитная паяльная маска XV501 T-4 SM Green (жидкая)</v>
          </cell>
          <cell r="E63" t="str">
            <v>кг</v>
          </cell>
          <cell r="F63">
            <v>2283.1999999999998</v>
          </cell>
          <cell r="G63" t="str">
            <v>spb018082701 от 27.08.2018 (spb0180827001)</v>
          </cell>
          <cell r="H63" t="str">
            <v>ООО "Петрокоммерц"</v>
          </cell>
          <cell r="I63">
            <v>2194.65</v>
          </cell>
        </row>
        <row r="64">
          <cell r="A64" t="str">
            <v>Калий дицианоаурат (1) чда</v>
          </cell>
          <cell r="B64">
            <v>61</v>
          </cell>
          <cell r="C64" t="str">
            <v>Калий дицианоаурат (I) (68,23%) чда</v>
          </cell>
          <cell r="D64" t="str">
            <v>Калий дицианоаурат (1) чда</v>
          </cell>
          <cell r="E64" t="str">
            <v>г</v>
          </cell>
          <cell r="F64">
            <v>1322.08</v>
          </cell>
          <cell r="G64" t="str">
            <v>6218 от 25.11.2014 (6218)</v>
          </cell>
          <cell r="H64" t="str">
            <v>ОАО "АУРАТ"</v>
          </cell>
          <cell r="I64">
            <v>1268.25</v>
          </cell>
        </row>
        <row r="65">
          <cell r="A65" t="str">
            <v>Кислота борфтористоводородная</v>
          </cell>
          <cell r="B65">
            <v>62</v>
          </cell>
          <cell r="C65" t="str">
            <v>Кислота борфтористоводородная</v>
          </cell>
          <cell r="D65" t="str">
            <v>Кислота борфтористоводородная</v>
          </cell>
          <cell r="E65" t="str">
            <v>кг</v>
          </cell>
          <cell r="F65">
            <v>246</v>
          </cell>
          <cell r="G65" t="str">
            <v>208 от 14.03.2018 (Без СФ)</v>
          </cell>
          <cell r="H65" t="str">
            <v>ООО "Балтпромизолит"</v>
          </cell>
          <cell r="I65">
            <v>260.32</v>
          </cell>
        </row>
        <row r="66">
          <cell r="A66" t="str">
            <v>Кислота серная</v>
          </cell>
          <cell r="B66">
            <v>63</v>
          </cell>
          <cell r="C66" t="str">
            <v>Кислота серная</v>
          </cell>
          <cell r="D66" t="str">
            <v>Кислота серная</v>
          </cell>
          <cell r="E66" t="str">
            <v>кг</v>
          </cell>
          <cell r="F66">
            <v>48</v>
          </cell>
          <cell r="G66" t="str">
            <v>26от10.02.16 (Без СФ)</v>
          </cell>
          <cell r="H66" t="str">
            <v>ООО "ППФ"Химпроект"</v>
          </cell>
          <cell r="I66">
            <v>48.72</v>
          </cell>
        </row>
        <row r="67">
          <cell r="A67" t="str">
            <v>Кислота соляная</v>
          </cell>
          <cell r="B67">
            <v>64</v>
          </cell>
          <cell r="C67" t="str">
            <v>Кислота соляная</v>
          </cell>
          <cell r="D67" t="str">
            <v>Кислота соляная</v>
          </cell>
          <cell r="E67" t="str">
            <v>кг</v>
          </cell>
          <cell r="F67">
            <v>46</v>
          </cell>
          <cell r="G67" t="str">
            <v>96 от 13.04.2017 (Без СФ)</v>
          </cell>
          <cell r="H67" t="str">
            <v>ООО "ППФ"Химпроект"</v>
          </cell>
          <cell r="I67">
            <v>46.84</v>
          </cell>
        </row>
        <row r="68">
          <cell r="A68" t="str">
            <v>Краска белая термоотвердаемая Mark 3.1</v>
          </cell>
          <cell r="B68">
            <v>65</v>
          </cell>
          <cell r="C68" t="str">
            <v>Краска белая термоотверждаемая Mark 3.1</v>
          </cell>
          <cell r="D68" t="str">
            <v>Краска белая термоотвердаемая Mark 3.1</v>
          </cell>
          <cell r="E68" t="str">
            <v>кг</v>
          </cell>
          <cell r="F68" t="str">
            <v>16357.14</v>
          </cell>
          <cell r="G68" t="str">
            <v>346 от 16.08.2017 (346)</v>
          </cell>
          <cell r="H68" t="str">
            <v>ООО "Балтпромизолит"</v>
          </cell>
          <cell r="I68">
            <v>16966.86</v>
          </cell>
        </row>
        <row r="69">
          <cell r="A69" t="str">
            <v>Лента Креп</v>
          </cell>
          <cell r="B69">
            <v>66</v>
          </cell>
          <cell r="C69" t="str">
            <v>Лента Креп</v>
          </cell>
          <cell r="D69" t="str">
            <v>Лента Креп</v>
          </cell>
          <cell r="E69" t="str">
            <v>шт</v>
          </cell>
          <cell r="F69">
            <v>36.86</v>
          </cell>
          <cell r="G69" t="str">
            <v>103 от 09.06.2015</v>
          </cell>
          <cell r="H69" t="str">
            <v>ООО "Расма"</v>
          </cell>
          <cell r="I69">
            <v>27.12</v>
          </cell>
        </row>
        <row r="70">
          <cell r="A70" t="str">
            <v>Лента малярная</v>
          </cell>
          <cell r="B70">
            <v>67</v>
          </cell>
          <cell r="C70" t="str">
            <v>лента малярная S</v>
          </cell>
          <cell r="D70" t="str">
            <v>Лента малярная</v>
          </cell>
          <cell r="E70" t="str">
            <v>шт</v>
          </cell>
          <cell r="F70">
            <v>149</v>
          </cell>
          <cell r="G70" t="str">
            <v>чек 43 тов.чек 69 от 15.09.2015</v>
          </cell>
          <cell r="H70" t="str">
            <v>ООО "Максидом"</v>
          </cell>
          <cell r="I70">
            <v>190.64</v>
          </cell>
        </row>
        <row r="71">
          <cell r="A71" t="str">
            <v>Маркировочная краска XV501 T-4 SM White (жидк.)</v>
          </cell>
          <cell r="B71">
            <v>68</v>
          </cell>
          <cell r="C71" t="str">
            <v>Маркировочная краска XV501 T-4 SM White (жидкая)</v>
          </cell>
          <cell r="D71" t="str">
            <v>Маркировочная краска XV501 T-4 SM White (жидк.)</v>
          </cell>
          <cell r="E71" t="str">
            <v>кг</v>
          </cell>
          <cell r="F71">
            <v>2095.91</v>
          </cell>
          <cell r="G71" t="str">
            <v>spb017081602 от 16.08.2017 (spb0170816002 )</v>
          </cell>
          <cell r="H71" t="str">
            <v>ООО "Петрокоммерц"</v>
          </cell>
          <cell r="I71">
            <v>2306.1799999999998</v>
          </cell>
        </row>
        <row r="72">
          <cell r="A72" t="str">
            <v>Материал Заказчика</v>
          </cell>
          <cell r="B72">
            <v>69</v>
          </cell>
          <cell r="C72" t="str">
            <v>Материал Заказчика</v>
          </cell>
          <cell r="D72" t="str">
            <v>Материал Заказчика</v>
          </cell>
          <cell r="E72" t="str">
            <v>м2</v>
          </cell>
          <cell r="F72">
            <v>0</v>
          </cell>
          <cell r="I72">
            <v>0</v>
          </cell>
        </row>
        <row r="73">
          <cell r="A73" t="str">
            <v>Материал фольгированный RO435B-35-35-0.101</v>
          </cell>
          <cell r="B73">
            <v>70</v>
          </cell>
          <cell r="C73" t="str">
            <v>Материал фольгированный RO435B-35-35-0.101</v>
          </cell>
          <cell r="D73" t="str">
            <v>Материал фольгированный RO435B-35-35-0.101</v>
          </cell>
          <cell r="E73" t="str">
            <v>м2</v>
          </cell>
          <cell r="F73">
            <v>27754.240000000002</v>
          </cell>
          <cell r="G73" t="str">
            <v>126 от21.03.16(244 от21.03.16)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RO4360G2-18/18-0.508</v>
          </cell>
          <cell r="B74">
            <v>71</v>
          </cell>
          <cell r="C74" t="str">
            <v xml:space="preserve">Материал фольгированный RO4360G2-18/18-0.508 </v>
          </cell>
          <cell r="D74" t="str">
            <v>Материал фольгированный RO4360G2-18/18-0.508</v>
          </cell>
          <cell r="E74" t="str">
            <v>м2</v>
          </cell>
          <cell r="F74">
            <v>40534.379999999997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Материал фольгированный RO4360G2-18/18-1.524</v>
          </cell>
          <cell r="B75">
            <v>72</v>
          </cell>
          <cell r="C75" t="str">
            <v xml:space="preserve">Материал фольгированный RO4360G2-18/18-1.524 </v>
          </cell>
          <cell r="D75" t="str">
            <v>Материал фольгированный RO4360G2-18/18-1.524</v>
          </cell>
          <cell r="E75" t="str">
            <v>м2</v>
          </cell>
          <cell r="F75">
            <v>81858.36</v>
          </cell>
          <cell r="G75" t="str">
            <v>328 от 01.07.2015 (643)</v>
          </cell>
          <cell r="H75" t="str">
            <v>ООО "ЭлекТрейд-М"</v>
          </cell>
          <cell r="I75">
            <v>0</v>
          </cell>
        </row>
        <row r="76">
          <cell r="A76" t="str">
            <v>Медь двухлористая 2-водная</v>
          </cell>
          <cell r="B76">
            <v>73</v>
          </cell>
          <cell r="C76" t="str">
            <v>Медь двухлористая 2-водная</v>
          </cell>
          <cell r="D76" t="str">
            <v>Медь двухлористая 2-водная</v>
          </cell>
          <cell r="E76" t="str">
            <v>кг</v>
          </cell>
          <cell r="F76">
            <v>500</v>
          </cell>
          <cell r="G76" t="str">
            <v>539 от 21.11.2013</v>
          </cell>
          <cell r="H76" t="str">
            <v>ООО "Реахим"</v>
          </cell>
          <cell r="I76">
            <v>0</v>
          </cell>
        </row>
        <row r="77">
          <cell r="A77" t="str">
            <v>Медь сернокислая 5-водная</v>
          </cell>
          <cell r="B77">
            <v>74</v>
          </cell>
          <cell r="C77" t="str">
            <v>Медь сернокислая 5-водная</v>
          </cell>
          <cell r="D77" t="str">
            <v>Медь сернокислая 5-водная</v>
          </cell>
          <cell r="E77" t="str">
            <v>кг</v>
          </cell>
          <cell r="F77">
            <v>320</v>
          </cell>
          <cell r="G77" t="str">
            <v>168 от 12.07.2017 (Без СФ)</v>
          </cell>
          <cell r="H77" t="str">
            <v>ООО "ППФ"Химпроект"</v>
          </cell>
          <cell r="I77">
            <v>448</v>
          </cell>
        </row>
        <row r="78">
          <cell r="A78" t="str">
            <v>Меламин 0.5</v>
          </cell>
          <cell r="B78">
            <v>75</v>
          </cell>
          <cell r="C78" t="str">
            <v>Меламин 0.5</v>
          </cell>
          <cell r="D78" t="str">
            <v>Меламин 0.5</v>
          </cell>
          <cell r="E78" t="str">
            <v>м2</v>
          </cell>
          <cell r="F78">
            <v>385.63</v>
          </cell>
          <cell r="G78" t="str">
            <v>742 от 18.09.2015 (742)</v>
          </cell>
          <cell r="H78" t="str">
            <v>ООО "Торговый дом Абсолют"</v>
          </cell>
          <cell r="I78">
            <v>0</v>
          </cell>
        </row>
        <row r="79">
          <cell r="A79" t="str">
            <v>Микротравитель MICROETCH SF</v>
          </cell>
          <cell r="B79">
            <v>76</v>
          </cell>
          <cell r="C79" t="str">
            <v>Микротравитель MICROTECH SF</v>
          </cell>
          <cell r="D79" t="str">
            <v>Микротравитель MICROETCH SF</v>
          </cell>
          <cell r="E79" t="str">
            <v>кг</v>
          </cell>
          <cell r="F79">
            <v>466.4</v>
          </cell>
          <cell r="G79" t="str">
            <v>569 от 04.12.2015 (569)</v>
          </cell>
          <cell r="H79" t="str">
            <v>ООО "Атотех-Хемета"</v>
          </cell>
          <cell r="I79">
            <v>399.21</v>
          </cell>
        </row>
        <row r="80">
          <cell r="A80" t="str">
            <v>Модификатор BONDFILM PART A</v>
          </cell>
          <cell r="B80">
            <v>77</v>
          </cell>
          <cell r="C80" t="str">
            <v>Модификатор BONDFILM PART A</v>
          </cell>
          <cell r="D80" t="str">
            <v>Модификатор BONDFILM PART A</v>
          </cell>
          <cell r="E80" t="str">
            <v>кг</v>
          </cell>
          <cell r="F80">
            <v>501.46</v>
          </cell>
          <cell r="G80" t="str">
            <v>ax855 от 17.08.2018 (без)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Набухатель SECURIGANTH P SWELLER</v>
          </cell>
          <cell r="B81">
            <v>78</v>
          </cell>
          <cell r="C81" t="str">
            <v>Набухатель SECURIGANTH P SWELLER</v>
          </cell>
          <cell r="D81" t="str">
            <v>Набухатель SECURIGANTH P SWELLER</v>
          </cell>
          <cell r="E81" t="str">
            <v>кг</v>
          </cell>
          <cell r="F81">
            <v>584.27</v>
          </cell>
          <cell r="G81" t="str">
            <v>ax855 от 17.08.2018 (без)</v>
          </cell>
          <cell r="H81" t="str">
            <v>ООО "Атотех-Хемета"</v>
          </cell>
          <cell r="I81">
            <v>0</v>
          </cell>
        </row>
        <row r="82">
          <cell r="A82" t="str">
            <v>Натрий надсернокислый</v>
          </cell>
          <cell r="B82">
            <v>79</v>
          </cell>
          <cell r="C82" t="str">
            <v>Натрий надсернокислый</v>
          </cell>
          <cell r="D82" t="str">
            <v>Натрий надсернокислый</v>
          </cell>
          <cell r="E82" t="str">
            <v>кг</v>
          </cell>
          <cell r="F82">
            <v>299</v>
          </cell>
          <cell r="G82" t="str">
            <v>7 от 17.01.2018 (Без СФ)</v>
          </cell>
          <cell r="H82" t="str">
            <v>ООО "ППФ"Химпроект"</v>
          </cell>
          <cell r="I82">
            <v>229.57</v>
          </cell>
        </row>
        <row r="83">
          <cell r="A83" t="str">
            <v>Натрий углекислый</v>
          </cell>
          <cell r="B83">
            <v>80</v>
          </cell>
          <cell r="C83" t="str">
            <v>Натрий углекислый</v>
          </cell>
          <cell r="D83" t="str">
            <v>Натрий углекислый</v>
          </cell>
          <cell r="E83" t="str">
            <v>кг</v>
          </cell>
          <cell r="F83">
            <v>240</v>
          </cell>
          <cell r="G83" t="str">
            <v>168 от 12.07.2017 (Без СФ)</v>
          </cell>
          <cell r="H83" t="str">
            <v>ООО "ППФ"Химпроект"</v>
          </cell>
          <cell r="I83">
            <v>180</v>
          </cell>
        </row>
        <row r="84">
          <cell r="A84" t="str">
            <v>Натрия гидроокись</v>
          </cell>
          <cell r="B84">
            <v>81</v>
          </cell>
          <cell r="C84" t="str">
            <v>Натрий гидроокись</v>
          </cell>
          <cell r="D84" t="str">
            <v>Натрия гидроокись</v>
          </cell>
          <cell r="E84" t="str">
            <v>кг</v>
          </cell>
          <cell r="F84">
            <v>160</v>
          </cell>
          <cell r="G84" t="str">
            <v>8508 от 15.05.2018(Без СФ)</v>
          </cell>
          <cell r="H84" t="str">
            <v>ЗАО "ЛенРеактив"</v>
          </cell>
          <cell r="I84">
            <v>162.13999999999999</v>
          </cell>
        </row>
        <row r="85">
          <cell r="A85" t="str">
            <v>Олово металлическое (аноды оловянные)</v>
          </cell>
          <cell r="B85">
            <v>82</v>
          </cell>
          <cell r="C85" t="str">
            <v>Олово металлическое (аноды оловянные)</v>
          </cell>
          <cell r="D85" t="str">
            <v>Олово металлическое (аноды оловянные)</v>
          </cell>
          <cell r="E85" t="str">
            <v>кг</v>
          </cell>
          <cell r="F85">
            <v>1981</v>
          </cell>
          <cell r="G85" t="str">
            <v>1471 от 22.11.2016 (1471)</v>
          </cell>
          <cell r="H85" t="str">
            <v>ООО "БАЛТИЗОЛИТ"</v>
          </cell>
          <cell r="I85">
            <v>1556.45</v>
          </cell>
        </row>
        <row r="86">
          <cell r="A86" t="str">
            <v>Олово сернокислое (олова сульфат)</v>
          </cell>
          <cell r="B86">
            <v>83</v>
          </cell>
          <cell r="C86" t="str">
            <v>Олово сернокислое (олова сульфат)</v>
          </cell>
          <cell r="D86" t="str">
            <v>Олово сернокислое (олова сульфат)</v>
          </cell>
          <cell r="E86" t="str">
            <v>кг</v>
          </cell>
          <cell r="F86">
            <v>2312.69</v>
          </cell>
          <cell r="G86" t="str">
            <v>spb14111004 от 10.11.2014 (spb141110004)</v>
          </cell>
          <cell r="H86" t="str">
            <v>ООО "Петрокоммерц"</v>
          </cell>
          <cell r="I86">
            <v>1872.9</v>
          </cell>
        </row>
        <row r="87">
          <cell r="A87" t="str">
            <v>Очиститель AUNIC CLN</v>
          </cell>
          <cell r="B87">
            <v>84</v>
          </cell>
          <cell r="C87" t="str">
            <v>Очиститель AUNIC CLEANER</v>
          </cell>
          <cell r="D87" t="str">
            <v>Очиститель AUNIC CLN</v>
          </cell>
          <cell r="E87" t="str">
            <v>кг</v>
          </cell>
          <cell r="F87">
            <v>542.26</v>
          </cell>
          <cell r="G87" t="str">
            <v>ах991 от 24.10.2017 (991)</v>
          </cell>
          <cell r="H87" t="str">
            <v>ООО "Атотех-Хемета"</v>
          </cell>
          <cell r="I87">
            <v>381.36</v>
          </cell>
        </row>
        <row r="88">
          <cell r="A88" t="str">
            <v>Очиститель BONDFILM REINIGER ALK</v>
          </cell>
          <cell r="B88">
            <v>85</v>
          </cell>
          <cell r="C88" t="str">
            <v>Очиститель BONDFILM REINIGER ALK</v>
          </cell>
          <cell r="D88" t="str">
            <v>Очиститель BONDFILM REINIGER ALK</v>
          </cell>
          <cell r="E88" t="str">
            <v>кг</v>
          </cell>
          <cell r="F88">
            <v>470.02</v>
          </cell>
          <cell r="G88" t="str">
            <v>ax855 от 17.08.2018 (ax855)</v>
          </cell>
          <cell r="H88" t="str">
            <v>ООО "Атотех-Хемета"</v>
          </cell>
          <cell r="I88">
            <v>421.79</v>
          </cell>
        </row>
        <row r="89">
          <cell r="A89" t="str">
            <v>Очиститель Screen opener K2</v>
          </cell>
          <cell r="B89">
            <v>86</v>
          </cell>
          <cell r="C89" t="str">
            <v>Очиститель Screen opener K2</v>
          </cell>
          <cell r="D89" t="str">
            <v>Очиститель Screen opener K2</v>
          </cell>
          <cell r="E89" t="str">
            <v>кг</v>
          </cell>
          <cell r="F89">
            <v>373.21</v>
          </cell>
          <cell r="G89" t="str">
            <v>ЦП008271 от 19.04.2018 (ЦП00000996)</v>
          </cell>
          <cell r="H89" t="str">
            <v>ООО "Итрако"</v>
          </cell>
          <cell r="I89">
            <v>347.91</v>
          </cell>
        </row>
        <row r="90">
          <cell r="A90" t="str">
            <v>Очиститель SECURIGANTH 902 CLEANER</v>
          </cell>
          <cell r="B90">
            <v>87</v>
          </cell>
          <cell r="C90" t="str">
            <v>Очиститель SECURIGANTH 902 CLEANER</v>
          </cell>
          <cell r="D90" t="str">
            <v>Очиститель SECURIGANTH 902 CLEANER</v>
          </cell>
          <cell r="E90" t="str">
            <v>кг</v>
          </cell>
          <cell r="F90">
            <v>1131.17</v>
          </cell>
          <cell r="G90" t="str">
            <v>ax465 от 14.05.2018 (без)</v>
          </cell>
          <cell r="H90" t="str">
            <v>ООО "Атотех-Хемета"</v>
          </cell>
          <cell r="I90">
            <v>0</v>
          </cell>
        </row>
        <row r="91">
          <cell r="A91" t="str">
            <v>Пакет с защелкой полиэтиленовый</v>
          </cell>
          <cell r="B91">
            <v>88</v>
          </cell>
          <cell r="C91" t="str">
            <v>Пакет с защелкой полиэтиленовый</v>
          </cell>
          <cell r="D91" t="str">
            <v>Пакет с защелкой полиэтиленовый</v>
          </cell>
          <cell r="E91" t="str">
            <v>шт</v>
          </cell>
          <cell r="F91">
            <v>1.6</v>
          </cell>
          <cell r="G91" t="str">
            <v>166 от 04.09.2015</v>
          </cell>
          <cell r="H91" t="str">
            <v>ООО "Расма"</v>
          </cell>
          <cell r="I91">
            <v>1.86</v>
          </cell>
        </row>
        <row r="92">
          <cell r="A92" t="str">
            <v>Пеногаситель</v>
          </cell>
          <cell r="B92">
            <v>89</v>
          </cell>
          <cell r="C92" t="str">
            <v>Пеногаситель</v>
          </cell>
          <cell r="D92" t="str">
            <v>Пеногаситель</v>
          </cell>
          <cell r="E92" t="str">
            <v>кг</v>
          </cell>
          <cell r="F92">
            <v>1115.8900000000001</v>
          </cell>
          <cell r="G92" t="str">
            <v>430 от 19.06.2018 (430)</v>
          </cell>
          <cell r="H92" t="str">
            <v>ООО "Торговый дом Абсолют"</v>
          </cell>
          <cell r="I92">
            <v>884.7</v>
          </cell>
        </row>
        <row r="93">
          <cell r="A93" t="str">
            <v>Перекись водорода</v>
          </cell>
          <cell r="B93">
            <v>90</v>
          </cell>
          <cell r="C93" t="str">
            <v>Перекись водорода</v>
          </cell>
          <cell r="D93" t="str">
            <v>Перекись водорода</v>
          </cell>
          <cell r="E93" t="str">
            <v>кг</v>
          </cell>
          <cell r="F93">
            <v>82</v>
          </cell>
          <cell r="G93" t="str">
            <v>7 от 17.01.18 (Без СФ)</v>
          </cell>
          <cell r="H93" t="str">
            <v>ООО "ППФ"Химпроект"</v>
          </cell>
          <cell r="I93">
            <v>74.77</v>
          </cell>
        </row>
        <row r="94">
          <cell r="A94" t="str">
            <v>Плёнка отслаиваемая полиэфирная PACOTHANE</v>
          </cell>
          <cell r="B94">
            <v>91</v>
          </cell>
          <cell r="C94" t="str">
            <v>Пленка отслаиваемая полиэфирная PACOTHANE</v>
          </cell>
          <cell r="D94" t="str">
            <v>Плёнка отслаиваемая полиэфирная PACOTHANE</v>
          </cell>
          <cell r="E94" t="str">
            <v>м2</v>
          </cell>
          <cell r="F94">
            <v>227.46</v>
          </cell>
          <cell r="G94" t="str">
            <v>168 от 14.03.2018 (168)</v>
          </cell>
          <cell r="H94" t="str">
            <v>ООО "Торговый дом Абсолют"</v>
          </cell>
          <cell r="I94">
            <v>236.6</v>
          </cell>
        </row>
        <row r="95">
          <cell r="A95" t="str">
            <v>Пленка стрейч</v>
          </cell>
          <cell r="B95">
            <v>92</v>
          </cell>
          <cell r="C95" t="str">
            <v>пленка упаковочная 50см/17мк (120) упаковочная</v>
          </cell>
          <cell r="D95" t="str">
            <v>Пленка стрейч</v>
          </cell>
          <cell r="E95" t="str">
            <v>шт</v>
          </cell>
          <cell r="F95">
            <v>185.59</v>
          </cell>
          <cell r="G95" t="str">
            <v>191 от 01.10.2015</v>
          </cell>
          <cell r="H95" t="str">
            <v>ООО "Расма"</v>
          </cell>
          <cell r="I95">
            <v>156.86000000000001</v>
          </cell>
        </row>
        <row r="96">
          <cell r="A96" t="str">
            <v>Припой ПОС-61</v>
          </cell>
          <cell r="B96">
            <v>93</v>
          </cell>
          <cell r="C96" t="str">
            <v>Припой ПОС-61</v>
          </cell>
          <cell r="D96" t="str">
            <v>Припой ПОС-61</v>
          </cell>
          <cell r="E96" t="str">
            <v>кг</v>
          </cell>
          <cell r="F96">
            <v>1397</v>
          </cell>
          <cell r="G96" t="str">
            <v>774 от 06.12.2017 (774)</v>
          </cell>
          <cell r="H96" t="str">
            <v>ООО "БАЛТИЗОЛИТ"</v>
          </cell>
          <cell r="I96">
            <v>1189.98</v>
          </cell>
        </row>
        <row r="97">
          <cell r="A97" t="str">
            <v>Проявитель KODAK ACCUMAX Rapid Access</v>
          </cell>
          <cell r="B97">
            <v>94</v>
          </cell>
          <cell r="C97" t="str">
            <v>Проявитель KODAK</v>
          </cell>
          <cell r="D97" t="str">
            <v>Проявитель KODAK ACCUMAX Rapid Access</v>
          </cell>
          <cell r="E97" t="str">
            <v>кг</v>
          </cell>
          <cell r="F97">
            <v>384.29</v>
          </cell>
          <cell r="G97" t="str">
            <v>spb018090505 от 05.09.2018 (0180905005)</v>
          </cell>
          <cell r="H97" t="str">
            <v>ООО "Петрокоммерц"</v>
          </cell>
          <cell r="I97">
            <v>446.79</v>
          </cell>
        </row>
        <row r="98">
          <cell r="A98" t="str">
            <v>Разбавитель XZ 101 (для защитной маски XV 501T)</v>
          </cell>
          <cell r="B98">
            <v>95</v>
          </cell>
          <cell r="C98" t="str">
            <v>Разбавитель XZ 101 (для защитной маски XV 501T)</v>
          </cell>
          <cell r="D98" t="str">
            <v>Разбавитель XZ 101 (для защитной маски XV 501T)</v>
          </cell>
          <cell r="E98" t="str">
            <v>кг</v>
          </cell>
          <cell r="F98">
            <v>834.98</v>
          </cell>
          <cell r="G98" t="str">
            <v>spb01706205 от 22.06.2017</v>
          </cell>
          <cell r="H98" t="str">
            <v>ООО "Петрокоммерц"</v>
          </cell>
          <cell r="I98">
            <v>0</v>
          </cell>
        </row>
        <row r="99">
          <cell r="A99" t="str">
            <v>Разбавитель XZ 107 (для защитной маски XV 501T-4)</v>
          </cell>
          <cell r="B99">
            <v>96</v>
          </cell>
          <cell r="C99" t="str">
            <v>Разбавитель XZ 107 (для защитной маски XV 501T-4)</v>
          </cell>
          <cell r="D99" t="str">
            <v>Разбавитель XZ 107 (для защитной маски XV 501T-4)</v>
          </cell>
          <cell r="E99" t="str">
            <v>кг</v>
          </cell>
          <cell r="F99">
            <v>780</v>
          </cell>
          <cell r="G99" t="str">
            <v>spb015070704 от 08.07.2015  (spb0150708004)</v>
          </cell>
          <cell r="H99" t="str">
            <v>ООО "Петрокоммерц"</v>
          </cell>
          <cell r="I99">
            <v>0</v>
          </cell>
        </row>
        <row r="100">
          <cell r="A100" t="str">
            <v>Растворитель 646</v>
          </cell>
          <cell r="B100">
            <v>97</v>
          </cell>
          <cell r="C100" t="str">
            <v>Растворитель 646</v>
          </cell>
          <cell r="D100" t="str">
            <v>Растворитель 646</v>
          </cell>
          <cell r="E100" t="str">
            <v>кг</v>
          </cell>
          <cell r="F100">
            <v>120.86</v>
          </cell>
          <cell r="G100" t="str">
            <v>чек 3625 тов. Чек 103 от 09.12.2015</v>
          </cell>
          <cell r="H100" t="str">
            <v>ООО "Квадро"</v>
          </cell>
          <cell r="I100">
            <v>0</v>
          </cell>
        </row>
        <row r="101">
          <cell r="A101" t="str">
            <v>Сверло твердосплавное d 0,25 ...0,60 мм, отв/шт</v>
          </cell>
          <cell r="B101">
            <v>98</v>
          </cell>
          <cell r="C101" t="str">
            <v>сверло д1=0,3, д2=3,175 твердосплавное</v>
          </cell>
          <cell r="D101" t="str">
            <v>Сверло твердосплавное d 0,25 ...0,60 мм, отв/шт</v>
          </cell>
          <cell r="E101" t="str">
            <v>шт</v>
          </cell>
          <cell r="F101">
            <v>150</v>
          </cell>
          <cell r="G101" t="str">
            <v>1304 от 1.12.2015</v>
          </cell>
          <cell r="H101" t="str">
            <v>ООО "БАЛТИЗОЛИТ"</v>
          </cell>
          <cell r="I101">
            <v>144.38</v>
          </cell>
        </row>
        <row r="102">
          <cell r="A102" t="str">
            <v>Сверло твердосплавное d 0,70…2,05 мм, отв/шт</v>
          </cell>
          <cell r="B102">
            <v>99</v>
          </cell>
          <cell r="C102" t="str">
            <v>Сверло твердосплавное, отв/шт</v>
          </cell>
          <cell r="D102" t="str">
            <v>Сверло твердосплавное d 0,70…2,05 мм, отв/шт</v>
          </cell>
          <cell r="E102" t="str">
            <v>шт</v>
          </cell>
          <cell r="F102">
            <v>95</v>
          </cell>
          <cell r="G102" t="str">
            <v>1303 от 1.12.2015</v>
          </cell>
          <cell r="H102" t="str">
            <v>ООО "БАЛТИЗОЛИТ"</v>
          </cell>
          <cell r="I102">
            <v>0</v>
          </cell>
        </row>
        <row r="103">
          <cell r="A103" t="str">
            <v>Сода кальцинированная</v>
          </cell>
          <cell r="B103">
            <v>100</v>
          </cell>
          <cell r="C103" t="str">
            <v>Сода кальцинированная</v>
          </cell>
          <cell r="D103" t="str">
            <v>Сода кальцинированная</v>
          </cell>
          <cell r="E103" t="str">
            <v>кг</v>
          </cell>
          <cell r="F103">
            <v>36</v>
          </cell>
          <cell r="G103" t="str">
            <v>113 от 16.08.2018 (Без СФ)</v>
          </cell>
          <cell r="H103" t="str">
            <v>ООО "ППФ"Химпроект"</v>
          </cell>
          <cell r="I103">
            <v>29.83</v>
          </cell>
        </row>
        <row r="104">
          <cell r="A104" t="str">
            <v>Состав д/приготовл. AUNIC MAKE-UP</v>
          </cell>
          <cell r="B104">
            <v>101</v>
          </cell>
          <cell r="C104" t="str">
            <v>Состав для приготовления AUNIC MAKE-UP</v>
          </cell>
          <cell r="D104" t="str">
            <v>Состав д/приготовл. AUNIC MAKE-UP</v>
          </cell>
          <cell r="E104" t="str">
            <v>кг</v>
          </cell>
          <cell r="F104">
            <v>679.04</v>
          </cell>
          <cell r="G104" t="str">
            <v>ax817 от 11.09.2017 (ax817)</v>
          </cell>
          <cell r="H104" t="str">
            <v>ООО "Атотех-Хемета"</v>
          </cell>
          <cell r="I104">
            <v>659.91</v>
          </cell>
        </row>
        <row r="105">
          <cell r="A105" t="str">
            <v>Состав д/приготовл. BONDFILM STARTER</v>
          </cell>
          <cell r="B105">
            <v>102</v>
          </cell>
          <cell r="C105" t="str">
            <v>Состав для приготовления BONDFILM STARTER</v>
          </cell>
          <cell r="D105" t="str">
            <v>Состав д/приготовл. BONDFILM STARTER</v>
          </cell>
          <cell r="E105" t="str">
            <v>кг</v>
          </cell>
          <cell r="F105">
            <v>373.54</v>
          </cell>
          <cell r="G105" t="str">
            <v>ax991 от 24.10.2017 (ax991)</v>
          </cell>
          <cell r="H105" t="str">
            <v>ООО "Атотех-Хемета"</v>
          </cell>
          <cell r="I105">
            <v>265.2</v>
          </cell>
        </row>
        <row r="106">
          <cell r="A106" t="str">
            <v>Состав д/приготовл. NOVIGANT HC MAKE-UP</v>
          </cell>
          <cell r="B106">
            <v>103</v>
          </cell>
          <cell r="C106" t="str">
            <v>Состав для приготовления NOVIGANTH HC MAKE-UP</v>
          </cell>
          <cell r="D106" t="str">
            <v>Состав д/приготовл. NOVIGANT HC MAKE-UP</v>
          </cell>
          <cell r="E106" t="str">
            <v>кг</v>
          </cell>
          <cell r="F106">
            <v>1121.22</v>
          </cell>
          <cell r="G106" t="str">
            <v>45 от 02.02.2015 (45)</v>
          </cell>
          <cell r="H106" t="str">
            <v>ООО "Атотех-Хемета"</v>
          </cell>
          <cell r="I106">
            <v>793.38</v>
          </cell>
        </row>
        <row r="107">
          <cell r="A107" t="str">
            <v>Состав для гальванизации СUPROSTAR LP-1</v>
          </cell>
          <cell r="B107">
            <v>104</v>
          </cell>
          <cell r="C107" t="str">
            <v>Состав для гальванизации CUPROSTAR LP-1</v>
          </cell>
          <cell r="D107" t="str">
            <v>Состав для гальванизации СUPROSTAR LP-1</v>
          </cell>
          <cell r="E107" t="str">
            <v>кг</v>
          </cell>
          <cell r="F107">
            <v>7389.74</v>
          </cell>
          <cell r="G107" t="str">
            <v>4990065865 от 12.09.2018 (500014753)</v>
          </cell>
          <cell r="H107" t="str">
            <v>АО "Омиа Алгол Рус"</v>
          </cell>
          <cell r="I107">
            <v>5866.45</v>
          </cell>
        </row>
        <row r="108">
          <cell r="A108" t="str">
            <v>Состав для удаления олова</v>
          </cell>
          <cell r="B108">
            <v>105</v>
          </cell>
          <cell r="C108" t="str">
            <v>Состав для удаления олова</v>
          </cell>
          <cell r="D108" t="str">
            <v>Состав для удаления олова</v>
          </cell>
          <cell r="E108" t="str">
            <v>кг</v>
          </cell>
          <cell r="F108">
            <v>241.53</v>
          </cell>
          <cell r="G108" t="str">
            <v>ax855 от 17.08.2018 (без)</v>
          </cell>
          <cell r="H108" t="str">
            <v>ООО "Атотех-Хемета"</v>
          </cell>
          <cell r="I108">
            <v>161.91999999999999</v>
          </cell>
        </row>
        <row r="109">
          <cell r="A109" t="str">
            <v>Среднегодовой расход вспомогательных материалов</v>
          </cell>
          <cell r="B109">
            <v>106</v>
          </cell>
          <cell r="C109" t="str">
            <v>Среднегодовой расход вспомогательных материалов</v>
          </cell>
          <cell r="D109" t="str">
            <v>Среднегодовой расход вспомогательных материалов</v>
          </cell>
          <cell r="F109">
            <v>150</v>
          </cell>
          <cell r="I109">
            <v>0</v>
          </cell>
        </row>
        <row r="110">
          <cell r="A110" t="str">
            <v>Среднегодовой расход материалов лаборатории</v>
          </cell>
          <cell r="B110">
            <v>107</v>
          </cell>
          <cell r="C110" t="str">
            <v>Среднегодовой расход материалов лаборатории</v>
          </cell>
          <cell r="D110" t="str">
            <v>Среднегодовой расход материалов лаборатории</v>
          </cell>
          <cell r="F110">
            <v>30</v>
          </cell>
          <cell r="I110">
            <v>0</v>
          </cell>
        </row>
        <row r="111">
          <cell r="A111" t="str">
            <v>Стабилизатор NOVIGANTH HC STABILIZER</v>
          </cell>
          <cell r="B111">
            <v>108</v>
          </cell>
          <cell r="C111" t="str">
            <v>Стабилизатор NOVIGANTH HC STABILIZER</v>
          </cell>
          <cell r="D111" t="str">
            <v>Стабилизатор NOVIGANTH HC STABILIZER</v>
          </cell>
          <cell r="E111" t="str">
            <v>кг</v>
          </cell>
          <cell r="F111">
            <v>2499.88</v>
          </cell>
          <cell r="G111" t="str">
            <v>spb14112501 от 25.11.2014 (spb141125001)</v>
          </cell>
          <cell r="H111" t="str">
            <v>ООО "Петрокоммерц"</v>
          </cell>
          <cell r="I111">
            <v>2414.73</v>
          </cell>
        </row>
        <row r="112">
          <cell r="A112" t="str">
            <v>Стеклотекстолит фольг. DE 104 18/18-0.36</v>
          </cell>
          <cell r="B112">
            <v>109</v>
          </cell>
          <cell r="C112" t="str">
            <v>Стеклотекстолит фольгированный DE104ML 18/18-0.36</v>
          </cell>
          <cell r="D112" t="str">
            <v>Стеклотекстолит фольг. DE 104 18/18-0.36</v>
          </cell>
          <cell r="E112" t="str">
            <v>м2</v>
          </cell>
          <cell r="F112">
            <v>2229</v>
          </cell>
          <cell r="G112" t="str">
            <v>1235 от 19.11.2015 (1235)</v>
          </cell>
          <cell r="H112" t="str">
            <v>ООО "БАЛТИЗОЛИТ"</v>
          </cell>
          <cell r="I112">
            <v>2358.84</v>
          </cell>
        </row>
        <row r="113">
          <cell r="A113" t="str">
            <v>Стеклотекстолит фольг. DE 104 18/18-1.5</v>
          </cell>
          <cell r="B113">
            <v>110</v>
          </cell>
          <cell r="C113" t="str">
            <v>Стеклотекстолит фольгированный DE104 18/18-1.5</v>
          </cell>
          <cell r="D113" t="str">
            <v>Стеклотекстолит фольг. DE 104 18/18-1.5</v>
          </cell>
          <cell r="E113" t="str">
            <v>м2</v>
          </cell>
          <cell r="F113">
            <v>2369.36</v>
          </cell>
          <cell r="G113" t="str">
            <v>spb018070502 от 05.07.2018 (0180705002)</v>
          </cell>
          <cell r="H113" t="str">
            <v>ООО "Петрокоммерц"</v>
          </cell>
          <cell r="I113">
            <v>630.99</v>
          </cell>
        </row>
        <row r="114">
          <cell r="A114" t="str">
            <v>Стеклотекстолит фольг. DE 104 18/18-2.0</v>
          </cell>
          <cell r="B114">
            <v>111</v>
          </cell>
          <cell r="C114" t="str">
            <v>Стеклотекстолит фольгированный DE104 18/18-2.0</v>
          </cell>
          <cell r="D114" t="str">
            <v>Стеклотекстолит фольг. DE 104 18/18-2.0</v>
          </cell>
          <cell r="E114" t="str">
            <v>м2</v>
          </cell>
          <cell r="F114">
            <v>1790.57</v>
          </cell>
          <cell r="G114" t="str">
            <v>959 от 06.11.2013 (1378)</v>
          </cell>
          <cell r="H114" t="str">
            <v>ООО "БАЛТИЗОЛИТ"</v>
          </cell>
          <cell r="I114">
            <v>2190</v>
          </cell>
        </row>
        <row r="115">
          <cell r="A115" t="str">
            <v>Стеклотекстолит фольг. DE 104 35/35-0.36</v>
          </cell>
          <cell r="B115">
            <v>112</v>
          </cell>
          <cell r="C115" t="str">
            <v>Стеклотекстолит фольгированный DE104ML 35/35-0.36</v>
          </cell>
          <cell r="D115" t="str">
            <v>Стеклотекстолит фольг. DE 104 35/35-0.36</v>
          </cell>
          <cell r="E115" t="str">
            <v>м2</v>
          </cell>
          <cell r="F115">
            <v>1660.64</v>
          </cell>
          <cell r="G115" t="str">
            <v>433 от 28.04.2014 (581)</v>
          </cell>
          <cell r="H115" t="str">
            <v>ООО "БАЛТИЗОЛИТ СПб"</v>
          </cell>
          <cell r="I115">
            <v>1628.44</v>
          </cell>
        </row>
        <row r="116">
          <cell r="A116" t="str">
            <v>Стеклотекстолит фольг. DE 104 35/35-1.0</v>
          </cell>
          <cell r="B116">
            <v>113</v>
          </cell>
          <cell r="C116" t="str">
            <v>Стеклотекстолит фольгированный DE104ML 35/35-1.0</v>
          </cell>
          <cell r="D116" t="str">
            <v>Стеклотекстолит фольг. DE 104 35/35-1.0</v>
          </cell>
          <cell r="E116" t="str">
            <v>м2</v>
          </cell>
          <cell r="F116">
            <v>3184</v>
          </cell>
          <cell r="G116" t="str">
            <v>20 от 13.01.2016 (20)</v>
          </cell>
          <cell r="H116" t="str">
            <v>ООО "БАЛТИЗОЛИТ"</v>
          </cell>
          <cell r="I116">
            <v>2895</v>
          </cell>
        </row>
        <row r="117">
          <cell r="A117" t="str">
            <v>Стеклотекстолит фольг. DE 104 35/35-1.5</v>
          </cell>
          <cell r="B117">
            <v>114</v>
          </cell>
          <cell r="C117" t="str">
            <v>Стеклотекстолит фольгированный DE104 35/35-1.5</v>
          </cell>
          <cell r="D117" t="str">
            <v>Стеклотекстолит фольг. DE 104 35/35-1.5</v>
          </cell>
          <cell r="E117" t="str">
            <v>м2</v>
          </cell>
          <cell r="F117">
            <v>2746.65</v>
          </cell>
          <cell r="G117" t="str">
            <v>spb018090505 от 05.09.2018 (0180905005)</v>
          </cell>
          <cell r="H117" t="str">
            <v>ООО "Петрокоммерц"</v>
          </cell>
          <cell r="I117">
            <v>2497</v>
          </cell>
        </row>
        <row r="118">
          <cell r="A118" t="str">
            <v>Стеклотекстолит фольг. DE 104 35/35-2.0</v>
          </cell>
          <cell r="B118">
            <v>115</v>
          </cell>
          <cell r="C118" t="str">
            <v>Стеклотекстолит фольгированный DE104 35/35-2.0</v>
          </cell>
          <cell r="D118" t="str">
            <v>Стеклотекстолит фольг. DE 104 35/35-2.0</v>
          </cell>
          <cell r="E118" t="str">
            <v>м2</v>
          </cell>
          <cell r="F118">
            <v>3770</v>
          </cell>
          <cell r="G118" t="str">
            <v>581 от 19.05.2018 (581)</v>
          </cell>
          <cell r="H118" t="str">
            <v>ООО "БАЛТПРОМИЗОЛИТ "</v>
          </cell>
          <cell r="I118">
            <v>3308.79</v>
          </cell>
        </row>
        <row r="119">
          <cell r="A119" t="str">
            <v>Стеклотекстолит фольг. DE 104 35/35-2.4</v>
          </cell>
          <cell r="B119">
            <v>116</v>
          </cell>
          <cell r="C119" t="str">
            <v>Стеклотекстолит фольгированный DE 104 35/35-2.4</v>
          </cell>
          <cell r="D119" t="str">
            <v>Стеклотекстолит фольг. DE 104 35/35-2.4</v>
          </cell>
          <cell r="E119" t="str">
            <v>м2</v>
          </cell>
          <cell r="F119">
            <v>4795</v>
          </cell>
          <cell r="G119" t="str">
            <v>1269 от 12.10.2016 (1269)</v>
          </cell>
          <cell r="H119" t="str">
            <v>ООО "БАЛТИЗОЛИТ "</v>
          </cell>
          <cell r="I119">
            <v>0</v>
          </cell>
        </row>
        <row r="120">
          <cell r="A120" t="str">
            <v>Стеклотекстолит фольг. DE 104 35/35-3.2</v>
          </cell>
          <cell r="B120">
            <v>117</v>
          </cell>
          <cell r="C120" t="str">
            <v>Стеклотекстолит фольгированный DE104 35/35-3.2</v>
          </cell>
          <cell r="D120" t="str">
            <v>Стеклотекстолит фольг. DE 104 35/35-3.2</v>
          </cell>
          <cell r="E120" t="str">
            <v>м2</v>
          </cell>
          <cell r="F120">
            <v>3923.93</v>
          </cell>
          <cell r="G120" t="str">
            <v>spb14033108 от 31.03.2014 (spb140331008)</v>
          </cell>
          <cell r="H120" t="str">
            <v>ООО "Петрокоммерц"</v>
          </cell>
          <cell r="I120">
            <v>3873.45</v>
          </cell>
        </row>
        <row r="121">
          <cell r="A121" t="str">
            <v>Стеклотекстолит фольг. DE 104 50/50-1.5</v>
          </cell>
          <cell r="B121">
            <v>118</v>
          </cell>
          <cell r="C121" t="str">
            <v>Стеклотекстолит фольгированный DE 104 50/50-1.5</v>
          </cell>
          <cell r="D121" t="str">
            <v>Стеклотекстолит фольг. DE 104 50/50-1.5</v>
          </cell>
          <cell r="E121" t="str">
            <v>м2</v>
          </cell>
          <cell r="F121">
            <v>4170</v>
          </cell>
          <cell r="G121" t="str">
            <v>570 от 06.05.2016 (570)</v>
          </cell>
          <cell r="H121" t="str">
            <v>ООО "БАЛТИЗОЛИТ"</v>
          </cell>
          <cell r="I121">
            <v>0</v>
          </cell>
        </row>
        <row r="122">
          <cell r="A122" t="str">
            <v>Стеклотекстолит фольг. DE 104 50/50-2.0</v>
          </cell>
          <cell r="B122">
            <v>119</v>
          </cell>
          <cell r="C122" t="str">
            <v>Стеклотекстолит фольгированный DE104 50/50-2.0</v>
          </cell>
          <cell r="D122" t="str">
            <v>Стеклотекстолит фольг. DE 104 50/50-2.0</v>
          </cell>
          <cell r="E122" t="str">
            <v>м2</v>
          </cell>
          <cell r="F122">
            <v>3788.4</v>
          </cell>
          <cell r="G122" t="str">
            <v>339 от 17.03.2016 (339)</v>
          </cell>
          <cell r="H122" t="str">
            <v>ООО "БАЛТИЗОЛИТ"</v>
          </cell>
          <cell r="I122">
            <v>3232.66</v>
          </cell>
        </row>
        <row r="123">
          <cell r="A123" t="str">
            <v>Стеклотекстолит фольг. DE104ML 18/18-0.8</v>
          </cell>
          <cell r="B123">
            <v>120</v>
          </cell>
          <cell r="C123" t="str">
            <v>Стеклотекстолит фольгированный DE104ML 18/18-0.8</v>
          </cell>
          <cell r="D123" t="str">
            <v>Стеклотекстолит фольг. DE104ML 18/18-0.8</v>
          </cell>
          <cell r="E123" t="str">
            <v>м2</v>
          </cell>
          <cell r="F123">
            <v>1563.82</v>
          </cell>
          <cell r="G123" t="str">
            <v>spb14081806 от 18.08.2014 (spb140818006)</v>
          </cell>
          <cell r="H123" t="str">
            <v>ООО "Петрокоммерц"</v>
          </cell>
          <cell r="I123">
            <v>1563.82</v>
          </cell>
        </row>
        <row r="124">
          <cell r="A124" t="str">
            <v>Стеклотекстолит фольг. FR-4 35/35-0.15</v>
          </cell>
          <cell r="B124">
            <v>121</v>
          </cell>
          <cell r="C124" t="str">
            <v>Стеклотекстолит фольгированный FR-4 35/35-0.15</v>
          </cell>
          <cell r="D124" t="str">
            <v>Стеклотекстолит фольг. FR-4 35/35-0.15</v>
          </cell>
          <cell r="E124" t="str">
            <v>м2</v>
          </cell>
          <cell r="F124">
            <v>2300</v>
          </cell>
          <cell r="G124" t="str">
            <v>56 от 22.11.2010 (59)</v>
          </cell>
          <cell r="H124" t="str">
            <v>ООО "АльфаКом"</v>
          </cell>
          <cell r="I124">
            <v>0</v>
          </cell>
        </row>
        <row r="125">
          <cell r="A125" t="str">
            <v>Стеклотекстолит фольг. FR-4 35/35-0.8</v>
          </cell>
          <cell r="B125">
            <v>122</v>
          </cell>
          <cell r="C125" t="str">
            <v>Стеклотекстолит фольгированный FR-4 35/35-0.8</v>
          </cell>
          <cell r="D125" t="str">
            <v>Стеклотекстолит фольг. FR-4 35/35-0.8</v>
          </cell>
          <cell r="E125" t="str">
            <v>м2</v>
          </cell>
          <cell r="F125">
            <v>1897</v>
          </cell>
          <cell r="G125" t="str">
            <v>538 от 11.07.2017 (538)</v>
          </cell>
          <cell r="H125" t="str">
            <v>ООО "БАЛТИЗОЛИТ"</v>
          </cell>
          <cell r="I125">
            <v>0</v>
          </cell>
        </row>
        <row r="126">
          <cell r="A126" t="str">
            <v>Стеклотекстолит фольг. FR-4 МИ 18/18-1.5 1кл.</v>
          </cell>
          <cell r="B126">
            <v>123</v>
          </cell>
          <cell r="C126" t="str">
            <v>Стеклотекстолит фольгированный FR-4 МИ 18/18-1.5 1кл.</v>
          </cell>
          <cell r="D126" t="str">
            <v>Стеклотекстолит фольг. FR-4 МИ 18/18-1.5 1кл.</v>
          </cell>
          <cell r="E126">
            <v>0.32</v>
          </cell>
          <cell r="F126">
            <v>435</v>
          </cell>
          <cell r="G126" t="str">
            <v>199 от 24.04.2012 (199)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FR-4 МИ 50/50-2.0</v>
          </cell>
          <cell r="B127">
            <v>124</v>
          </cell>
          <cell r="C127" t="str">
            <v>Стеклотекстолит фольгированный FR-4 МИ 50/50-2.0</v>
          </cell>
          <cell r="D127" t="str">
            <v>Стеклотекстолит фольг. FR-4 МИ 50/50-2.0</v>
          </cell>
          <cell r="E127">
            <v>1</v>
          </cell>
          <cell r="F127">
            <v>485</v>
          </cell>
          <cell r="G127" t="str">
            <v>936 от 28.10.2013 (1355)</v>
          </cell>
          <cell r="H127" t="str">
            <v>ООО "БАЛТИЗОЛИТ СПб"</v>
          </cell>
          <cell r="I127">
            <v>0</v>
          </cell>
        </row>
        <row r="128">
          <cell r="A128" t="str">
            <v>Стеклотекстолит фольг. МИ1222.9-2-105-1.5 1кл.</v>
          </cell>
          <cell r="B128">
            <v>125</v>
          </cell>
          <cell r="C128" t="str">
            <v>Стеклотекстолит фольгированный МИ1222.9-2-105-1.5 1кл.</v>
          </cell>
          <cell r="D128" t="str">
            <v>Стеклотекстолит фольг. МИ1222.9-2-105-1.5 1кл.</v>
          </cell>
          <cell r="E128">
            <v>0.22900000000000001</v>
          </cell>
          <cell r="F128">
            <v>1377</v>
          </cell>
          <cell r="G128" t="str">
            <v>414 от 03.05.2018 (414)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МИ1222.9-2-105-2.0 1кл.</v>
          </cell>
          <cell r="B129">
            <v>126</v>
          </cell>
          <cell r="C129" t="str">
            <v>Стеклотекстолит фольгированный МИ1222.9-2-105-2.0 1кл.</v>
          </cell>
          <cell r="D129" t="str">
            <v>Стеклотекстолит фольг. МИ1222.9-2-105-2.0 1кл.</v>
          </cell>
          <cell r="E129">
            <v>0.125</v>
          </cell>
          <cell r="F129">
            <v>1377</v>
          </cell>
          <cell r="G129" t="str">
            <v>415 от 03.05.2018 (415)</v>
          </cell>
          <cell r="H129" t="str">
            <v>ООО "БАЛТПРОМИЗОЛИТ "</v>
          </cell>
          <cell r="I129">
            <v>0</v>
          </cell>
        </row>
        <row r="130">
          <cell r="A130" t="str">
            <v>Стеклотекстолит фольг. МИ1222.9-2-18-1.0 1кл.</v>
          </cell>
          <cell r="B130">
            <v>127</v>
          </cell>
          <cell r="C130" t="str">
            <v>Стеклотекстолит фольгированный МИ1222.9-2-18-1.0 1кл</v>
          </cell>
          <cell r="D130" t="str">
            <v>Стеклотекстолит фольг. МИ1222.9-2-18-1.0 1кл.</v>
          </cell>
          <cell r="E130">
            <v>0.43478</v>
          </cell>
          <cell r="F130">
            <v>499</v>
          </cell>
          <cell r="G130" t="str">
            <v>532 от 01.07.2013 (659)</v>
          </cell>
          <cell r="H130" t="str">
            <v>ООО "БАЛТИЗОЛИТ СПб"</v>
          </cell>
          <cell r="I130">
            <v>0</v>
          </cell>
        </row>
        <row r="131">
          <cell r="A131" t="str">
            <v>Стеклотекстолит фольг. МИ1222.9-2-18-1.5 1кл.</v>
          </cell>
          <cell r="B131">
            <v>128</v>
          </cell>
          <cell r="C131" t="str">
            <v>Стеклотекстолит фольгированный МИ1222.9-2-18-1.5 1кл</v>
          </cell>
          <cell r="D131" t="str">
            <v>Стеклотекстолит фольг. МИ1222.9-2-18-1.5 1кл.</v>
          </cell>
          <cell r="E131">
            <v>0.31947999999999999</v>
          </cell>
          <cell r="F131">
            <v>819</v>
          </cell>
          <cell r="G131" t="str">
            <v>339 от 17.03.2016 (339)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МИ1222.9-2-18-2.0 1кл.</v>
          </cell>
          <cell r="B132">
            <v>129</v>
          </cell>
          <cell r="C132" t="str">
            <v>Стеклотекстолит фольгированный МИ1222.9-2-18-2.0 1кл</v>
          </cell>
          <cell r="D132" t="str">
            <v>Стеклотекстолит фольг. МИ1222.9-2-18-2.0 1кл.</v>
          </cell>
          <cell r="E132">
            <v>0.26178000000000001</v>
          </cell>
          <cell r="F132">
            <v>816</v>
          </cell>
          <cell r="G132" t="str">
            <v>335 от 17.03.2016 (335)</v>
          </cell>
          <cell r="H132" t="str">
            <v>ООО "БАЛТИЗОЛИТ"</v>
          </cell>
          <cell r="I132">
            <v>0</v>
          </cell>
        </row>
        <row r="133">
          <cell r="A133" t="str">
            <v>Стеклотекстолит фольг. МИ1222.9-2-35-1.0 1кл.</v>
          </cell>
          <cell r="B133">
            <v>130</v>
          </cell>
          <cell r="C133" t="str">
            <v>Стеклотекстолит фольгированный МИ1222.9-2-35-1.0 1кл</v>
          </cell>
          <cell r="D133" t="str">
            <v>Стеклотекстолит фольг. МИ1222.9-2-35-1.0 1кл.</v>
          </cell>
          <cell r="E133">
            <v>0.41299999999999998</v>
          </cell>
          <cell r="F133">
            <v>922</v>
          </cell>
          <cell r="G133" t="str">
            <v>338 от 17.03.2016 (338)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МИ1222.9-2-35-1.5 1кл.</v>
          </cell>
          <cell r="B134">
            <v>131</v>
          </cell>
          <cell r="C134" t="str">
            <v>Стеклотекстолит фольгированный МИ1222.9-2-35-1.5 1кл</v>
          </cell>
          <cell r="D134" t="str">
            <v>Стеклотекстолит фольг. МИ1222.9-2-35-1.5 1кл.</v>
          </cell>
          <cell r="E134">
            <v>0.28699999999999998</v>
          </cell>
          <cell r="F134">
            <v>914</v>
          </cell>
          <cell r="G134" t="str">
            <v>207 от 14.03.2018 (207)</v>
          </cell>
          <cell r="H134" t="str">
            <v>ООО "БАЛТПРОМИЗОЛИТ "</v>
          </cell>
          <cell r="I134">
            <v>0</v>
          </cell>
        </row>
        <row r="135">
          <cell r="A135" t="str">
            <v>Стеклотекстолит фольг. МИ1222.9-2-35-2.0 1кл.</v>
          </cell>
          <cell r="B135">
            <v>132</v>
          </cell>
          <cell r="C135" t="str">
            <v>Стеклотекстолит фольгированный МИ1222.9-2-35-2.0 1кл</v>
          </cell>
          <cell r="D135" t="str">
            <v>Стеклотекстолит фольг. МИ1222.9-2-35-2.0 1кл.</v>
          </cell>
          <cell r="E135">
            <v>0.22700000000000001</v>
          </cell>
          <cell r="F135">
            <v>829</v>
          </cell>
          <cell r="G135" t="str">
            <v>256 от 15.03.2017 (256)</v>
          </cell>
          <cell r="H135" t="str">
            <v>ООО "БАЛТИЗОЛИТ "</v>
          </cell>
          <cell r="I135">
            <v>0</v>
          </cell>
        </row>
        <row r="136">
          <cell r="A136" t="str">
            <v>Стеклотекстолит фольг. МИ1222.9-2-35-2.5 1кл.</v>
          </cell>
          <cell r="B136">
            <v>133</v>
          </cell>
          <cell r="C136" t="str">
            <v>Стеклотекстолит фольгированный МИ1222.9-2-35-2.5 1кл.</v>
          </cell>
          <cell r="D136" t="str">
            <v>Стеклотекстолит фольг. МИ1222.9-2-35-2.5 1кл.</v>
          </cell>
          <cell r="E136">
            <v>0.185</v>
          </cell>
          <cell r="F136">
            <v>839</v>
          </cell>
          <cell r="G136" t="str">
            <v>465 от 22.09.2017 (465)</v>
          </cell>
          <cell r="H136" t="str">
            <v>ООО "БАЛТПРОМИЗОЛИТ "</v>
          </cell>
          <cell r="I136">
            <v>0</v>
          </cell>
        </row>
        <row r="137">
          <cell r="A137" t="str">
            <v>Стеклотекстолит фольг. МИ1222.9-2-50-1.0 1кл.</v>
          </cell>
          <cell r="B137">
            <v>134</v>
          </cell>
          <cell r="C137" t="str">
            <v>Стеклотекстолит фольгированный МИ1222.9-2-50-1.0 1кл.</v>
          </cell>
          <cell r="D137" t="str">
            <v>Стеклотекстолит фольг. МИ1222.9-2-50-1.0 1кл.</v>
          </cell>
          <cell r="E137">
            <v>0.36099999999999999</v>
          </cell>
          <cell r="F137">
            <v>435</v>
          </cell>
          <cell r="G137" t="str">
            <v>1722 от 30.11.2010 (1722)</v>
          </cell>
          <cell r="I137">
            <v>0</v>
          </cell>
        </row>
        <row r="138">
          <cell r="A138" t="str">
            <v>Стеклотекстолит фольг. МИ1222.9-2-50-1.5 1кл.</v>
          </cell>
          <cell r="B138">
            <v>135</v>
          </cell>
          <cell r="C138" t="str">
            <v>Стеклотекстолит фольгированный МИ1222.9-2-50-1.5 1кл</v>
          </cell>
          <cell r="D138" t="str">
            <v>Стеклотекстолит фольг. МИ1222.9-2-50-1.5 1кл.</v>
          </cell>
          <cell r="E138">
            <v>0.25</v>
          </cell>
          <cell r="F138">
            <v>951</v>
          </cell>
          <cell r="G138" t="str">
            <v>209 от 14.03.2018 (209)</v>
          </cell>
          <cell r="H138" t="str">
            <v>ООО "БАЛТПРОМИЗОЛИТ"</v>
          </cell>
          <cell r="I138">
            <v>0</v>
          </cell>
        </row>
        <row r="139">
          <cell r="A139" t="str">
            <v>Стеклотекстолит фольг. МИ1222.9-2-50-2.0 1кл</v>
          </cell>
          <cell r="B139">
            <v>136</v>
          </cell>
          <cell r="C139" t="str">
            <v>Стеклотекстолит фольгированный МИ1222.9-2-50-2.0 1кл</v>
          </cell>
          <cell r="D139" t="str">
            <v>Стеклотекстолит фольг. МИ1222.9-2-50-2.0 1кл</v>
          </cell>
          <cell r="E139">
            <v>0.22</v>
          </cell>
          <cell r="F139">
            <v>896</v>
          </cell>
          <cell r="G139" t="str">
            <v>338 от 17.03.2016 (338)</v>
          </cell>
          <cell r="H139" t="str">
            <v>ООО "БАЛТИЗОЛИТ"</v>
          </cell>
          <cell r="I139">
            <v>0</v>
          </cell>
        </row>
        <row r="140">
          <cell r="A140" t="str">
            <v>Стеклотекстолит фольг. СТФ-1-35-0.13 1кл.</v>
          </cell>
          <cell r="B140">
            <v>137</v>
          </cell>
          <cell r="C140" t="str">
            <v>Стеклотекстолит фольгированный СТФ-1-35-0.13 1кл.</v>
          </cell>
          <cell r="D140" t="str">
            <v>Стеклотекстолит фольг. СТФ-1-35-0.13 1кл.</v>
          </cell>
          <cell r="E140">
            <v>1.8109999999999999</v>
          </cell>
          <cell r="F140">
            <v>1590</v>
          </cell>
          <cell r="G140" t="str">
            <v>713 от 01.06.2010 (713)</v>
          </cell>
          <cell r="H140" t="str">
            <v>ООО "Торговый дом МолдавИзолит""</v>
          </cell>
          <cell r="I140">
            <v>0</v>
          </cell>
        </row>
        <row r="141">
          <cell r="A141" t="str">
            <v>Стеклотекстолит фольг. СТФ-1-35-0.2 1кл.</v>
          </cell>
          <cell r="B141">
            <v>138</v>
          </cell>
          <cell r="C141" t="str">
            <v>Стеклотекстолит фольгированный СТФ-1-35-0.2 1кл.</v>
          </cell>
          <cell r="D141" t="str">
            <v>Стеклотекстолит фольг. СТФ-1-35-0.2 1кл.</v>
          </cell>
          <cell r="E141">
            <v>1.46</v>
          </cell>
          <cell r="F141">
            <v>1305</v>
          </cell>
          <cell r="G141" t="str">
            <v>408 от 28.08.2007 (408)</v>
          </cell>
          <cell r="H141" t="str">
            <v>ООО "Вектор-электроника"</v>
          </cell>
          <cell r="I141">
            <v>0</v>
          </cell>
        </row>
        <row r="142">
          <cell r="A142" t="str">
            <v>Стеклотекстолит фольг. СТФ-2-18-0.13 1кл.</v>
          </cell>
          <cell r="B142">
            <v>139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</v>
          </cell>
          <cell r="E142">
            <v>1.8149999999999999</v>
          </cell>
          <cell r="F142">
            <v>2640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СТФ-2-18-0.13 1кл. "ОС"</v>
          </cell>
          <cell r="B143">
            <v>140</v>
          </cell>
          <cell r="C143" t="str">
            <v>Стеклотекстолит фольгированный СТФ2-18-0.13 1кл</v>
          </cell>
          <cell r="D143" t="str">
            <v>Стеклотекстолит фольг. СТФ-2-18-0.13 1кл. "ОС"</v>
          </cell>
          <cell r="E143">
            <v>1.8149999999999999</v>
          </cell>
          <cell r="F143">
            <v>2070</v>
          </cell>
          <cell r="G143" t="str">
            <v>381 от 11.12.2014 (385)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</v>
          </cell>
          <cell r="B144">
            <v>141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</v>
          </cell>
          <cell r="E144">
            <v>1.462</v>
          </cell>
          <cell r="F144">
            <v>3038.92</v>
          </cell>
          <cell r="G144" t="str">
            <v>206 от 14.03.2018 (206)</v>
          </cell>
          <cell r="H144" t="str">
            <v>ООО "БАЛТПРОМИЗОЛИТ"</v>
          </cell>
          <cell r="I144">
            <v>0</v>
          </cell>
        </row>
        <row r="145">
          <cell r="A145" t="str">
            <v>Стеклотекстолит фольг. СТФ-2-18-0.18 1кл. "ОС"</v>
          </cell>
          <cell r="B145">
            <v>142</v>
          </cell>
          <cell r="C145" t="str">
            <v>Стеклотекстолит фольгированный СТФ2-18-0.18 1кл</v>
          </cell>
          <cell r="D145" t="str">
            <v>Стеклотекстолит фольг. СТФ-2-18-0.18 1кл. "ОС"</v>
          </cell>
          <cell r="E145">
            <v>1.462</v>
          </cell>
          <cell r="F145">
            <v>1815</v>
          </cell>
          <cell r="G145" t="str">
            <v>383 от 08.04.2015 (384)</v>
          </cell>
          <cell r="H145" t="str">
            <v>ООО "БАЛТИЗОЛИТ"</v>
          </cell>
          <cell r="I145">
            <v>0</v>
          </cell>
        </row>
        <row r="146">
          <cell r="A146" t="str">
            <v>Стеклотекстолит фольг. СТФ-2-18-0.2 1кл</v>
          </cell>
          <cell r="B146">
            <v>143</v>
          </cell>
          <cell r="C146" t="str">
            <v>Стеклотекстолит фольгированный СТФ-2-18-0.2 1кл</v>
          </cell>
          <cell r="D146" t="str">
            <v>Стеклотекстолит фольг. СТФ-2-18-0.2 1кл</v>
          </cell>
          <cell r="E146">
            <v>1</v>
          </cell>
          <cell r="F146">
            <v>1860</v>
          </cell>
          <cell r="G146" t="str">
            <v>81 от 13.05.2013 (91)</v>
          </cell>
          <cell r="H146" t="str">
            <v>ООО "АльфаКом"</v>
          </cell>
          <cell r="I146">
            <v>0</v>
          </cell>
        </row>
        <row r="147">
          <cell r="A147" t="str">
            <v>Стеклотекстолит фольг. СТФ-2-35-0.1 1кл</v>
          </cell>
          <cell r="B147">
            <v>144</v>
          </cell>
          <cell r="C147" t="str">
            <v xml:space="preserve">Стеклотекстолит фольгированный СТФ2-35-0.1 1кл </v>
          </cell>
          <cell r="D147" t="str">
            <v>Стеклотекстолит фольг. СТФ-2-35-0.1 1кл</v>
          </cell>
          <cell r="E147">
            <v>1</v>
          </cell>
          <cell r="F147">
            <v>1840</v>
          </cell>
          <cell r="G147" t="str">
            <v>381 от 11.12.2014 (385)</v>
          </cell>
          <cell r="H147" t="str">
            <v>ООО "БАЛТИЗОЛИТ"</v>
          </cell>
          <cell r="I147">
            <v>0</v>
          </cell>
        </row>
        <row r="148">
          <cell r="A148" t="str">
            <v xml:space="preserve">Стеклотекстолит фольг. СТФ-2-35-0.13 1кл. </v>
          </cell>
          <cell r="B148">
            <v>145</v>
          </cell>
          <cell r="C148" t="str">
            <v xml:space="preserve">Стеклотекстолит фольгированный СТФ-2-35-0.13 1кл. </v>
          </cell>
          <cell r="D148" t="str">
            <v xml:space="preserve">Стеклотекстолит фольг. СТФ-2-35-0.13 1кл. </v>
          </cell>
          <cell r="E148">
            <v>1.167</v>
          </cell>
          <cell r="F148">
            <v>2690</v>
          </cell>
          <cell r="G148" t="str">
            <v>500 от 21.04.2016 (500)</v>
          </cell>
          <cell r="H148" t="str">
            <v>ООО "БАЛТИЗОЛИТ"</v>
          </cell>
          <cell r="I148">
            <v>0</v>
          </cell>
        </row>
        <row r="149">
          <cell r="A149" t="str">
            <v>Стеклотекстолит фольг. СТФ-2-35-0.2 1кл.</v>
          </cell>
          <cell r="B149">
            <v>146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</v>
          </cell>
          <cell r="E149">
            <v>1.462</v>
          </cell>
          <cell r="F149">
            <v>2000</v>
          </cell>
          <cell r="G149" t="str">
            <v>1041 от 02.12.2013 (1460)</v>
          </cell>
          <cell r="H149" t="str">
            <v>ООО "БАЛТИЗОЛИТ СПб"</v>
          </cell>
          <cell r="I149">
            <v>0</v>
          </cell>
        </row>
        <row r="150">
          <cell r="A150" t="str">
            <v>Стеклотекстолит фольг. СТФ-2-35-0.2 1кл. "ОС"</v>
          </cell>
          <cell r="B150">
            <v>147</v>
          </cell>
          <cell r="C150" t="str">
            <v>Стеклотекстолит фольгированный СТФ2-35-0.2 1кл</v>
          </cell>
          <cell r="D150" t="str">
            <v>Стеклотекстолит фольг. СТФ-2-35-0.2 1кл. "ОС"</v>
          </cell>
          <cell r="E150">
            <v>1.462</v>
          </cell>
          <cell r="F150">
            <v>1114</v>
          </cell>
          <cell r="G150" t="str">
            <v>738 от 11.05.2011 (738)</v>
          </cell>
          <cell r="H150" t="str">
            <v>ООО "Торговый дом МолдавИзолит""</v>
          </cell>
          <cell r="I150">
            <v>0</v>
          </cell>
        </row>
        <row r="151">
          <cell r="A151" t="str">
            <v>Стеклотекстолит фольг. СТФ-2-35-2.5 1кл.</v>
          </cell>
          <cell r="B151">
            <v>148</v>
          </cell>
          <cell r="C151" t="str">
            <v>Стеклотекстолит фольгированный СТФ-2-35-2.5 1кл.</v>
          </cell>
          <cell r="D151" t="str">
            <v>Стеклотекстолит фольг. СТФ-2-35-2.5 1кл.</v>
          </cell>
          <cell r="E151">
            <v>0.187</v>
          </cell>
          <cell r="F151">
            <v>435</v>
          </cell>
          <cell r="G151" t="str">
            <v>46 от 07.02.2008 (46)</v>
          </cell>
          <cell r="H151" t="str">
            <v>ООО "Вектор-электроника"</v>
          </cell>
          <cell r="I151">
            <v>0</v>
          </cell>
        </row>
        <row r="152">
          <cell r="A152" t="str">
            <v>Стеклотекстолит фольг. СТФ-2-35-3.0 1кл.</v>
          </cell>
          <cell r="B152">
            <v>149</v>
          </cell>
          <cell r="C152" t="str">
            <v>Стеклотекстолит фольгированный СТФ-2-35-3.0 1кл.</v>
          </cell>
          <cell r="D152" t="str">
            <v>Стеклотекстолит фольг. СТФ-2-35-3.0 1кл.</v>
          </cell>
          <cell r="E152">
            <v>0.158</v>
          </cell>
          <cell r="F152">
            <v>398</v>
          </cell>
          <cell r="G152" t="str">
            <v>108 от 25.06.2007 (108)</v>
          </cell>
          <cell r="H152" t="str">
            <v>ООО "Гравит"</v>
          </cell>
          <cell r="I152">
            <v>0</v>
          </cell>
        </row>
        <row r="153">
          <cell r="A153" t="str">
            <v>Стеклотекстолит фольг. СТФ-2-50-2.0 1кл.</v>
          </cell>
          <cell r="B153">
            <v>150</v>
          </cell>
          <cell r="C153" t="str">
            <v>Стеклотекстолит фольгированный СТФ-2-50-2.0 1кл.</v>
          </cell>
          <cell r="D153" t="str">
            <v>Стеклотекстолит фольг. СТФ-2-50-2.0 1кл.</v>
          </cell>
          <cell r="E153">
            <v>0.214</v>
          </cell>
          <cell r="F153">
            <v>413</v>
          </cell>
          <cell r="I153">
            <v>0</v>
          </cell>
        </row>
        <row r="154">
          <cell r="A154" t="str">
            <v>Стеклотекстолит электротехн. СТЭФ-1 вс 3.0</v>
          </cell>
          <cell r="B154">
            <v>151</v>
          </cell>
          <cell r="C154" t="str">
            <v>Стеклотекстолит электротехнический СТЭФ-1 вс 3.0</v>
          </cell>
          <cell r="D154" t="str">
            <v>Стеклотекстолит электротехн. СТЭФ-1 вс 3.0</v>
          </cell>
          <cell r="E154">
            <v>1</v>
          </cell>
          <cell r="F154">
            <v>449</v>
          </cell>
          <cell r="G154" t="str">
            <v>1068 от 06.10.2015 (1068)</v>
          </cell>
          <cell r="H154" t="str">
            <v>ООО "БАЛТИЗОЛИТ"</v>
          </cell>
          <cell r="I154">
            <v>429</v>
          </cell>
        </row>
        <row r="155">
          <cell r="A155" t="str">
            <v>Стеклоткань прокладочная DE 104ML 1080 AT01</v>
          </cell>
          <cell r="B155">
            <v>152</v>
          </cell>
          <cell r="C155" t="str">
            <v>Стеклоткань прокладочная DE104ML 1080 AT01</v>
          </cell>
          <cell r="D155" t="str">
            <v>Стеклоткань прокладочная DE 104ML 1080 AT01</v>
          </cell>
          <cell r="E155" t="str">
            <v>м2</v>
          </cell>
          <cell r="F155">
            <v>385.55</v>
          </cell>
          <cell r="G155" t="str">
            <v>spb018090505 от 05.09.2018 (0180905005)</v>
          </cell>
          <cell r="H155" t="str">
            <v>ООО "Петрокоммерц"</v>
          </cell>
          <cell r="I155">
            <v>355.61</v>
          </cell>
        </row>
        <row r="156">
          <cell r="A156" t="str">
            <v>Стеклоткань прокладочная RO4450B 0.091</v>
          </cell>
          <cell r="B156">
            <v>153</v>
          </cell>
          <cell r="C156" t="str">
            <v>Стеклоткань прокладочная RO4450B 0.091</v>
          </cell>
          <cell r="D156" t="str">
            <v>Стеклоткань прокладочная RO4450B 0.091</v>
          </cell>
          <cell r="E156" t="str">
            <v>м2</v>
          </cell>
          <cell r="F156">
            <v>7052.41</v>
          </cell>
          <cell r="G156" t="str">
            <v>254 от 08.06.2016 (482)</v>
          </cell>
          <cell r="H156" t="str">
            <v>ООО "ЭлекТрейд-М"</v>
          </cell>
          <cell r="I156">
            <v>0</v>
          </cell>
        </row>
        <row r="157">
          <cell r="A157" t="str">
            <v>Стеклоткань прокладочная СТП-4 0,062</v>
          </cell>
          <cell r="B157">
            <v>154</v>
          </cell>
          <cell r="C157" t="str">
            <v>Стеклоткань прокладочная СТП-4 0,062</v>
          </cell>
          <cell r="D157" t="str">
            <v>Стеклоткань прокладочная СТП-4 0,062</v>
          </cell>
          <cell r="E157" t="str">
            <v>м2</v>
          </cell>
          <cell r="F157">
            <v>304.20999999999998</v>
          </cell>
          <cell r="G157" t="str">
            <v>500 от 21.04.2016 (500)</v>
          </cell>
          <cell r="H157" t="str">
            <v>ООО "БАЛТИЗОЛИТ"</v>
          </cell>
          <cell r="I157">
            <v>0</v>
          </cell>
        </row>
        <row r="158">
          <cell r="A158" t="str">
            <v>СТФ2-18-0,18 1 кл</v>
          </cell>
          <cell r="B158">
            <v>155</v>
          </cell>
          <cell r="C158" t="str">
            <v>Стеклотекстолит фольгированный СТФ2-18-0.18 1кл</v>
          </cell>
          <cell r="D158" t="str">
            <v>СТФ2-18-0,18 1 кл</v>
          </cell>
          <cell r="E158" t="str">
            <v>м2</v>
          </cell>
          <cell r="F158">
            <v>1526.67</v>
          </cell>
          <cell r="I158">
            <v>0</v>
          </cell>
        </row>
        <row r="159">
          <cell r="A159" t="str">
            <v>СТФ2-18-0,2 1 кл</v>
          </cell>
          <cell r="B159">
            <v>156</v>
          </cell>
          <cell r="C159" t="str">
            <v>СТФ2-18-0.2 1 кл</v>
          </cell>
          <cell r="D159" t="str">
            <v>СТФ2-18-0,2 1 кл</v>
          </cell>
          <cell r="E159" t="str">
            <v>м2</v>
          </cell>
          <cell r="F159">
            <v>1498.3739999999998</v>
          </cell>
          <cell r="I159">
            <v>0</v>
          </cell>
        </row>
        <row r="160">
          <cell r="A160" t="str">
            <v>СТФ2-35-0,1 1 кл</v>
          </cell>
          <cell r="B160">
            <v>157</v>
          </cell>
          <cell r="C160" t="str">
            <v xml:space="preserve">Стеклотекстолит фольгированный СТФ2-35-0.1 1кл </v>
          </cell>
          <cell r="D160" t="str">
            <v>СТФ2-35-0,1 1 кл</v>
          </cell>
          <cell r="E160" t="str">
            <v>м2</v>
          </cell>
          <cell r="F160">
            <v>1866.3119999999999</v>
          </cell>
          <cell r="I160">
            <v>0</v>
          </cell>
        </row>
        <row r="161">
          <cell r="A161" t="str">
            <v>СТФ2-35-0,2 1 кл</v>
          </cell>
          <cell r="B161">
            <v>158</v>
          </cell>
          <cell r="C161" t="str">
            <v>Стеклотекстолит фольгированный СТФ2-35-0.2 1кл</v>
          </cell>
          <cell r="D161" t="str">
            <v>СТФ2-35-0,2 1 кл</v>
          </cell>
          <cell r="E161" t="str">
            <v>м2</v>
          </cell>
          <cell r="F161">
            <v>2209.6799999999998</v>
          </cell>
          <cell r="I161">
            <v>0</v>
          </cell>
        </row>
        <row r="162">
          <cell r="A162" t="str">
            <v>СТФ2-35-0,25 1 кл</v>
          </cell>
          <cell r="B162">
            <v>159</v>
          </cell>
          <cell r="C162" t="str">
            <v>СТФ2-35-0,25 1 кл</v>
          </cell>
          <cell r="D162" t="str">
            <v>СТФ2-35-0,25 1 кл</v>
          </cell>
          <cell r="E162" t="str">
            <v>м2</v>
          </cell>
          <cell r="F162">
            <v>2016</v>
          </cell>
          <cell r="I162">
            <v>0</v>
          </cell>
        </row>
        <row r="163">
          <cell r="A163" t="str">
            <v>Сумка ПНД</v>
          </cell>
          <cell r="B163">
            <v>160</v>
          </cell>
          <cell r="C163" t="str">
            <v>Сумка ПНД</v>
          </cell>
          <cell r="D163" t="str">
            <v>Сумка ПНД</v>
          </cell>
          <cell r="E163" t="str">
            <v>шт</v>
          </cell>
          <cell r="F163">
            <v>3.38</v>
          </cell>
          <cell r="G163" t="str">
            <v>236 от 30.11.2015</v>
          </cell>
          <cell r="H163" t="str">
            <v>ООО "Расма"</v>
          </cell>
          <cell r="I163">
            <v>1.63</v>
          </cell>
        </row>
        <row r="164">
          <cell r="A164" t="str">
            <v>Тринатрийфосфат</v>
          </cell>
          <cell r="B164">
            <v>161</v>
          </cell>
          <cell r="C164" t="str">
            <v>Тринатрийфосфат</v>
          </cell>
          <cell r="D164" t="str">
            <v>Тринатрийфосфат</v>
          </cell>
          <cell r="E164" t="str">
            <v>кг</v>
          </cell>
          <cell r="F164">
            <v>88.8</v>
          </cell>
          <cell r="G164" t="str">
            <v>645 от 04.07.2018 (645)</v>
          </cell>
          <cell r="H164" t="str">
            <v>ООО "БАЛТПРОМИЗОЛИТ "</v>
          </cell>
          <cell r="I164">
            <v>62.21</v>
          </cell>
        </row>
        <row r="165">
          <cell r="A165" t="str">
            <v>Фиксаж KODAK 3000</v>
          </cell>
          <cell r="B165">
            <v>162</v>
          </cell>
          <cell r="C165" t="str">
            <v>Фиксаж KODAK</v>
          </cell>
          <cell r="D165" t="str">
            <v>Фиксаж KODAK 3000</v>
          </cell>
          <cell r="E165" t="str">
            <v>кг</v>
          </cell>
          <cell r="F165">
            <v>271.97000000000003</v>
          </cell>
          <cell r="G165" t="str">
            <v>1015 от 08.08.2016 (1015)</v>
          </cell>
          <cell r="H165" t="str">
            <v>ООО "БАЛТИЗОЛИТ"</v>
          </cell>
          <cell r="I165">
            <v>226.72</v>
          </cell>
        </row>
        <row r="166">
          <cell r="A166" t="str">
            <v>Флюс</v>
          </cell>
          <cell r="B166">
            <v>163</v>
          </cell>
          <cell r="C166" t="str">
            <v>Флюс</v>
          </cell>
          <cell r="D166" t="str">
            <v>Флюс</v>
          </cell>
          <cell r="E166" t="str">
            <v>кг</v>
          </cell>
          <cell r="F166">
            <v>609.95000000000005</v>
          </cell>
          <cell r="G166" t="str">
            <v>4990065865 от 12.09.2018 (500014753)</v>
          </cell>
          <cell r="H166" t="str">
            <v>АО "Омиа Алгол Рус"</v>
          </cell>
          <cell r="I166">
            <v>729.09</v>
          </cell>
        </row>
        <row r="167">
          <cell r="A167" t="str">
            <v>Фольга медная 70 мкм</v>
          </cell>
          <cell r="B167">
            <v>164</v>
          </cell>
          <cell r="C167" t="str">
            <v>Фольга медная 70 мкм</v>
          </cell>
          <cell r="D167" t="str">
            <v>Фольга медная 70 мкм</v>
          </cell>
          <cell r="E167" t="str">
            <v>м2</v>
          </cell>
          <cell r="F167">
            <v>1461.48</v>
          </cell>
          <cell r="G167" t="str">
            <v>spb14112503 от 25.11.2014 (spb141125003)</v>
          </cell>
          <cell r="H167" t="str">
            <v>ООО "Петрокоммерц"</v>
          </cell>
          <cell r="I167">
            <v>0</v>
          </cell>
        </row>
        <row r="168">
          <cell r="A168" t="str">
            <v>Фотоплёнка KODAK ARD-7</v>
          </cell>
          <cell r="B168">
            <v>165</v>
          </cell>
          <cell r="C168" t="str">
            <v>Фотопленка KODAK APR-7</v>
          </cell>
          <cell r="D168" t="str">
            <v>Фотоплёнка KODAK ARD-7</v>
          </cell>
          <cell r="E168" t="str">
            <v>м2</v>
          </cell>
          <cell r="F168">
            <v>1091.94</v>
          </cell>
          <cell r="G168" t="str">
            <v>762 от 09.08.2018 (762)</v>
          </cell>
          <cell r="H168" t="str">
            <v>ООО "БАЛТПРОМИЗОЛИТ "</v>
          </cell>
          <cell r="I168">
            <v>1018.19</v>
          </cell>
        </row>
        <row r="169">
          <cell r="A169" t="str">
            <v>Фоторезист Riston 40мкм</v>
          </cell>
          <cell r="B169">
            <v>166</v>
          </cell>
          <cell r="C169" t="str">
            <v>Фоторезист сухой пленочный 40 мкм</v>
          </cell>
          <cell r="D169" t="str">
            <v>Фоторезист Riston 40мкм</v>
          </cell>
          <cell r="E169" t="str">
            <v>м2</v>
          </cell>
          <cell r="F169" t="str">
            <v>204.45</v>
          </cell>
          <cell r="G169" t="str">
            <v>623 от 05.09.2018 (623)</v>
          </cell>
          <cell r="H169" t="str">
            <v>ООО "Торговый дом Абсолют"</v>
          </cell>
          <cell r="I169">
            <v>140.52000000000001</v>
          </cell>
        </row>
        <row r="170">
          <cell r="A170" t="str">
            <v>Фоторезист Riston 50мкм</v>
          </cell>
          <cell r="B170">
            <v>167</v>
          </cell>
          <cell r="C170" t="str">
            <v>Фоторезист сухой пленочный 50 мкм</v>
          </cell>
          <cell r="D170" t="str">
            <v>Фоторезист Riston 50мкм</v>
          </cell>
          <cell r="E170" t="str">
            <v>м2</v>
          </cell>
          <cell r="F170">
            <v>211.8</v>
          </cell>
          <cell r="G170" t="str">
            <v>623 от 05.09.2018 (623)</v>
          </cell>
          <cell r="H170" t="str">
            <v>ООО "Торговый дом Абсолют"</v>
          </cell>
          <cell r="I170">
            <v>209.03</v>
          </cell>
        </row>
        <row r="171">
          <cell r="A171" t="str">
            <v>Фреза твердосплавная</v>
          </cell>
          <cell r="B171">
            <v>168</v>
          </cell>
          <cell r="C171" t="str">
            <v>Фреза твердосплавная, м/шт</v>
          </cell>
          <cell r="D171" t="str">
            <v>Фреза твердосплавная</v>
          </cell>
          <cell r="E171" t="str">
            <v>шт</v>
          </cell>
          <cell r="F171">
            <v>160</v>
          </cell>
          <cell r="G171" t="str">
            <v>1304 от 1.12.2015</v>
          </cell>
          <cell r="H171" t="str">
            <v>ООО "БАЛТИЗОЛИТ"</v>
          </cell>
          <cell r="I171">
            <v>0</v>
          </cell>
        </row>
        <row r="172">
          <cell r="A172">
            <v>0</v>
          </cell>
          <cell r="B172">
            <v>169</v>
          </cell>
        </row>
        <row r="173">
          <cell r="A173">
            <v>0</v>
          </cell>
          <cell r="B173">
            <v>170</v>
          </cell>
        </row>
        <row r="174">
          <cell r="A174">
            <v>0</v>
          </cell>
          <cell r="B174">
            <v>171</v>
          </cell>
        </row>
        <row r="175">
          <cell r="A175">
            <v>0</v>
          </cell>
          <cell r="B175">
            <v>172</v>
          </cell>
        </row>
        <row r="176">
          <cell r="A176">
            <v>0</v>
          </cell>
          <cell r="B176">
            <v>173</v>
          </cell>
        </row>
        <row r="177">
          <cell r="A177">
            <v>0</v>
          </cell>
          <cell r="B177">
            <v>174</v>
          </cell>
        </row>
        <row r="178">
          <cell r="A178">
            <v>0</v>
          </cell>
          <cell r="B178">
            <v>175</v>
          </cell>
        </row>
        <row r="179">
          <cell r="A179">
            <v>0</v>
          </cell>
          <cell r="B179">
            <v>176</v>
          </cell>
        </row>
        <row r="180">
          <cell r="A180">
            <v>0</v>
          </cell>
          <cell r="B180">
            <v>177</v>
          </cell>
        </row>
        <row r="181">
          <cell r="A181">
            <v>0</v>
          </cell>
          <cell r="B181">
            <v>178</v>
          </cell>
        </row>
        <row r="182">
          <cell r="A182">
            <v>0</v>
          </cell>
          <cell r="B182">
            <v>179</v>
          </cell>
        </row>
        <row r="183">
          <cell r="A183">
            <v>0</v>
          </cell>
          <cell r="B183">
            <v>180</v>
          </cell>
        </row>
        <row r="184">
          <cell r="A184">
            <v>0</v>
          </cell>
          <cell r="B184">
            <v>181</v>
          </cell>
        </row>
        <row r="185">
          <cell r="A185">
            <v>0</v>
          </cell>
          <cell r="B185">
            <v>182</v>
          </cell>
        </row>
        <row r="186">
          <cell r="A186">
            <v>0</v>
          </cell>
          <cell r="B186">
            <v>183</v>
          </cell>
        </row>
        <row r="187">
          <cell r="A187">
            <v>0</v>
          </cell>
          <cell r="B187">
            <v>184</v>
          </cell>
        </row>
        <row r="188">
          <cell r="A188">
            <v>0</v>
          </cell>
          <cell r="B188">
            <v>185</v>
          </cell>
        </row>
        <row r="189">
          <cell r="A189">
            <v>0</v>
          </cell>
          <cell r="B189">
            <v>186</v>
          </cell>
        </row>
        <row r="190">
          <cell r="A190">
            <v>0</v>
          </cell>
          <cell r="B190">
            <v>187</v>
          </cell>
        </row>
        <row r="191">
          <cell r="A191">
            <v>0</v>
          </cell>
          <cell r="B191">
            <v>188</v>
          </cell>
        </row>
        <row r="192">
          <cell r="A192">
            <v>0</v>
          </cell>
          <cell r="B192">
            <v>189</v>
          </cell>
        </row>
        <row r="193">
          <cell r="A193">
            <v>0</v>
          </cell>
          <cell r="B193">
            <v>190</v>
          </cell>
        </row>
        <row r="194">
          <cell r="A194">
            <v>0</v>
          </cell>
          <cell r="B194">
            <v>191</v>
          </cell>
        </row>
        <row r="195">
          <cell r="A195">
            <v>0</v>
          </cell>
          <cell r="B195">
            <v>192</v>
          </cell>
        </row>
        <row r="196">
          <cell r="A196">
            <v>0</v>
          </cell>
          <cell r="B196">
            <v>193</v>
          </cell>
        </row>
        <row r="197">
          <cell r="A197">
            <v>0</v>
          </cell>
          <cell r="B197">
            <v>194</v>
          </cell>
        </row>
        <row r="198">
          <cell r="A198">
            <v>0</v>
          </cell>
          <cell r="B198">
            <v>195</v>
          </cell>
        </row>
        <row r="199">
          <cell r="A199">
            <v>0</v>
          </cell>
          <cell r="B199">
            <v>196</v>
          </cell>
        </row>
        <row r="200">
          <cell r="A200">
            <v>0</v>
          </cell>
          <cell r="B200">
            <v>197</v>
          </cell>
        </row>
        <row r="201">
          <cell r="A201">
            <v>0</v>
          </cell>
          <cell r="B201">
            <v>198</v>
          </cell>
        </row>
        <row r="202">
          <cell r="A202">
            <v>0</v>
          </cell>
          <cell r="B202">
            <v>199</v>
          </cell>
        </row>
        <row r="203">
          <cell r="A203">
            <v>0</v>
          </cell>
          <cell r="B203">
            <v>200</v>
          </cell>
        </row>
        <row r="204">
          <cell r="A204">
            <v>0</v>
          </cell>
          <cell r="B204">
            <v>201</v>
          </cell>
        </row>
        <row r="205">
          <cell r="A205">
            <v>0</v>
          </cell>
          <cell r="B205">
            <v>202</v>
          </cell>
        </row>
        <row r="206">
          <cell r="A206">
            <v>0</v>
          </cell>
          <cell r="B206">
            <v>203</v>
          </cell>
        </row>
        <row r="207">
          <cell r="A207">
            <v>0</v>
          </cell>
          <cell r="B207">
            <v>204</v>
          </cell>
        </row>
        <row r="208">
          <cell r="A208">
            <v>0</v>
          </cell>
          <cell r="B208">
            <v>205</v>
          </cell>
        </row>
        <row r="209">
          <cell r="A209">
            <v>0</v>
          </cell>
          <cell r="B209">
            <v>206</v>
          </cell>
        </row>
        <row r="210">
          <cell r="A210">
            <v>0</v>
          </cell>
          <cell r="B210">
            <v>207</v>
          </cell>
        </row>
        <row r="211">
          <cell r="A211">
            <v>0</v>
          </cell>
          <cell r="B211">
            <v>208</v>
          </cell>
        </row>
        <row r="212">
          <cell r="A212">
            <v>0</v>
          </cell>
          <cell r="B212">
            <v>209</v>
          </cell>
        </row>
        <row r="213">
          <cell r="A213">
            <v>0</v>
          </cell>
          <cell r="B213">
            <v>210</v>
          </cell>
        </row>
        <row r="214">
          <cell r="A214">
            <v>0</v>
          </cell>
          <cell r="B214">
            <v>211</v>
          </cell>
        </row>
        <row r="215">
          <cell r="A215">
            <v>0</v>
          </cell>
          <cell r="B215">
            <v>212</v>
          </cell>
        </row>
        <row r="216">
          <cell r="A216">
            <v>0</v>
          </cell>
          <cell r="B216">
            <v>213</v>
          </cell>
        </row>
        <row r="217">
          <cell r="A217">
            <v>0</v>
          </cell>
          <cell r="B217">
            <v>214</v>
          </cell>
        </row>
        <row r="218">
          <cell r="A218">
            <v>0</v>
          </cell>
          <cell r="B218">
            <v>215</v>
          </cell>
        </row>
        <row r="219">
          <cell r="A219">
            <v>0</v>
          </cell>
          <cell r="B219">
            <v>216</v>
          </cell>
        </row>
        <row r="220">
          <cell r="A220">
            <v>0</v>
          </cell>
          <cell r="B220">
            <v>217</v>
          </cell>
        </row>
        <row r="221">
          <cell r="A221">
            <v>0</v>
          </cell>
          <cell r="B221">
            <v>218</v>
          </cell>
        </row>
        <row r="222">
          <cell r="A222">
            <v>0</v>
          </cell>
          <cell r="B222">
            <v>219</v>
          </cell>
        </row>
        <row r="223">
          <cell r="A223">
            <v>0</v>
          </cell>
          <cell r="B223">
            <v>220</v>
          </cell>
        </row>
        <row r="224">
          <cell r="A224">
            <v>0</v>
          </cell>
          <cell r="B224">
            <v>221</v>
          </cell>
        </row>
        <row r="225">
          <cell r="A225">
            <v>0</v>
          </cell>
          <cell r="B225">
            <v>222</v>
          </cell>
        </row>
        <row r="226">
          <cell r="A226">
            <v>0</v>
          </cell>
          <cell r="B226">
            <v>223</v>
          </cell>
        </row>
        <row r="227">
          <cell r="A227">
            <v>0</v>
          </cell>
          <cell r="B227">
            <v>224</v>
          </cell>
        </row>
        <row r="228">
          <cell r="A228">
            <v>0</v>
          </cell>
          <cell r="B228">
            <v>225</v>
          </cell>
        </row>
        <row r="229">
          <cell r="A229">
            <v>0</v>
          </cell>
          <cell r="B229">
            <v>226</v>
          </cell>
        </row>
        <row r="230">
          <cell r="A230">
            <v>0</v>
          </cell>
          <cell r="B230">
            <v>227</v>
          </cell>
        </row>
        <row r="231">
          <cell r="A231">
            <v>0</v>
          </cell>
          <cell r="B231">
            <v>228</v>
          </cell>
        </row>
        <row r="232">
          <cell r="A232">
            <v>0</v>
          </cell>
          <cell r="B232">
            <v>229</v>
          </cell>
        </row>
        <row r="233">
          <cell r="A233">
            <v>0</v>
          </cell>
          <cell r="B233">
            <v>230</v>
          </cell>
        </row>
        <row r="234">
          <cell r="A234">
            <v>0</v>
          </cell>
          <cell r="B234">
            <v>231</v>
          </cell>
        </row>
        <row r="235">
          <cell r="A235">
            <v>0</v>
          </cell>
          <cell r="B235">
            <v>232</v>
          </cell>
        </row>
        <row r="236">
          <cell r="A236">
            <v>0</v>
          </cell>
          <cell r="B236">
            <v>233</v>
          </cell>
        </row>
        <row r="237">
          <cell r="A237">
            <v>0</v>
          </cell>
          <cell r="B237">
            <v>234</v>
          </cell>
        </row>
        <row r="238">
          <cell r="A238">
            <v>0</v>
          </cell>
          <cell r="B238">
            <v>235</v>
          </cell>
        </row>
        <row r="239">
          <cell r="A239">
            <v>0</v>
          </cell>
          <cell r="B239">
            <v>236</v>
          </cell>
        </row>
        <row r="240">
          <cell r="A240">
            <v>0</v>
          </cell>
          <cell r="B240">
            <v>237</v>
          </cell>
        </row>
        <row r="241">
          <cell r="A241">
            <v>0</v>
          </cell>
          <cell r="B241">
            <v>238</v>
          </cell>
        </row>
        <row r="242">
          <cell r="A242">
            <v>0</v>
          </cell>
          <cell r="B242">
            <v>239</v>
          </cell>
        </row>
        <row r="243">
          <cell r="A243">
            <v>0</v>
          </cell>
          <cell r="B243">
            <v>240</v>
          </cell>
        </row>
        <row r="244">
          <cell r="A244">
            <v>0</v>
          </cell>
          <cell r="B244">
            <v>241</v>
          </cell>
        </row>
        <row r="245">
          <cell r="A245">
            <v>0</v>
          </cell>
          <cell r="B245">
            <v>242</v>
          </cell>
        </row>
        <row r="246">
          <cell r="A246">
            <v>0</v>
          </cell>
          <cell r="B246">
            <v>243</v>
          </cell>
        </row>
        <row r="247">
          <cell r="A247">
            <v>0</v>
          </cell>
          <cell r="B247">
            <v>244</v>
          </cell>
        </row>
        <row r="248">
          <cell r="A248">
            <v>0</v>
          </cell>
          <cell r="B248">
            <v>245</v>
          </cell>
        </row>
        <row r="249">
          <cell r="A249">
            <v>0</v>
          </cell>
          <cell r="B249">
            <v>246</v>
          </cell>
        </row>
        <row r="250">
          <cell r="A250">
            <v>0</v>
          </cell>
          <cell r="B250">
            <v>247</v>
          </cell>
        </row>
        <row r="251">
          <cell r="A251">
            <v>0</v>
          </cell>
          <cell r="B251">
            <v>248</v>
          </cell>
        </row>
        <row r="252">
          <cell r="A252">
            <v>0</v>
          </cell>
          <cell r="B252">
            <v>249</v>
          </cell>
        </row>
        <row r="253">
          <cell r="A253">
            <v>0</v>
          </cell>
          <cell r="B253">
            <v>250</v>
          </cell>
        </row>
        <row r="254">
          <cell r="A254">
            <v>0</v>
          </cell>
          <cell r="B254">
            <v>251</v>
          </cell>
        </row>
        <row r="255">
          <cell r="A255">
            <v>0</v>
          </cell>
          <cell r="B255">
            <v>252</v>
          </cell>
        </row>
        <row r="256">
          <cell r="A256">
            <v>0</v>
          </cell>
          <cell r="B256">
            <v>253</v>
          </cell>
        </row>
        <row r="257">
          <cell r="A257">
            <v>0</v>
          </cell>
          <cell r="B257">
            <v>254</v>
          </cell>
        </row>
        <row r="258">
          <cell r="A258">
            <v>0</v>
          </cell>
          <cell r="B258">
            <v>255</v>
          </cell>
        </row>
        <row r="259">
          <cell r="A259">
            <v>0</v>
          </cell>
          <cell r="B259">
            <v>256</v>
          </cell>
        </row>
        <row r="260">
          <cell r="A260">
            <v>0</v>
          </cell>
          <cell r="B260">
            <v>257</v>
          </cell>
        </row>
        <row r="261">
          <cell r="A261">
            <v>0</v>
          </cell>
          <cell r="B261">
            <v>258</v>
          </cell>
        </row>
        <row r="262">
          <cell r="A262">
            <v>0</v>
          </cell>
          <cell r="B262">
            <v>259</v>
          </cell>
        </row>
        <row r="263">
          <cell r="A263">
            <v>0</v>
          </cell>
          <cell r="B263">
            <v>260</v>
          </cell>
        </row>
        <row r="264">
          <cell r="A264">
            <v>0</v>
          </cell>
          <cell r="B264">
            <v>261</v>
          </cell>
        </row>
        <row r="265">
          <cell r="A265">
            <v>0</v>
          </cell>
          <cell r="B265">
            <v>262</v>
          </cell>
        </row>
        <row r="266">
          <cell r="A266">
            <v>0</v>
          </cell>
          <cell r="B266">
            <v>263</v>
          </cell>
        </row>
        <row r="267">
          <cell r="A267">
            <v>0</v>
          </cell>
          <cell r="B267">
            <v>264</v>
          </cell>
        </row>
        <row r="268">
          <cell r="A268">
            <v>0</v>
          </cell>
          <cell r="B268">
            <v>265</v>
          </cell>
        </row>
        <row r="269">
          <cell r="A269">
            <v>0</v>
          </cell>
          <cell r="B269">
            <v>266</v>
          </cell>
        </row>
        <row r="270">
          <cell r="A270">
            <v>0</v>
          </cell>
          <cell r="B270">
            <v>267</v>
          </cell>
        </row>
        <row r="271">
          <cell r="A271">
            <v>0</v>
          </cell>
          <cell r="B271">
            <v>268</v>
          </cell>
        </row>
        <row r="272">
          <cell r="A272">
            <v>0</v>
          </cell>
          <cell r="B272">
            <v>269</v>
          </cell>
        </row>
        <row r="273">
          <cell r="A273">
            <v>0</v>
          </cell>
          <cell r="B273">
            <v>270</v>
          </cell>
        </row>
        <row r="274">
          <cell r="A274">
            <v>0</v>
          </cell>
          <cell r="B274">
            <v>271</v>
          </cell>
        </row>
        <row r="275">
          <cell r="A275">
            <v>0</v>
          </cell>
          <cell r="B275">
            <v>272</v>
          </cell>
        </row>
        <row r="276">
          <cell r="A276">
            <v>0</v>
          </cell>
          <cell r="B276">
            <v>273</v>
          </cell>
        </row>
        <row r="277">
          <cell r="A277">
            <v>0</v>
          </cell>
          <cell r="B277">
            <v>274</v>
          </cell>
        </row>
        <row r="278">
          <cell r="A278">
            <v>0</v>
          </cell>
          <cell r="B278">
            <v>275</v>
          </cell>
        </row>
        <row r="279">
          <cell r="A279">
            <v>0</v>
          </cell>
          <cell r="B279">
            <v>276</v>
          </cell>
        </row>
        <row r="280">
          <cell r="A280">
            <v>0</v>
          </cell>
          <cell r="B280">
            <v>277</v>
          </cell>
        </row>
        <row r="281">
          <cell r="A281">
            <v>0</v>
          </cell>
          <cell r="B281">
            <v>278</v>
          </cell>
        </row>
        <row r="282">
          <cell r="A282">
            <v>0</v>
          </cell>
          <cell r="B282">
            <v>279</v>
          </cell>
        </row>
        <row r="283">
          <cell r="A283">
            <v>0</v>
          </cell>
          <cell r="B283">
            <v>280</v>
          </cell>
        </row>
        <row r="284">
          <cell r="A284">
            <v>0</v>
          </cell>
          <cell r="B284">
            <v>281</v>
          </cell>
        </row>
        <row r="285">
          <cell r="A285">
            <v>0</v>
          </cell>
          <cell r="B285">
            <v>282</v>
          </cell>
        </row>
        <row r="286">
          <cell r="A286">
            <v>0</v>
          </cell>
          <cell r="B286">
            <v>283</v>
          </cell>
        </row>
        <row r="287">
          <cell r="A287">
            <v>0</v>
          </cell>
          <cell r="B287">
            <v>284</v>
          </cell>
        </row>
        <row r="288">
          <cell r="A288">
            <v>0</v>
          </cell>
          <cell r="B288">
            <v>285</v>
          </cell>
        </row>
        <row r="289">
          <cell r="A289">
            <v>0</v>
          </cell>
          <cell r="B289">
            <v>286</v>
          </cell>
        </row>
        <row r="290">
          <cell r="A290">
            <v>0</v>
          </cell>
          <cell r="B290">
            <v>287</v>
          </cell>
        </row>
        <row r="291">
          <cell r="A291">
            <v>0</v>
          </cell>
          <cell r="B291">
            <v>288</v>
          </cell>
        </row>
        <row r="292">
          <cell r="A292">
            <v>0</v>
          </cell>
          <cell r="B292">
            <v>289</v>
          </cell>
        </row>
        <row r="293">
          <cell r="A293">
            <v>0</v>
          </cell>
          <cell r="B293">
            <v>290</v>
          </cell>
        </row>
        <row r="294">
          <cell r="A294">
            <v>0</v>
          </cell>
          <cell r="B294">
            <v>291</v>
          </cell>
        </row>
        <row r="295">
          <cell r="A295">
            <v>0</v>
          </cell>
          <cell r="B295">
            <v>292</v>
          </cell>
        </row>
        <row r="296">
          <cell r="A296">
            <v>0</v>
          </cell>
          <cell r="B296">
            <v>293</v>
          </cell>
        </row>
        <row r="297">
          <cell r="A297">
            <v>0</v>
          </cell>
          <cell r="B297">
            <v>294</v>
          </cell>
        </row>
        <row r="298">
          <cell r="A298">
            <v>0</v>
          </cell>
          <cell r="B298">
            <v>295</v>
          </cell>
        </row>
        <row r="299">
          <cell r="A299">
            <v>0</v>
          </cell>
          <cell r="B299">
            <v>296</v>
          </cell>
        </row>
        <row r="300">
          <cell r="A300">
            <v>0</v>
          </cell>
          <cell r="B300">
            <v>297</v>
          </cell>
        </row>
        <row r="301">
          <cell r="A301">
            <v>0</v>
          </cell>
          <cell r="B301">
            <v>298</v>
          </cell>
        </row>
        <row r="302">
          <cell r="A302">
            <v>0</v>
          </cell>
          <cell r="B302">
            <v>299</v>
          </cell>
        </row>
        <row r="303">
          <cell r="A303">
            <v>0</v>
          </cell>
          <cell r="B303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Q85"/>
  <sheetViews>
    <sheetView tabSelected="1" zoomScaleNormal="100" workbookViewId="0">
      <selection activeCell="C8" sqref="C8"/>
    </sheetView>
  </sheetViews>
  <sheetFormatPr defaultRowHeight="12.75" x14ac:dyDescent="0.2"/>
  <cols>
    <col min="1" max="1" width="2.7109375" customWidth="1"/>
    <col min="2" max="2" width="36.5703125" customWidth="1"/>
    <col min="3" max="3" width="11.85546875" customWidth="1"/>
    <col min="4" max="4" width="2.42578125" customWidth="1"/>
    <col min="5" max="5" width="16.140625" customWidth="1"/>
    <col min="6" max="6" width="25.5703125" customWidth="1"/>
    <col min="7" max="7" width="13.5703125" customWidth="1"/>
    <col min="9" max="9" width="20.28515625" style="3" customWidth="1"/>
    <col min="10" max="10" width="20" style="3" customWidth="1"/>
    <col min="11" max="11" width="22.85546875" style="3" customWidth="1"/>
    <col min="12" max="12" width="9.140625" style="3" customWidth="1"/>
  </cols>
  <sheetData>
    <row r="1" spans="1:11" x14ac:dyDescent="0.2">
      <c r="C1" s="265"/>
      <c r="D1" s="265"/>
      <c r="E1" s="265"/>
      <c r="F1" s="265"/>
      <c r="G1" s="132" t="s">
        <v>461</v>
      </c>
    </row>
    <row r="2" spans="1:11" ht="6.6" customHeight="1" x14ac:dyDescent="0.2"/>
    <row r="3" spans="1:11" ht="13.15" customHeight="1" x14ac:dyDescent="0.2">
      <c r="A3" s="403" t="s">
        <v>368</v>
      </c>
      <c r="B3" s="403"/>
      <c r="C3" s="403"/>
      <c r="D3" s="403"/>
      <c r="E3" s="403"/>
      <c r="F3" s="403"/>
      <c r="G3" s="403"/>
    </row>
    <row r="4" spans="1:11" ht="13.9" customHeight="1" thickBot="1" x14ac:dyDescent="0.25">
      <c r="A4" s="403"/>
      <c r="B4" s="403"/>
      <c r="C4" s="403"/>
      <c r="D4" s="403"/>
      <c r="E4" s="403"/>
      <c r="F4" s="403"/>
      <c r="G4" s="403"/>
    </row>
    <row r="5" spans="1:11" ht="15.75" customHeight="1" thickBot="1" x14ac:dyDescent="0.3">
      <c r="A5" s="387" t="s">
        <v>0</v>
      </c>
      <c r="B5" s="388"/>
      <c r="C5" s="407" t="s">
        <v>0</v>
      </c>
      <c r="D5" s="408"/>
      <c r="E5" s="408"/>
      <c r="F5" s="408"/>
      <c r="G5" s="409"/>
      <c r="I5" s="360">
        <f>Цена_За_штуку</f>
        <v>1877</v>
      </c>
    </row>
    <row r="6" spans="1:11" ht="13.5" thickBot="1" x14ac:dyDescent="0.25">
      <c r="A6" s="387" t="s">
        <v>80</v>
      </c>
      <c r="B6" s="388"/>
      <c r="C6" s="404" t="s">
        <v>393</v>
      </c>
      <c r="D6" s="405"/>
      <c r="E6" s="406"/>
      <c r="F6" s="68" t="s">
        <v>394</v>
      </c>
      <c r="G6" s="63"/>
    </row>
    <row r="7" spans="1:11" ht="13.5" thickBot="1" x14ac:dyDescent="0.25">
      <c r="A7" s="387" t="s">
        <v>1</v>
      </c>
      <c r="B7" s="388"/>
      <c r="C7" s="410" t="s">
        <v>360</v>
      </c>
      <c r="D7" s="410"/>
      <c r="E7" s="410"/>
      <c r="F7" s="410"/>
      <c r="G7" s="67"/>
    </row>
    <row r="8" spans="1:11" ht="13.5" thickBot="1" x14ac:dyDescent="0.25">
      <c r="A8" s="387" t="s">
        <v>5</v>
      </c>
      <c r="B8" s="388"/>
      <c r="C8" s="254">
        <v>41</v>
      </c>
      <c r="D8" s="59"/>
      <c r="E8" s="411" t="s">
        <v>85</v>
      </c>
      <c r="F8" s="412"/>
      <c r="G8" s="35">
        <v>3</v>
      </c>
    </row>
    <row r="9" spans="1:11" ht="13.5" thickBot="1" x14ac:dyDescent="0.25">
      <c r="A9" s="387" t="s">
        <v>21</v>
      </c>
      <c r="B9" s="388"/>
      <c r="C9" s="47">
        <v>1</v>
      </c>
      <c r="D9" s="59"/>
      <c r="E9" s="376" t="s">
        <v>79</v>
      </c>
      <c r="F9" s="377"/>
      <c r="G9" s="56">
        <v>2</v>
      </c>
    </row>
    <row r="10" spans="1:11" ht="13.5" thickBot="1" x14ac:dyDescent="0.25">
      <c r="A10" s="387" t="s">
        <v>22</v>
      </c>
      <c r="B10" s="388"/>
      <c r="C10" s="47">
        <v>18</v>
      </c>
      <c r="D10" s="59"/>
      <c r="E10" s="374" t="s">
        <v>82</v>
      </c>
      <c r="F10" s="375"/>
      <c r="G10" s="56">
        <v>2</v>
      </c>
    </row>
    <row r="11" spans="1:11" ht="13.5" thickBot="1" x14ac:dyDescent="0.25">
      <c r="A11" s="385" t="s">
        <v>314</v>
      </c>
      <c r="B11" s="386"/>
      <c r="C11" s="47" t="s">
        <v>313</v>
      </c>
      <c r="D11" s="59"/>
      <c r="E11" s="391" t="s">
        <v>205</v>
      </c>
      <c r="F11" s="392"/>
      <c r="G11" s="49">
        <v>500</v>
      </c>
    </row>
    <row r="12" spans="1:11" ht="13.5" thickBot="1" x14ac:dyDescent="0.25">
      <c r="A12" s="387" t="s">
        <v>4</v>
      </c>
      <c r="B12" s="388"/>
      <c r="C12" s="47">
        <v>3</v>
      </c>
      <c r="D12" s="7"/>
      <c r="E12" s="393" t="s">
        <v>206</v>
      </c>
      <c r="F12" s="394"/>
      <c r="G12" s="49">
        <v>500</v>
      </c>
    </row>
    <row r="13" spans="1:11" ht="15.6" customHeight="1" thickBot="1" x14ac:dyDescent="0.25">
      <c r="A13" s="387" t="s">
        <v>315</v>
      </c>
      <c r="B13" s="388"/>
      <c r="C13" s="47" t="s">
        <v>316</v>
      </c>
      <c r="D13" s="7"/>
      <c r="E13" s="398" t="s">
        <v>238</v>
      </c>
      <c r="F13" s="399"/>
      <c r="G13" s="342">
        <v>3</v>
      </c>
    </row>
    <row r="14" spans="1:11" ht="13.5" thickBot="1" x14ac:dyDescent="0.25">
      <c r="A14" s="310" t="s">
        <v>15</v>
      </c>
      <c r="B14" s="311"/>
      <c r="C14" s="255">
        <v>0.35</v>
      </c>
      <c r="D14" s="7"/>
      <c r="E14" s="372" t="s">
        <v>320</v>
      </c>
      <c r="F14" s="373"/>
      <c r="G14" s="257">
        <v>2</v>
      </c>
    </row>
    <row r="15" spans="1:11" ht="13.5" thickBot="1" x14ac:dyDescent="0.25">
      <c r="A15" s="310" t="s">
        <v>9</v>
      </c>
      <c r="B15" s="311"/>
      <c r="C15" s="255">
        <v>1.6</v>
      </c>
      <c r="D15" s="7"/>
      <c r="E15" s="389" t="s">
        <v>321</v>
      </c>
      <c r="F15" s="390"/>
      <c r="G15" s="56" t="s">
        <v>324</v>
      </c>
      <c r="I15" s="413" t="s">
        <v>77</v>
      </c>
      <c r="J15" s="413"/>
      <c r="K15" s="47">
        <f>IF(ISERROR(SEARCH("км",ТипМаски)),0,IF(ISERROR(SEARCH("2",СлоевМаски)),IF(ISERROR(SEARCH("1",СлоевМаски)),0,1),2))</f>
        <v>2</v>
      </c>
    </row>
    <row r="16" spans="1:11" ht="13.5" thickBot="1" x14ac:dyDescent="0.25">
      <c r="A16" s="312" t="s">
        <v>16</v>
      </c>
      <c r="B16" s="313"/>
      <c r="C16" s="255">
        <v>3</v>
      </c>
      <c r="D16" s="7"/>
      <c r="E16" s="381" t="s">
        <v>322</v>
      </c>
      <c r="F16" s="382"/>
      <c r="G16" s="56" t="s">
        <v>323</v>
      </c>
      <c r="I16" s="413" t="s">
        <v>78</v>
      </c>
      <c r="J16" s="413"/>
      <c r="K16" s="47">
        <f>IF(ISERROR(SEARCH("жм",ТипМаски)),0,IF(ISERROR(SEARCH("2",СлоевМаски)),IF(ISERROR(SEARCH("1",СлоевМаски)),0,1),2))</f>
        <v>2</v>
      </c>
    </row>
    <row r="17" spans="1:17" ht="13.5" thickBot="1" x14ac:dyDescent="0.25">
      <c r="A17" s="312" t="s">
        <v>6</v>
      </c>
      <c r="B17" s="313"/>
      <c r="C17" s="255">
        <v>2</v>
      </c>
      <c r="E17" s="383" t="s">
        <v>325</v>
      </c>
      <c r="F17" s="377"/>
      <c r="G17" s="314" t="s">
        <v>355</v>
      </c>
      <c r="I17" s="414" t="s">
        <v>326</v>
      </c>
      <c r="J17" s="414"/>
      <c r="K17" s="47">
        <f>IF(ISERROR(SEARCH("2",marktype)),IF(ISERROR(SEARCH("1",marktype)),0,1),2)</f>
        <v>1</v>
      </c>
    </row>
    <row r="18" spans="1:17" ht="13.5" thickBot="1" x14ac:dyDescent="0.25">
      <c r="A18" s="312" t="s">
        <v>8</v>
      </c>
      <c r="B18" s="313"/>
      <c r="C18" s="47">
        <v>2</v>
      </c>
      <c r="E18" s="376" t="s">
        <v>17</v>
      </c>
      <c r="F18" s="377"/>
      <c r="G18" s="34">
        <v>1</v>
      </c>
      <c r="I18" s="415" t="s">
        <v>327</v>
      </c>
      <c r="J18" s="415"/>
      <c r="K18" s="300">
        <f>IF(marktype=0,0,IF(NOT(ISERROR(SEARCH("pr",marktype))),2,IF(NOT(ISERROR(SEARCH("фм",marktype))),1,3)))</f>
        <v>2</v>
      </c>
    </row>
    <row r="19" spans="1:17" ht="13.5" thickBot="1" x14ac:dyDescent="0.25">
      <c r="A19" s="312" t="s">
        <v>7</v>
      </c>
      <c r="B19" s="313"/>
      <c r="C19" s="256">
        <f>CEILING(П/n_малое,1)</f>
        <v>21</v>
      </c>
      <c r="D19" s="59"/>
      <c r="E19" s="30" t="s">
        <v>378</v>
      </c>
      <c r="F19" s="5"/>
      <c r="G19" s="31">
        <v>1</v>
      </c>
    </row>
    <row r="20" spans="1:17" ht="13.5" thickBot="1" x14ac:dyDescent="0.25">
      <c r="A20" s="401" t="s">
        <v>19</v>
      </c>
      <c r="B20" s="402"/>
      <c r="C20" s="258">
        <v>2</v>
      </c>
      <c r="D20" s="52"/>
      <c r="E20" s="50" t="s">
        <v>297</v>
      </c>
      <c r="F20" s="55"/>
      <c r="G20" s="25">
        <v>2</v>
      </c>
      <c r="Q20" t="s">
        <v>373</v>
      </c>
    </row>
    <row r="21" spans="1:17" ht="13.5" thickBot="1" x14ac:dyDescent="0.25">
      <c r="D21" s="52"/>
      <c r="E21" s="395" t="s">
        <v>86</v>
      </c>
      <c r="F21" s="396"/>
      <c r="G21" s="26">
        <v>1</v>
      </c>
      <c r="I21" t="s">
        <v>328</v>
      </c>
      <c r="J21" t="s">
        <v>329</v>
      </c>
      <c r="K21" t="s">
        <v>330</v>
      </c>
      <c r="L21" t="s">
        <v>331</v>
      </c>
      <c r="M21" t="s">
        <v>332</v>
      </c>
      <c r="N21" t="s">
        <v>333</v>
      </c>
      <c r="O21" t="s">
        <v>329</v>
      </c>
      <c r="P21" t="s">
        <v>334</v>
      </c>
      <c r="Q21" t="s">
        <v>335</v>
      </c>
    </row>
    <row r="22" spans="1:17" ht="13.5" thickBot="1" x14ac:dyDescent="0.25">
      <c r="A22" s="301"/>
      <c r="B22" s="301"/>
      <c r="C22" s="301"/>
      <c r="D22" s="51"/>
      <c r="E22" s="378" t="s">
        <v>374</v>
      </c>
      <c r="F22" s="379"/>
      <c r="G22" s="336" t="s">
        <v>375</v>
      </c>
      <c r="I22" s="114">
        <f>CEILING((Коэфстоиостизолота*колво_ламелей*Ширина_ламелей*Длина_ламелей/100+труёмзол1пл)*П*IF(M22*1&gt;0,1,0),1)</f>
        <v>0</v>
      </c>
      <c r="J22" s="114">
        <f>LEN(ламели)</f>
        <v>9</v>
      </c>
      <c r="K22" s="114">
        <f>SEARCH(" ",ламели)</f>
        <v>2</v>
      </c>
      <c r="L22" s="114">
        <f>IF(ISERR(SEARCH("х",ламели)),SEARCH("x",ламели),SEARCH("х",ламели))</f>
        <v>6</v>
      </c>
      <c r="M22" s="114" t="str">
        <f>LEFT(ламели,K22)</f>
        <v xml:space="preserve">0 </v>
      </c>
      <c r="N22" s="114" t="str">
        <f>MID(ламели,K22,L22-K22)</f>
        <v xml:space="preserve"> 0.0</v>
      </c>
      <c r="O22" s="114" t="str">
        <f>RIGHT(ламели,J22-L22)</f>
        <v>0.0</v>
      </c>
      <c r="P22" s="335">
        <f>81.832/10000*калийдецианоауреат/1000/0.68</f>
        <v>1.5910066258823526E-2</v>
      </c>
      <c r="Q22" s="335">
        <f>0.1833*Сн</f>
        <v>126.96457799999999</v>
      </c>
    </row>
    <row r="23" spans="1:17" ht="13.5" thickBot="1" x14ac:dyDescent="0.25">
      <c r="A23" s="301"/>
      <c r="B23" s="301"/>
      <c r="C23" s="301"/>
      <c r="E23" s="107" t="s">
        <v>140</v>
      </c>
      <c r="F23" s="60"/>
      <c r="G23" s="25">
        <v>0</v>
      </c>
    </row>
    <row r="24" spans="1:17" x14ac:dyDescent="0.2">
      <c r="A24" s="384"/>
      <c r="B24" s="384"/>
      <c r="C24" s="384"/>
      <c r="D24" s="384"/>
      <c r="E24" s="384"/>
      <c r="F24" s="384"/>
      <c r="G24" s="384"/>
    </row>
    <row r="25" spans="1:17" ht="13.15" customHeight="1" x14ac:dyDescent="0.2">
      <c r="A25" s="380" t="s">
        <v>351</v>
      </c>
      <c r="B25" s="380"/>
      <c r="C25" s="66">
        <f>VLOOKUP(Класс_точности,Коэфвыхгод,2)</f>
        <v>1.05</v>
      </c>
      <c r="D25" s="303"/>
      <c r="E25" s="400" t="s">
        <v>458</v>
      </c>
      <c r="F25" s="400"/>
      <c r="G25" s="400"/>
    </row>
    <row r="26" spans="1:17" ht="13.15" customHeight="1" x14ac:dyDescent="0.2">
      <c r="A26" s="380" t="s">
        <v>244</v>
      </c>
      <c r="B26" s="380"/>
      <c r="C26" s="66">
        <f>VLOOKUP(N,Таблица1,2)</f>
        <v>1</v>
      </c>
      <c r="E26" s="400"/>
      <c r="F26" s="400"/>
      <c r="G26" s="400"/>
      <c r="I26" s="58"/>
      <c r="J26" s="58"/>
      <c r="K26" s="59"/>
      <c r="N26" s="7"/>
    </row>
    <row r="27" spans="1:17" x14ac:dyDescent="0.2">
      <c r="A27" s="397" t="s">
        <v>245</v>
      </c>
      <c r="B27" s="397"/>
      <c r="C27" s="66">
        <f>IF(Первичное_изготовление=1,(VLOOKUP(Срок_изготовления,Таблица3,2)),VLOOKUP(Срок_изготовления,Таблица4,2))</f>
        <v>1</v>
      </c>
      <c r="E27" s="12" t="s">
        <v>105</v>
      </c>
      <c r="F27" s="29"/>
      <c r="G27" s="18">
        <v>242.67</v>
      </c>
    </row>
    <row r="28" spans="1:17" x14ac:dyDescent="0.2">
      <c r="A28" s="397" t="s">
        <v>246</v>
      </c>
      <c r="B28" s="397"/>
      <c r="C28" s="69">
        <f>VLOOKUP(Толщина,Таблица2,2)</f>
        <v>1.1499999999999999</v>
      </c>
      <c r="E28" s="12" t="s">
        <v>106</v>
      </c>
      <c r="F28" s="29"/>
      <c r="G28" s="16">
        <v>30.6</v>
      </c>
    </row>
    <row r="29" spans="1:17" x14ac:dyDescent="0.2">
      <c r="A29" s="397" t="s">
        <v>247</v>
      </c>
      <c r="B29" s="397"/>
      <c r="C29" s="70">
        <f>IF(Класс_точности=4,1.2,1.1)</f>
        <v>1.1000000000000001</v>
      </c>
      <c r="E29" s="12" t="s">
        <v>107</v>
      </c>
      <c r="F29" s="29"/>
      <c r="G29" s="18">
        <v>117.6</v>
      </c>
    </row>
    <row r="30" spans="1:17" x14ac:dyDescent="0.2">
      <c r="A30" s="397" t="s">
        <v>248</v>
      </c>
      <c r="B30" s="397"/>
      <c r="C30" s="17">
        <f>П*А1*В1</f>
        <v>22.96</v>
      </c>
      <c r="D30" s="3"/>
      <c r="E30" s="12" t="s">
        <v>108</v>
      </c>
      <c r="F30" s="29"/>
      <c r="G30" s="18">
        <v>15</v>
      </c>
    </row>
    <row r="31" spans="1:17" x14ac:dyDescent="0.2">
      <c r="A31" s="380" t="s">
        <v>249</v>
      </c>
      <c r="B31" s="380"/>
      <c r="C31" s="16">
        <f>А*В*N</f>
        <v>126</v>
      </c>
      <c r="D31" s="266">
        <f>Sзаг*0.01</f>
        <v>1.26</v>
      </c>
      <c r="E31" s="370" t="s">
        <v>441</v>
      </c>
      <c r="F31" s="371"/>
      <c r="G31" s="355">
        <v>1</v>
      </c>
    </row>
    <row r="32" spans="1:17" x14ac:dyDescent="0.2">
      <c r="A32" s="397" t="s">
        <v>250</v>
      </c>
      <c r="B32" s="397"/>
      <c r="C32" s="16">
        <f>(А1+В1)*2</f>
        <v>3.9000000000000004</v>
      </c>
      <c r="D32" s="3"/>
      <c r="E32" s="315" t="s">
        <v>440</v>
      </c>
      <c r="F32" s="41"/>
      <c r="G32" s="316">
        <f>CEILING((ФОТнч*(G28+G29)*0.01+ФОТнч)*(1+плановнакопл/100),0.01)</f>
        <v>692.66</v>
      </c>
    </row>
    <row r="33" spans="1:10" x14ac:dyDescent="0.2">
      <c r="A33" s="397" t="s">
        <v>251</v>
      </c>
      <c r="B33" s="397"/>
      <c r="C33" s="16">
        <f>(А+В)*2</f>
        <v>10</v>
      </c>
      <c r="D33" s="3"/>
      <c r="E33" s="317"/>
      <c r="F33" s="5"/>
      <c r="G33" s="318"/>
    </row>
    <row r="34" spans="1:10" x14ac:dyDescent="0.2">
      <c r="B34" s="9"/>
      <c r="C34" s="6"/>
      <c r="D34" s="3"/>
      <c r="E34" s="38"/>
      <c r="F34" s="3"/>
      <c r="G34" s="7"/>
    </row>
    <row r="35" spans="1:10" x14ac:dyDescent="0.2">
      <c r="B35" s="8" t="s">
        <v>81</v>
      </c>
      <c r="E35" s="10"/>
      <c r="F35" s="3"/>
      <c r="G35" s="61" t="s">
        <v>18</v>
      </c>
    </row>
    <row r="36" spans="1:10" x14ac:dyDescent="0.2">
      <c r="A36" s="18">
        <v>1</v>
      </c>
      <c r="B36" s="12" t="s">
        <v>92</v>
      </c>
      <c r="C36" s="5"/>
      <c r="D36" s="41"/>
      <c r="E36" s="356">
        <f>Время_конструкторов</f>
        <v>3</v>
      </c>
      <c r="F36" s="24" t="s">
        <v>125</v>
      </c>
      <c r="G36" s="16">
        <f>(Время_конструкторов*Сн)</f>
        <v>2077.98</v>
      </c>
    </row>
    <row r="37" spans="1:10" x14ac:dyDescent="0.2">
      <c r="A37" s="39" t="s">
        <v>87</v>
      </c>
      <c r="B37" s="45" t="s">
        <v>89</v>
      </c>
      <c r="C37" s="50" t="s">
        <v>91</v>
      </c>
      <c r="D37" s="29"/>
      <c r="E37" s="356">
        <f>Трудоемкости!C10</f>
        <v>0.4</v>
      </c>
      <c r="F37" s="24" t="s">
        <v>127</v>
      </c>
      <c r="G37" s="16">
        <f>IF(Класс_точности=3,E37*Сн*ФШи,0)</f>
        <v>554.12800000000004</v>
      </c>
    </row>
    <row r="38" spans="1:10" x14ac:dyDescent="0.2">
      <c r="A38" s="37" t="s">
        <v>88</v>
      </c>
      <c r="B38" s="45" t="s">
        <v>90</v>
      </c>
      <c r="C38" s="97" t="s">
        <v>91</v>
      </c>
      <c r="D38" s="41"/>
      <c r="E38" s="356">
        <f>Трудоемкости!D10</f>
        <v>0.5</v>
      </c>
      <c r="F38" s="24" t="s">
        <v>127</v>
      </c>
      <c r="G38" s="16">
        <f>IF(Класс_точности=4,E38*Сн*ФШи,0)</f>
        <v>0</v>
      </c>
    </row>
    <row r="39" spans="1:10" x14ac:dyDescent="0.2">
      <c r="A39" s="42" t="s">
        <v>146</v>
      </c>
      <c r="B39" s="12" t="s">
        <v>147</v>
      </c>
      <c r="C39" s="50" t="s">
        <v>196</v>
      </c>
      <c r="D39" s="29"/>
      <c r="E39" s="356"/>
      <c r="F39" s="24" t="s">
        <v>33</v>
      </c>
      <c r="G39" s="16">
        <f>пленка*(1+плановнакопл/100)</f>
        <v>266.74365689999996</v>
      </c>
    </row>
    <row r="40" spans="1:10" x14ac:dyDescent="0.2">
      <c r="A40" s="44">
        <v>3</v>
      </c>
      <c r="B40" s="45" t="s">
        <v>207</v>
      </c>
      <c r="C40" s="57" t="s">
        <v>83</v>
      </c>
      <c r="D40" s="28"/>
      <c r="E40" s="356">
        <v>0.25</v>
      </c>
      <c r="F40" s="24" t="s">
        <v>127</v>
      </c>
      <c r="G40" s="16">
        <f>IF(Класс_точности=3,E40*ФШп*Сн,0)</f>
        <v>346.33</v>
      </c>
      <c r="I40" s="125"/>
    </row>
    <row r="41" spans="1:10" x14ac:dyDescent="0.2">
      <c r="A41" s="42"/>
      <c r="B41" s="40" t="s">
        <v>91</v>
      </c>
      <c r="C41" s="53" t="s">
        <v>84</v>
      </c>
      <c r="D41" s="29"/>
      <c r="E41" s="356">
        <v>0.3</v>
      </c>
      <c r="F41" s="24" t="s">
        <v>127</v>
      </c>
      <c r="G41" s="16">
        <f>IF(Класс_точности=4,E41*ФШп*Сн,0)</f>
        <v>0</v>
      </c>
    </row>
    <row r="42" spans="1:10" x14ac:dyDescent="0.2">
      <c r="A42" s="39">
        <v>4</v>
      </c>
      <c r="B42" s="43" t="s">
        <v>93</v>
      </c>
      <c r="C42" s="53" t="s">
        <v>83</v>
      </c>
      <c r="D42" s="29"/>
      <c r="E42" s="356">
        <f>IF(N&gt;9,0.96,0)</f>
        <v>0.96</v>
      </c>
      <c r="F42" s="24" t="s">
        <v>124</v>
      </c>
      <c r="G42" s="16">
        <f>IF(Класс_точности=3,E42*Сн,0)</f>
        <v>664.95359999999994</v>
      </c>
    </row>
    <row r="43" spans="1:10" x14ac:dyDescent="0.2">
      <c r="A43" s="37"/>
      <c r="B43" s="43" t="s">
        <v>126</v>
      </c>
      <c r="C43" s="54" t="s">
        <v>84</v>
      </c>
      <c r="D43" s="41"/>
      <c r="E43" s="356">
        <f>IF(N&gt;9,1.15,0)</f>
        <v>1.1499999999999999</v>
      </c>
      <c r="F43" s="24" t="s">
        <v>124</v>
      </c>
      <c r="G43" s="16">
        <f>IF(Класс_точности=4,E43*Сн,0)</f>
        <v>0</v>
      </c>
    </row>
    <row r="44" spans="1:10" ht="13.5" thickBot="1" x14ac:dyDescent="0.25">
      <c r="A44" s="91">
        <v>5</v>
      </c>
      <c r="B44" s="90" t="s">
        <v>94</v>
      </c>
      <c r="C44" s="92"/>
      <c r="D44" s="89"/>
      <c r="E44" s="359">
        <v>0.26400000000000001</v>
      </c>
      <c r="F44" s="90" t="s">
        <v>123</v>
      </c>
      <c r="G44" s="112">
        <f>E44*Сн</f>
        <v>182.86224000000001</v>
      </c>
    </row>
    <row r="45" spans="1:10" ht="13.5" thickBot="1" x14ac:dyDescent="0.25">
      <c r="A45" s="3"/>
      <c r="B45" s="94" t="s">
        <v>102</v>
      </c>
      <c r="C45" s="15"/>
      <c r="D45" s="15"/>
      <c r="E45" s="27"/>
      <c r="F45" s="15"/>
      <c r="G45" s="113">
        <f>SUM(G36:G44)</f>
        <v>4092.9974969</v>
      </c>
    </row>
    <row r="46" spans="1:10" x14ac:dyDescent="0.2">
      <c r="A46" s="3"/>
      <c r="B46" s="14"/>
      <c r="C46" s="3"/>
      <c r="D46" s="3"/>
      <c r="E46" s="6"/>
      <c r="F46" s="3"/>
      <c r="G46" s="124"/>
      <c r="H46" s="114"/>
      <c r="J46" s="125"/>
    </row>
    <row r="47" spans="1:10" x14ac:dyDescent="0.2">
      <c r="A47" s="3"/>
      <c r="B47" s="8" t="s">
        <v>14</v>
      </c>
      <c r="D47" s="3"/>
      <c r="E47" s="3"/>
      <c r="F47" s="2"/>
      <c r="G47" s="114"/>
    </row>
    <row r="48" spans="1:10" x14ac:dyDescent="0.2">
      <c r="A48" s="24" t="s">
        <v>25</v>
      </c>
      <c r="B48" s="259" t="s">
        <v>96</v>
      </c>
      <c r="C48" s="115"/>
      <c r="D48" s="260"/>
      <c r="E48" s="237" t="s">
        <v>99</v>
      </c>
      <c r="F48" s="261" t="s">
        <v>121</v>
      </c>
      <c r="G48" s="262" t="s">
        <v>18</v>
      </c>
    </row>
    <row r="49" spans="1:12" x14ac:dyDescent="0.2">
      <c r="A49" s="18">
        <v>1</v>
      </c>
      <c r="B49" s="353" t="s">
        <v>436</v>
      </c>
      <c r="C49" s="13"/>
      <c r="D49" s="29"/>
      <c r="E49" s="334" t="s">
        <v>97</v>
      </c>
      <c r="F49" s="302" t="s">
        <v>97</v>
      </c>
      <c r="G49" s="16">
        <f>материалы*(1+плановнакопл/100)+ПКИ*(1+наценкаПКИ/100)</f>
        <v>13469.794835363995</v>
      </c>
      <c r="L49" s="3" t="e">
        <f>SEARCH(fullname,"адар")</f>
        <v>#VALUE!</v>
      </c>
    </row>
    <row r="50" spans="1:12" x14ac:dyDescent="0.2">
      <c r="A50" s="18">
        <v>2</v>
      </c>
      <c r="B50" s="48" t="s">
        <v>122</v>
      </c>
      <c r="C50" s="13"/>
      <c r="D50" s="29"/>
      <c r="E50" s="334">
        <f>IF(Класс_точности=3,трудоём3,трудоём4)</f>
        <v>0.19870199999999996</v>
      </c>
      <c r="F50" s="352" t="s">
        <v>421</v>
      </c>
      <c r="G50" s="16">
        <f>E50*Сн*Кс*Sзаг*Кп*Квг</f>
        <v>36417.672568871989</v>
      </c>
      <c r="H50" s="114">
        <f t="shared" ref="H50:H56" si="0">G50/Сн</f>
        <v>52.576549199999988</v>
      </c>
      <c r="J50" s="125"/>
    </row>
    <row r="51" spans="1:12" x14ac:dyDescent="0.2">
      <c r="A51" s="39">
        <v>3</v>
      </c>
      <c r="B51" s="82" t="s">
        <v>204</v>
      </c>
      <c r="C51" s="13"/>
      <c r="D51" s="29"/>
      <c r="E51" s="334">
        <f>IF(Класс_точности=3,1.2*(0.065+Трудоемкости!C12*(Чо1+Чо2)),1.2*(0.07+Трудоемкости!D12*(Чо1+Чо2)))</f>
        <v>0.318</v>
      </c>
      <c r="F51" s="253" t="s">
        <v>422</v>
      </c>
      <c r="G51" s="16">
        <f>E51*Кс*N*Сн*Кп*ТТ*Котрс*Квг</f>
        <v>7261.0096677299989</v>
      </c>
      <c r="H51" s="114">
        <f t="shared" si="0"/>
        <v>10.482790499999998</v>
      </c>
    </row>
    <row r="52" spans="1:12" x14ac:dyDescent="0.2">
      <c r="A52" s="39">
        <v>4</v>
      </c>
      <c r="B52" s="65" t="s">
        <v>197</v>
      </c>
      <c r="C52" s="64" t="s">
        <v>100</v>
      </c>
      <c r="D52" s="29"/>
      <c r="E52" s="334">
        <f>1.2*(0.05+0.1*((Рп*0.1)*n_малое))</f>
        <v>0.15359999999999999</v>
      </c>
      <c r="F52" s="29" t="s">
        <v>291</v>
      </c>
      <c r="G52" s="16">
        <f>E52*N*Сн*Кф*ТТ*Котрф*IF(Фкон=1,1,0)</f>
        <v>0</v>
      </c>
      <c r="H52" s="114">
        <f t="shared" si="0"/>
        <v>0</v>
      </c>
      <c r="J52" s="125"/>
    </row>
    <row r="53" spans="1:12" x14ac:dyDescent="0.2">
      <c r="A53" s="19"/>
      <c r="B53" s="105" t="s">
        <v>184</v>
      </c>
      <c r="C53" s="64" t="s">
        <v>101</v>
      </c>
      <c r="D53" s="29"/>
      <c r="E53" s="334">
        <f>1.2*(0.05+0.012*n_малое)</f>
        <v>8.8800000000000004E-2</v>
      </c>
      <c r="F53" s="29" t="s">
        <v>292</v>
      </c>
      <c r="G53" s="16">
        <f>E53*N*Сн*Кф*ТТ*Котрф*IF(Фкон=2,1,0)</f>
        <v>1344.3080169959999</v>
      </c>
      <c r="H53" s="114">
        <f t="shared" si="0"/>
        <v>1.9407905999999999</v>
      </c>
    </row>
    <row r="54" spans="1:12" x14ac:dyDescent="0.2">
      <c r="A54" s="18">
        <v>5</v>
      </c>
      <c r="B54" s="108" t="s">
        <v>182</v>
      </c>
      <c r="D54" s="22"/>
      <c r="E54" s="334">
        <f>IF(Класс_точности=3,Сл3,Сл4)</f>
        <v>9.9000000000000005E-2</v>
      </c>
      <c r="F54" s="22" t="s">
        <v>293</v>
      </c>
      <c r="G54" s="16">
        <f>E54*N*Сн*Кп*ТТ*SIGN(Слесобр)</f>
        <v>3312.092322</v>
      </c>
      <c r="H54" s="114">
        <f t="shared" si="0"/>
        <v>4.7816999999999998</v>
      </c>
      <c r="J54" s="125"/>
    </row>
    <row r="55" spans="1:12" x14ac:dyDescent="0.2">
      <c r="A55" s="39">
        <v>6</v>
      </c>
      <c r="B55" s="4" t="s">
        <v>98</v>
      </c>
      <c r="C55" s="5"/>
      <c r="D55" s="5"/>
      <c r="E55" s="334"/>
      <c r="F55" s="13"/>
      <c r="G55" s="62"/>
      <c r="H55" s="114">
        <f t="shared" si="0"/>
        <v>0</v>
      </c>
    </row>
    <row r="56" spans="1:12" x14ac:dyDescent="0.2">
      <c r="A56" s="46"/>
      <c r="B56" s="97" t="s">
        <v>342</v>
      </c>
      <c r="C56" s="5"/>
      <c r="D56" s="41"/>
      <c r="E56" s="334">
        <f>IF(Класс_точности=3,IF(Ссм=2,Тсм23,Тсм13*Ссм),IF(Ссм=2,Тсм24,Тсм14*Ссм))</f>
        <v>3.4300112000000008E-2</v>
      </c>
      <c r="F56" s="29" t="s">
        <v>453</v>
      </c>
      <c r="G56" s="16">
        <f>Сн*E56*Sпл*Км</f>
        <v>600.04001823594774</v>
      </c>
      <c r="H56" s="114">
        <f t="shared" si="0"/>
        <v>0.86628362867200037</v>
      </c>
      <c r="J56" s="125"/>
    </row>
    <row r="57" spans="1:12" x14ac:dyDescent="0.2">
      <c r="A57" s="46"/>
      <c r="B57" s="30" t="s">
        <v>341</v>
      </c>
      <c r="C57" s="3"/>
      <c r="D57" s="43"/>
      <c r="E57" s="334" t="s">
        <v>97</v>
      </c>
      <c r="F57" s="62"/>
      <c r="G57" s="16">
        <f>сухаямаска*(1+плановнакопл/100)</f>
        <v>4824.5179499999995</v>
      </c>
      <c r="H57" s="114"/>
      <c r="I57" s="125"/>
    </row>
    <row r="58" spans="1:12" x14ac:dyDescent="0.2">
      <c r="A58" s="46"/>
      <c r="B58" s="97" t="s">
        <v>340</v>
      </c>
      <c r="C58" s="5"/>
      <c r="D58" s="41"/>
      <c r="E58" s="334">
        <f>IF(Класс_точности=3,IF(Сжм=2,Тжм23,Тжм13*Сжм),IF(Сжм=2,Тжм24,Тжм14*Сжм))</f>
        <v>0.06</v>
      </c>
      <c r="F58" s="29" t="s">
        <v>454</v>
      </c>
      <c r="G58" s="16">
        <f>Сн*E58*Sпл*Км</f>
        <v>1049.6292576000001</v>
      </c>
      <c r="H58" s="114">
        <f>G58/Сн</f>
        <v>1.5153600000000003</v>
      </c>
      <c r="I58" s="125">
        <f>H58+H56</f>
        <v>2.3816436286720006</v>
      </c>
      <c r="J58" s="125"/>
    </row>
    <row r="59" spans="1:12" x14ac:dyDescent="0.2">
      <c r="A59" s="42"/>
      <c r="B59" s="33" t="s">
        <v>339</v>
      </c>
      <c r="C59" s="15"/>
      <c r="D59" s="28"/>
      <c r="E59" s="334" t="s">
        <v>97</v>
      </c>
      <c r="F59" s="62"/>
      <c r="G59" s="16">
        <f>жидкаямаска*(1+плановнакопл/100)</f>
        <v>451.59070319999995</v>
      </c>
      <c r="H59" s="114"/>
      <c r="I59" s="125"/>
    </row>
    <row r="60" spans="1:12" x14ac:dyDescent="0.2">
      <c r="A60" s="39">
        <v>7</v>
      </c>
      <c r="B60" s="11" t="s">
        <v>103</v>
      </c>
      <c r="C60" s="15"/>
      <c r="D60" s="15"/>
      <c r="E60" s="334"/>
      <c r="F60" s="13"/>
      <c r="G60" s="62"/>
      <c r="H60" s="114">
        <f>G60/Сн</f>
        <v>0</v>
      </c>
    </row>
    <row r="61" spans="1:12" x14ac:dyDescent="0.2">
      <c r="A61" s="37"/>
      <c r="B61" s="86" t="s">
        <v>338</v>
      </c>
      <c r="C61" s="5"/>
      <c r="D61" s="41"/>
      <c r="E61" s="334">
        <f>Тр</f>
        <v>6.0005000000000003E-2</v>
      </c>
      <c r="F61" s="29" t="s">
        <v>294</v>
      </c>
      <c r="G61" s="16">
        <f>E61*Сн*П*Ручная_маркировка</f>
        <v>1704.0855953</v>
      </c>
      <c r="H61" s="114">
        <f>G61/Сн</f>
        <v>2.4602050000000002</v>
      </c>
      <c r="J61" s="125"/>
    </row>
    <row r="62" spans="1:12" x14ac:dyDescent="0.2">
      <c r="A62" s="46"/>
      <c r="B62" s="86" t="s">
        <v>452</v>
      </c>
      <c r="C62" s="87"/>
      <c r="D62" s="88"/>
      <c r="E62" s="334">
        <f>IF(типмаркировки=1,IF(Класс_точности=3,IF(Сф=2,Тфм23,Тфм13),IF(Сф=2,Тфм24,Тфм14)),IF(типмаркировки=2,IF(Класс_точности=3,IF(Сф=2,Тмр23,Тмр13),IF(Сф=2,Тмр24,Тмр14)),0))</f>
        <v>1.4999999999999999E-2</v>
      </c>
      <c r="F62" s="357" t="s">
        <v>439</v>
      </c>
      <c r="G62" s="16">
        <f>(E62*Sзаг*Сн)</f>
        <v>1309.1273999999999</v>
      </c>
      <c r="H62" s="114">
        <f>G62/Сн</f>
        <v>1.89</v>
      </c>
      <c r="J62" s="125"/>
    </row>
    <row r="63" spans="1:12" x14ac:dyDescent="0.2">
      <c r="A63" s="42"/>
      <c r="B63" s="98" t="s">
        <v>337</v>
      </c>
      <c r="C63" s="20"/>
      <c r="D63" s="99"/>
      <c r="E63" s="334" t="s">
        <v>97</v>
      </c>
      <c r="F63" s="358"/>
      <c r="G63" s="16">
        <f>IF(типмаркировки=1,фммаркировка,IF(типмаркировки=2,printarкраска,0))*(1+плановнакопл/100)</f>
        <v>1119.895679385</v>
      </c>
      <c r="H63" s="114"/>
      <c r="I63" s="125"/>
    </row>
    <row r="64" spans="1:12" x14ac:dyDescent="0.2">
      <c r="A64" s="44">
        <v>8</v>
      </c>
      <c r="B64" s="86" t="s">
        <v>376</v>
      </c>
      <c r="C64" s="87"/>
      <c r="D64" s="88"/>
      <c r="E64" s="334">
        <f>Тз</f>
        <v>0.33</v>
      </c>
      <c r="F64" s="29" t="s">
        <v>310</v>
      </c>
      <c r="G64" s="16">
        <f>IF(Sи&gt;0,E64*Сн*N,IF(колво_ламелей*1&gt;0,труёмзол1пл*П*0,0))*Кп*Кс</f>
        <v>0</v>
      </c>
      <c r="H64" s="114">
        <f>G64/Сн</f>
        <v>0</v>
      </c>
      <c r="J64" s="125"/>
    </row>
    <row r="65" spans="1:12" x14ac:dyDescent="0.2">
      <c r="A65" s="46"/>
      <c r="B65" s="362" t="s">
        <v>95</v>
      </c>
      <c r="C65" s="3"/>
      <c r="D65" s="43"/>
      <c r="E65" s="363" t="s">
        <v>97</v>
      </c>
      <c r="F65" s="45"/>
      <c r="G65" s="316">
        <f>IF(Sи&gt;0,материалыимер,IF(колво_ламелей*1&gt;0,Коэфстоиостизолота*колво_ламелей*Ширина_ламелей*Длина_ламелей/100*П*0,0))*(1+плановнакопл/100)</f>
        <v>0</v>
      </c>
      <c r="H65" s="114">
        <f>G65/Сн</f>
        <v>0</v>
      </c>
      <c r="I65" s="125"/>
      <c r="J65" s="3" t="s">
        <v>298</v>
      </c>
      <c r="L65" s="3" t="s">
        <v>95</v>
      </c>
    </row>
    <row r="66" spans="1:12" x14ac:dyDescent="0.2">
      <c r="A66" s="18">
        <v>9</v>
      </c>
      <c r="B66" s="367" t="s">
        <v>456</v>
      </c>
      <c r="C66" s="368"/>
      <c r="D66" s="369"/>
      <c r="E66" s="18" t="s">
        <v>97</v>
      </c>
      <c r="F66" s="24"/>
      <c r="G66" s="16">
        <f>Электроконтроль</f>
        <v>0</v>
      </c>
      <c r="I66" s="125" t="s">
        <v>302</v>
      </c>
      <c r="J66" s="125">
        <f>SUM(G36:G38)+SUM(G40:G44)+G56+G58+G61+G62+G64+SUM(G50:G54)</f>
        <v>56824.218686733941</v>
      </c>
      <c r="K66" s="3" t="s">
        <v>302</v>
      </c>
      <c r="L66" s="125">
        <f>G39+G49+G57+G59+G65+G63</f>
        <v>20132.542824848995</v>
      </c>
    </row>
    <row r="67" spans="1:12" ht="13.5" thickBot="1" x14ac:dyDescent="0.25">
      <c r="A67" s="1"/>
      <c r="B67" s="84" t="s">
        <v>2</v>
      </c>
      <c r="C67" s="84"/>
      <c r="D67" s="15"/>
      <c r="E67" s="27"/>
      <c r="F67" s="15"/>
      <c r="G67" s="364">
        <f>SUM(G49:G65)</f>
        <v>72863.764014682907</v>
      </c>
      <c r="H67" s="114"/>
      <c r="I67" s="125" t="s">
        <v>299</v>
      </c>
      <c r="J67" s="125">
        <f>G68-L66</f>
        <v>56824.218686733919</v>
      </c>
      <c r="K67" s="3" t="s">
        <v>303</v>
      </c>
      <c r="L67" s="125">
        <f>Материалы_всего</f>
        <v>20133</v>
      </c>
    </row>
    <row r="68" spans="1:12" ht="13.5" thickBot="1" x14ac:dyDescent="0.25">
      <c r="A68" s="1"/>
      <c r="B68" s="84" t="s">
        <v>3</v>
      </c>
      <c r="C68" s="32"/>
      <c r="D68" s="15"/>
      <c r="E68" s="27"/>
      <c r="F68" s="15"/>
      <c r="G68" s="113">
        <f>G45+G67</f>
        <v>76956.76151158291</v>
      </c>
      <c r="I68" s="3" t="s">
        <v>300</v>
      </c>
      <c r="J68" s="125">
        <f>J67/Сн</f>
        <v>82.037678928671966</v>
      </c>
    </row>
    <row r="69" spans="1:12" ht="13.5" thickBot="1" x14ac:dyDescent="0.25">
      <c r="A69" s="7"/>
      <c r="B69" s="48" t="s">
        <v>104</v>
      </c>
      <c r="C69" s="85"/>
      <c r="D69" s="15"/>
      <c r="E69" s="15"/>
      <c r="F69" s="27"/>
      <c r="G69" s="113">
        <f>G68*Кср</f>
        <v>76956.76151158291</v>
      </c>
      <c r="H69">
        <f>Электроконтроль</f>
        <v>0</v>
      </c>
      <c r="I69" s="291" t="s">
        <v>301</v>
      </c>
      <c r="J69" s="125">
        <f>J68*ФОТнч</f>
        <v>19908.083545620826</v>
      </c>
    </row>
    <row r="70" spans="1:12" ht="13.5" thickBot="1" x14ac:dyDescent="0.25">
      <c r="A70" s="7"/>
      <c r="B70" s="14"/>
      <c r="C70" s="83"/>
      <c r="D70" s="3"/>
      <c r="E70" s="3"/>
      <c r="F70" s="6"/>
      <c r="G70" s="361">
        <f>IF(IFERROR(SEARCH("адар",fullname),FALSE),240*N,0)</f>
        <v>0</v>
      </c>
      <c r="I70" s="125" t="s">
        <v>304</v>
      </c>
      <c r="J70" s="125">
        <f>ФОТ!F48</f>
        <v>19908.083545620837</v>
      </c>
      <c r="K70" s="125">
        <f>J70-J69</f>
        <v>0</v>
      </c>
    </row>
    <row r="71" spans="1:12" ht="13.5" thickBot="1" x14ac:dyDescent="0.25">
      <c r="A71" s="22"/>
      <c r="E71" t="s">
        <v>20</v>
      </c>
      <c r="F71" s="3"/>
      <c r="G71" s="93">
        <f>ROUNDUP(G69/П,0)</f>
        <v>1877</v>
      </c>
      <c r="J71" s="125"/>
    </row>
    <row r="72" spans="1:12" ht="24" customHeight="1" x14ac:dyDescent="0.2">
      <c r="B72" s="239" t="s">
        <v>369</v>
      </c>
      <c r="C72" s="264"/>
      <c r="D72" s="3"/>
      <c r="E72" s="3"/>
      <c r="G72" s="240" t="s">
        <v>255</v>
      </c>
      <c r="I72" s="291" t="s">
        <v>305</v>
      </c>
      <c r="J72" s="125">
        <f>G36+G37+G38+G40+G41+G42+G43+G44</f>
        <v>3826.2538399999999</v>
      </c>
    </row>
    <row r="73" spans="1:12" x14ac:dyDescent="0.2">
      <c r="I73" s="291" t="s">
        <v>300</v>
      </c>
      <c r="J73" s="125">
        <f>J72/Сн</f>
        <v>5.524</v>
      </c>
    </row>
    <row r="74" spans="1:12" x14ac:dyDescent="0.2">
      <c r="J74" s="125">
        <f>J73*ФОТнч</f>
        <v>1340.50908</v>
      </c>
    </row>
    <row r="75" spans="1:12" x14ac:dyDescent="0.2">
      <c r="I75" s="125" t="s">
        <v>304</v>
      </c>
      <c r="J75" s="125">
        <f>ФОТ!F15</f>
        <v>1340.5090799999998</v>
      </c>
      <c r="K75" s="125">
        <f>J75-J74</f>
        <v>0</v>
      </c>
    </row>
    <row r="76" spans="1:12" x14ac:dyDescent="0.2">
      <c r="J76" s="125"/>
    </row>
    <row r="77" spans="1:12" x14ac:dyDescent="0.2">
      <c r="I77" s="3" t="s">
        <v>306</v>
      </c>
      <c r="J77" s="125">
        <f>G50+G51</f>
        <v>43678.682236601991</v>
      </c>
    </row>
    <row r="78" spans="1:12" x14ac:dyDescent="0.2">
      <c r="J78" s="125">
        <f>J77/Сн</f>
        <v>63.059339699999988</v>
      </c>
    </row>
    <row r="79" spans="1:12" x14ac:dyDescent="0.2">
      <c r="J79" s="125">
        <f>J78*ФОТнч</f>
        <v>15302.609964998996</v>
      </c>
    </row>
    <row r="80" spans="1:12" x14ac:dyDescent="0.2">
      <c r="I80" s="125" t="s">
        <v>304</v>
      </c>
      <c r="J80" s="125">
        <f>ФОТ!F38</f>
        <v>15302.609964999001</v>
      </c>
      <c r="K80" s="125">
        <f>J80-J79</f>
        <v>0</v>
      </c>
    </row>
    <row r="81" spans="9:11" x14ac:dyDescent="0.2">
      <c r="J81" s="125"/>
    </row>
    <row r="82" spans="9:11" x14ac:dyDescent="0.2">
      <c r="I82" s="3" t="s">
        <v>307</v>
      </c>
      <c r="J82" s="125">
        <f>G52+G53+G54+G56+G58+G61+G62+G64</f>
        <v>9319.2826101319479</v>
      </c>
    </row>
    <row r="83" spans="9:11" x14ac:dyDescent="0.2">
      <c r="J83" s="125">
        <f>J82/Сн</f>
        <v>13.454339228672001</v>
      </c>
    </row>
    <row r="84" spans="9:11" x14ac:dyDescent="0.2">
      <c r="J84" s="125">
        <f>J83*ФОТнч</f>
        <v>3264.9645006218343</v>
      </c>
    </row>
    <row r="85" spans="9:11" x14ac:dyDescent="0.2">
      <c r="I85" s="125" t="s">
        <v>304</v>
      </c>
      <c r="J85" s="125">
        <f>ФОТ!F46</f>
        <v>3264.9645006218338</v>
      </c>
      <c r="K85" s="125">
        <f>J85-J84</f>
        <v>0</v>
      </c>
    </row>
  </sheetData>
  <dataConsolidate/>
  <mergeCells count="44">
    <mergeCell ref="I15:J15"/>
    <mergeCell ref="I16:J16"/>
    <mergeCell ref="I17:J17"/>
    <mergeCell ref="I18:J18"/>
    <mergeCell ref="E18:F18"/>
    <mergeCell ref="A3:G4"/>
    <mergeCell ref="A5:B5"/>
    <mergeCell ref="A6:B6"/>
    <mergeCell ref="A7:B7"/>
    <mergeCell ref="A8:B8"/>
    <mergeCell ref="C6:E6"/>
    <mergeCell ref="C5:G5"/>
    <mergeCell ref="C7:F7"/>
    <mergeCell ref="E8:F8"/>
    <mergeCell ref="A33:B33"/>
    <mergeCell ref="A20:B20"/>
    <mergeCell ref="A28:B28"/>
    <mergeCell ref="A29:B29"/>
    <mergeCell ref="A26:B26"/>
    <mergeCell ref="A30:B30"/>
    <mergeCell ref="A31:B31"/>
    <mergeCell ref="A32:B32"/>
    <mergeCell ref="A12:B12"/>
    <mergeCell ref="A9:B9"/>
    <mergeCell ref="E21:F21"/>
    <mergeCell ref="A27:B27"/>
    <mergeCell ref="E13:F13"/>
    <mergeCell ref="E25:G26"/>
    <mergeCell ref="B66:D66"/>
    <mergeCell ref="E31:F31"/>
    <mergeCell ref="E14:F14"/>
    <mergeCell ref="E10:F10"/>
    <mergeCell ref="E9:F9"/>
    <mergeCell ref="E22:F22"/>
    <mergeCell ref="A25:B25"/>
    <mergeCell ref="E16:F16"/>
    <mergeCell ref="E17:F17"/>
    <mergeCell ref="A24:G24"/>
    <mergeCell ref="A11:B11"/>
    <mergeCell ref="A13:B13"/>
    <mergeCell ref="E15:F15"/>
    <mergeCell ref="E11:F11"/>
    <mergeCell ref="E12:F12"/>
    <mergeCell ref="A10:B10"/>
  </mergeCells>
  <phoneticPr fontId="4" type="noConversion"/>
  <pageMargins left="0.59055118110236227" right="0.19685039370078741" top="0.19685039370078741" bottom="0.39370078740157483" header="0.31496062992125984" footer="0.51181102362204722"/>
  <pageSetup paperSize="9" scale="38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Drop Down 9">
              <controlPr defaultSize="0" print="0" autoLine="0" autoPict="0" macro="[0]!open_material_list">
                <anchor>
                  <from>
                    <xdr:col>4</xdr:col>
                    <xdr:colOff>19050</xdr:colOff>
                    <xdr:row>12</xdr:row>
                    <xdr:rowOff>0</xdr:rowOff>
                  </from>
                  <to>
                    <xdr:col>6</xdr:col>
                    <xdr:colOff>866775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5" name="Button 238">
              <controlPr defaultSize="0" print="0" autoFill="0" autoPict="0" macro="[0]!sen_to_baza" altText="Записать в базу">
                <anchor moveWithCells="1"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L47"/>
  <sheetViews>
    <sheetView zoomScaleNormal="100" workbookViewId="0">
      <selection activeCell="J16" sqref="J16"/>
    </sheetView>
  </sheetViews>
  <sheetFormatPr defaultRowHeight="12.75" x14ac:dyDescent="0.2"/>
  <cols>
    <col min="1" max="1" width="4.85546875" customWidth="1"/>
    <col min="2" max="2" width="14.5703125" customWidth="1"/>
    <col min="3" max="3" width="19" customWidth="1"/>
    <col min="4" max="4" width="2.42578125" customWidth="1"/>
    <col min="5" max="5" width="18.28515625" customWidth="1"/>
    <col min="6" max="6" width="17.85546875" customWidth="1"/>
    <col min="7" max="7" width="1.85546875" customWidth="1"/>
    <col min="8" max="8" width="23.140625" customWidth="1"/>
    <col min="9" max="9" width="23.7109375" customWidth="1"/>
    <col min="10" max="10" width="20.28515625" customWidth="1"/>
    <col min="11" max="11" width="20.85546875" customWidth="1"/>
  </cols>
  <sheetData>
    <row r="1" spans="1:12" x14ac:dyDescent="0.2">
      <c r="B1" t="s">
        <v>23</v>
      </c>
    </row>
    <row r="2" spans="1:12" ht="13.5" thickBot="1" x14ac:dyDescent="0.25">
      <c r="C2" s="21" t="s">
        <v>10</v>
      </c>
      <c r="D2" s="21"/>
      <c r="F2" s="21" t="s">
        <v>11</v>
      </c>
    </row>
    <row r="3" spans="1:12" x14ac:dyDescent="0.2">
      <c r="B3" s="419" t="s">
        <v>278</v>
      </c>
      <c r="C3" s="420"/>
      <c r="D3" s="21"/>
      <c r="E3" s="419" t="s">
        <v>415</v>
      </c>
      <c r="F3" s="420"/>
    </row>
    <row r="4" spans="1:12" ht="39" customHeight="1" thickBot="1" x14ac:dyDescent="0.25">
      <c r="A4" s="3"/>
      <c r="B4" s="267" t="s">
        <v>128</v>
      </c>
      <c r="C4" s="284" t="s">
        <v>129</v>
      </c>
      <c r="D4" s="7"/>
      <c r="E4" s="416" t="s">
        <v>259</v>
      </c>
      <c r="F4" s="421" t="s">
        <v>260</v>
      </c>
      <c r="I4" s="268"/>
      <c r="L4" s="21" t="s">
        <v>256</v>
      </c>
    </row>
    <row r="5" spans="1:12" ht="31.5" x14ac:dyDescent="0.2">
      <c r="A5" s="3"/>
      <c r="B5" s="242">
        <v>1</v>
      </c>
      <c r="C5" s="243">
        <v>1.8</v>
      </c>
      <c r="D5" s="6"/>
      <c r="E5" s="416"/>
      <c r="F5" s="421"/>
      <c r="H5" s="271" t="s">
        <v>261</v>
      </c>
      <c r="I5" s="272" t="s">
        <v>262</v>
      </c>
      <c r="J5" s="272" t="s">
        <v>263</v>
      </c>
      <c r="K5" s="272" t="s">
        <v>264</v>
      </c>
      <c r="L5" s="273" t="s">
        <v>265</v>
      </c>
    </row>
    <row r="6" spans="1:12" ht="15.75" x14ac:dyDescent="0.2">
      <c r="A6" s="3"/>
      <c r="B6" s="242">
        <v>2</v>
      </c>
      <c r="C6" s="243">
        <v>1.6</v>
      </c>
      <c r="D6" s="6"/>
      <c r="E6" s="285">
        <v>0</v>
      </c>
      <c r="F6" s="243">
        <v>1.3</v>
      </c>
      <c r="G6" s="6"/>
      <c r="H6" s="274">
        <v>0</v>
      </c>
      <c r="I6" s="269">
        <v>4</v>
      </c>
      <c r="J6" s="270">
        <v>0.5</v>
      </c>
      <c r="K6" s="270">
        <v>1.1499999999999999</v>
      </c>
      <c r="L6" s="275">
        <f>K6*J6</f>
        <v>0.57499999999999996</v>
      </c>
    </row>
    <row r="7" spans="1:12" ht="15.75" x14ac:dyDescent="0.2">
      <c r="A7" s="3"/>
      <c r="B7" s="242">
        <v>3</v>
      </c>
      <c r="C7" s="243">
        <v>1.45</v>
      </c>
      <c r="D7" s="6"/>
      <c r="E7" s="285">
        <v>1</v>
      </c>
      <c r="F7" s="243">
        <v>1</v>
      </c>
      <c r="G7" s="6"/>
      <c r="H7" s="274">
        <v>0.51</v>
      </c>
      <c r="I7" s="269">
        <v>3</v>
      </c>
      <c r="J7" s="270">
        <v>0.6</v>
      </c>
      <c r="K7" s="270">
        <v>1.1000000000000001</v>
      </c>
      <c r="L7" s="275">
        <f>K7*J7</f>
        <v>0.66</v>
      </c>
    </row>
    <row r="8" spans="1:12" ht="15.75" x14ac:dyDescent="0.2">
      <c r="A8" s="3"/>
      <c r="B8" s="242">
        <v>4</v>
      </c>
      <c r="C8" s="243">
        <v>1.35</v>
      </c>
      <c r="D8" s="6"/>
      <c r="E8" s="285">
        <v>1.5</v>
      </c>
      <c r="F8" s="243">
        <v>1</v>
      </c>
      <c r="G8" s="6"/>
      <c r="H8" s="274">
        <v>1.01</v>
      </c>
      <c r="I8" s="269">
        <v>2</v>
      </c>
      <c r="J8" s="270">
        <v>0.75</v>
      </c>
      <c r="K8" s="270">
        <v>1.05</v>
      </c>
      <c r="L8" s="275">
        <f>K8*J8</f>
        <v>0.78750000000000009</v>
      </c>
    </row>
    <row r="9" spans="1:12" ht="16.5" thickBot="1" x14ac:dyDescent="0.25">
      <c r="A9" s="3"/>
      <c r="B9" s="242">
        <v>5</v>
      </c>
      <c r="C9" s="243">
        <v>1.3</v>
      </c>
      <c r="D9" s="6"/>
      <c r="E9" s="285">
        <v>2</v>
      </c>
      <c r="F9" s="243">
        <v>1.1499999999999999</v>
      </c>
      <c r="G9" s="6"/>
      <c r="H9" s="276">
        <v>1.61</v>
      </c>
      <c r="I9" s="277">
        <v>1</v>
      </c>
      <c r="J9" s="278">
        <v>1</v>
      </c>
      <c r="K9" s="278">
        <v>1</v>
      </c>
      <c r="L9" s="279">
        <f>K9*J9</f>
        <v>1</v>
      </c>
    </row>
    <row r="10" spans="1:12" x14ac:dyDescent="0.2">
      <c r="A10" s="3"/>
      <c r="B10" s="242">
        <v>6</v>
      </c>
      <c r="C10" s="243">
        <v>1.2</v>
      </c>
      <c r="D10" s="6"/>
      <c r="E10" s="285">
        <v>2.4</v>
      </c>
      <c r="F10" s="243">
        <v>1.3</v>
      </c>
      <c r="G10" s="6"/>
    </row>
    <row r="11" spans="1:12" ht="13.5" thickBot="1" x14ac:dyDescent="0.25">
      <c r="A11" s="3"/>
      <c r="B11" s="242">
        <v>7</v>
      </c>
      <c r="C11" s="243">
        <v>1.1499999999999999</v>
      </c>
      <c r="D11" s="6"/>
      <c r="E11" s="286">
        <v>2.5</v>
      </c>
      <c r="F11" s="248">
        <v>1.3</v>
      </c>
      <c r="G11" s="6"/>
      <c r="L11" s="21" t="s">
        <v>266</v>
      </c>
    </row>
    <row r="12" spans="1:12" ht="47.25" x14ac:dyDescent="0.2">
      <c r="A12" s="3"/>
      <c r="B12" s="242">
        <v>8</v>
      </c>
      <c r="C12" s="243">
        <v>1.1000000000000001</v>
      </c>
      <c r="D12" s="6"/>
      <c r="E12" s="36"/>
      <c r="F12" s="6"/>
      <c r="G12" s="6"/>
      <c r="H12" s="271" t="s">
        <v>267</v>
      </c>
      <c r="I12" s="272" t="s">
        <v>257</v>
      </c>
      <c r="J12" s="272" t="s">
        <v>268</v>
      </c>
      <c r="K12" s="272" t="s">
        <v>258</v>
      </c>
      <c r="L12" s="273" t="s">
        <v>269</v>
      </c>
    </row>
    <row r="13" spans="1:12" ht="16.5" thickBot="1" x14ac:dyDescent="0.25">
      <c r="A13" s="3"/>
      <c r="B13" s="242">
        <v>9</v>
      </c>
      <c r="C13" s="243">
        <v>1.05</v>
      </c>
      <c r="D13" s="6"/>
      <c r="F13" s="21" t="s">
        <v>12</v>
      </c>
      <c r="H13" s="274">
        <v>0</v>
      </c>
      <c r="I13" s="269">
        <v>3</v>
      </c>
      <c r="J13" s="270">
        <v>1</v>
      </c>
      <c r="K13" s="270">
        <v>1</v>
      </c>
      <c r="L13" s="275">
        <f>K13*J13</f>
        <v>1</v>
      </c>
    </row>
    <row r="14" spans="1:12" ht="15.75" x14ac:dyDescent="0.2">
      <c r="A14" s="3"/>
      <c r="B14" s="242">
        <v>10</v>
      </c>
      <c r="C14" s="243">
        <v>1</v>
      </c>
      <c r="D14" s="6"/>
      <c r="E14" s="422" t="s">
        <v>277</v>
      </c>
      <c r="F14" s="423"/>
      <c r="H14" s="274">
        <v>4</v>
      </c>
      <c r="I14" s="269">
        <v>3</v>
      </c>
      <c r="J14" s="270">
        <v>0.6</v>
      </c>
      <c r="K14" s="270">
        <v>1</v>
      </c>
      <c r="L14" s="275">
        <f>K14*J14</f>
        <v>0.6</v>
      </c>
    </row>
    <row r="15" spans="1:12" ht="16.5" thickBot="1" x14ac:dyDescent="0.25">
      <c r="A15" s="3"/>
      <c r="B15" s="242">
        <v>11</v>
      </c>
      <c r="C15" s="243">
        <v>1</v>
      </c>
      <c r="D15" s="6"/>
      <c r="E15" s="416"/>
      <c r="F15" s="424"/>
      <c r="H15" s="276">
        <v>20</v>
      </c>
      <c r="I15" s="277">
        <v>3</v>
      </c>
      <c r="J15" s="278">
        <v>0.3</v>
      </c>
      <c r="K15" s="278">
        <v>1</v>
      </c>
      <c r="L15" s="279">
        <f>K15*J15</f>
        <v>0.3</v>
      </c>
    </row>
    <row r="16" spans="1:12" x14ac:dyDescent="0.2">
      <c r="A16" s="3"/>
      <c r="B16" s="242">
        <v>12</v>
      </c>
      <c r="C16" s="243">
        <v>1</v>
      </c>
      <c r="D16" s="6"/>
      <c r="E16" s="416"/>
      <c r="F16" s="424"/>
    </row>
    <row r="17" spans="1:12" ht="37.15" customHeight="1" x14ac:dyDescent="0.2">
      <c r="A17" s="3"/>
      <c r="B17" s="242">
        <v>13</v>
      </c>
      <c r="C17" s="243">
        <v>1</v>
      </c>
      <c r="D17" s="6"/>
      <c r="E17" s="416" t="s">
        <v>274</v>
      </c>
      <c r="F17" s="418" t="s">
        <v>276</v>
      </c>
      <c r="H17" t="s">
        <v>270</v>
      </c>
      <c r="K17" s="21" t="s">
        <v>271</v>
      </c>
      <c r="L17" s="246">
        <f>AVERAGE(J18,J19)</f>
        <v>0.65</v>
      </c>
    </row>
    <row r="18" spans="1:12" x14ac:dyDescent="0.2">
      <c r="A18" s="3"/>
      <c r="B18" s="242">
        <v>14</v>
      </c>
      <c r="C18" s="243">
        <v>1</v>
      </c>
      <c r="D18" s="6"/>
      <c r="E18" s="416"/>
      <c r="F18" s="418"/>
      <c r="H18" t="s">
        <v>272</v>
      </c>
      <c r="I18">
        <f>VLOOKUP(Толщина,Таблица6,2)</f>
        <v>1</v>
      </c>
      <c r="J18" s="246">
        <f>VLOOKUP(Толщина,Таблица6,5)</f>
        <v>1</v>
      </c>
    </row>
    <row r="19" spans="1:12" x14ac:dyDescent="0.2">
      <c r="A19" s="3"/>
      <c r="B19" s="242">
        <v>15</v>
      </c>
      <c r="C19" s="243">
        <v>1</v>
      </c>
      <c r="D19" s="6"/>
      <c r="E19" s="280">
        <v>7.5</v>
      </c>
      <c r="F19" s="243">
        <v>2</v>
      </c>
      <c r="H19" t="s">
        <v>273</v>
      </c>
      <c r="I19">
        <f>IF(INT(N/I18)&gt;3,3,INT(N/I18))</f>
        <v>3</v>
      </c>
      <c r="J19" s="246">
        <f>VLOOKUP(N,Таблица7,5)</f>
        <v>0.3</v>
      </c>
    </row>
    <row r="20" spans="1:12" x14ac:dyDescent="0.2">
      <c r="A20" s="3"/>
      <c r="B20" s="242">
        <v>16</v>
      </c>
      <c r="C20" s="243">
        <v>1</v>
      </c>
      <c r="D20" s="6"/>
      <c r="E20" s="280">
        <v>10</v>
      </c>
      <c r="F20" s="243">
        <v>1.5</v>
      </c>
    </row>
    <row r="21" spans="1:12" ht="13.5" thickBot="1" x14ac:dyDescent="0.25">
      <c r="A21" s="3"/>
      <c r="B21" s="242">
        <v>17</v>
      </c>
      <c r="C21" s="243">
        <v>1</v>
      </c>
      <c r="D21" s="6"/>
      <c r="E21" s="281">
        <v>15</v>
      </c>
      <c r="F21" s="248">
        <v>1</v>
      </c>
      <c r="L21" s="21" t="s">
        <v>279</v>
      </c>
    </row>
    <row r="22" spans="1:12" ht="31.5" x14ac:dyDescent="0.2">
      <c r="A22" s="3"/>
      <c r="B22" s="242">
        <v>18</v>
      </c>
      <c r="C22" s="243">
        <v>1</v>
      </c>
      <c r="D22" s="7"/>
      <c r="E22" s="6"/>
      <c r="F22" s="6"/>
      <c r="H22" s="271" t="s">
        <v>280</v>
      </c>
      <c r="I22" s="272" t="s">
        <v>281</v>
      </c>
      <c r="J22" s="272" t="s">
        <v>282</v>
      </c>
      <c r="K22" s="272" t="s">
        <v>283</v>
      </c>
      <c r="L22" s="273" t="s">
        <v>284</v>
      </c>
    </row>
    <row r="23" spans="1:12" ht="16.5" thickBot="1" x14ac:dyDescent="0.25">
      <c r="A23" s="3"/>
      <c r="B23" s="242">
        <v>19</v>
      </c>
      <c r="C23" s="243">
        <v>1</v>
      </c>
      <c r="D23" s="7"/>
      <c r="E23" s="6"/>
      <c r="F23" s="23" t="s">
        <v>13</v>
      </c>
      <c r="H23" s="274">
        <v>0</v>
      </c>
      <c r="I23" s="269">
        <v>1</v>
      </c>
      <c r="J23" s="270">
        <v>1</v>
      </c>
      <c r="K23" s="270">
        <v>1</v>
      </c>
      <c r="L23" s="275">
        <f>K23*J23</f>
        <v>1</v>
      </c>
    </row>
    <row r="24" spans="1:12" ht="16.5" thickBot="1" x14ac:dyDescent="0.25">
      <c r="A24" s="3"/>
      <c r="B24" s="242">
        <v>20</v>
      </c>
      <c r="C24" s="243">
        <v>1</v>
      </c>
      <c r="D24" s="7"/>
      <c r="E24" s="425" t="s">
        <v>275</v>
      </c>
      <c r="F24" s="426"/>
      <c r="H24" s="276">
        <v>5</v>
      </c>
      <c r="I24" s="277">
        <v>2</v>
      </c>
      <c r="J24" s="278">
        <v>0.6</v>
      </c>
      <c r="K24" s="278">
        <v>1.1000000000000001</v>
      </c>
      <c r="L24" s="279">
        <f>K24*J24</f>
        <v>0.66</v>
      </c>
    </row>
    <row r="25" spans="1:12" x14ac:dyDescent="0.2">
      <c r="A25" s="3"/>
      <c r="B25" s="242">
        <v>25</v>
      </c>
      <c r="C25" s="243">
        <v>1</v>
      </c>
      <c r="D25" s="7"/>
      <c r="E25" s="427"/>
      <c r="F25" s="428"/>
    </row>
    <row r="26" spans="1:12" ht="13.5" thickBot="1" x14ac:dyDescent="0.25">
      <c r="A26" s="3"/>
      <c r="B26" s="242">
        <v>30</v>
      </c>
      <c r="C26" s="243">
        <v>1</v>
      </c>
      <c r="D26" s="7"/>
      <c r="E26" s="416" t="s">
        <v>274</v>
      </c>
      <c r="F26" s="417" t="s">
        <v>276</v>
      </c>
      <c r="L26" s="21" t="s">
        <v>285</v>
      </c>
    </row>
    <row r="27" spans="1:12" ht="63" x14ac:dyDescent="0.2">
      <c r="A27" s="3"/>
      <c r="B27" s="242">
        <v>35</v>
      </c>
      <c r="C27" s="243">
        <v>1</v>
      </c>
      <c r="D27" s="7"/>
      <c r="E27" s="416"/>
      <c r="F27" s="417"/>
      <c r="H27" s="271" t="s">
        <v>261</v>
      </c>
      <c r="I27" s="272" t="s">
        <v>262</v>
      </c>
      <c r="J27" s="272" t="s">
        <v>286</v>
      </c>
      <c r="K27" s="272" t="s">
        <v>287</v>
      </c>
      <c r="L27" s="273" t="s">
        <v>288</v>
      </c>
    </row>
    <row r="28" spans="1:12" ht="15.75" x14ac:dyDescent="0.2">
      <c r="A28" s="3"/>
      <c r="B28" s="242">
        <v>40</v>
      </c>
      <c r="C28" s="243">
        <v>1</v>
      </c>
      <c r="D28" s="7"/>
      <c r="E28" s="282">
        <v>3</v>
      </c>
      <c r="F28" s="283">
        <v>2</v>
      </c>
      <c r="H28" s="287">
        <v>0</v>
      </c>
      <c r="I28" s="269">
        <v>4</v>
      </c>
      <c r="J28" s="270">
        <v>0.5</v>
      </c>
      <c r="K28" s="269">
        <v>1.2</v>
      </c>
      <c r="L28" s="275">
        <f t="shared" ref="L28:L34" si="0">K28*J28</f>
        <v>0.6</v>
      </c>
    </row>
    <row r="29" spans="1:12" ht="15.75" x14ac:dyDescent="0.2">
      <c r="A29" s="3"/>
      <c r="B29" s="242">
        <v>45</v>
      </c>
      <c r="C29" s="243">
        <v>1</v>
      </c>
      <c r="D29" s="7"/>
      <c r="E29" s="282">
        <v>5</v>
      </c>
      <c r="F29" s="244">
        <v>1.5</v>
      </c>
      <c r="H29" s="287">
        <v>1</v>
      </c>
      <c r="I29" s="269">
        <v>3</v>
      </c>
      <c r="J29" s="270">
        <v>0.6</v>
      </c>
      <c r="K29" s="269">
        <v>1.3</v>
      </c>
      <c r="L29" s="275">
        <f t="shared" si="0"/>
        <v>0.78</v>
      </c>
    </row>
    <row r="30" spans="1:12" ht="15.75" x14ac:dyDescent="0.2">
      <c r="A30" s="3"/>
      <c r="B30" s="242">
        <v>50</v>
      </c>
      <c r="C30" s="243">
        <v>1</v>
      </c>
      <c r="D30" s="7"/>
      <c r="E30" s="280">
        <v>7.5</v>
      </c>
      <c r="F30" s="243">
        <v>1.25</v>
      </c>
      <c r="H30" s="287">
        <v>1.5</v>
      </c>
      <c r="I30" s="269">
        <v>2</v>
      </c>
      <c r="J30" s="270">
        <v>0.7</v>
      </c>
      <c r="K30" s="269">
        <v>1.3</v>
      </c>
      <c r="L30" s="275">
        <f t="shared" si="0"/>
        <v>0.90999999999999992</v>
      </c>
    </row>
    <row r="31" spans="1:12" ht="16.5" thickBot="1" x14ac:dyDescent="0.25">
      <c r="A31" s="3"/>
      <c r="B31" s="242">
        <v>55</v>
      </c>
      <c r="C31" s="243">
        <v>1</v>
      </c>
      <c r="D31" s="7"/>
      <c r="E31" s="281">
        <v>12.5</v>
      </c>
      <c r="F31" s="248">
        <v>1</v>
      </c>
      <c r="H31" s="287">
        <v>2</v>
      </c>
      <c r="I31" s="269">
        <v>1</v>
      </c>
      <c r="J31" s="270">
        <v>1</v>
      </c>
      <c r="K31" s="269">
        <v>1.1499999999999999</v>
      </c>
      <c r="L31" s="275">
        <f t="shared" si="0"/>
        <v>1.1499999999999999</v>
      </c>
    </row>
    <row r="32" spans="1:12" ht="15.75" x14ac:dyDescent="0.2">
      <c r="A32" s="3"/>
      <c r="B32" s="242">
        <v>60</v>
      </c>
      <c r="C32" s="243">
        <v>1</v>
      </c>
      <c r="D32" s="7"/>
      <c r="F32" s="20"/>
      <c r="H32" s="287">
        <v>2.5</v>
      </c>
      <c r="I32" s="269">
        <v>1</v>
      </c>
      <c r="J32" s="270">
        <v>1</v>
      </c>
      <c r="K32" s="269">
        <v>1.1000000000000001</v>
      </c>
      <c r="L32" s="275">
        <f t="shared" si="0"/>
        <v>1.1000000000000001</v>
      </c>
    </row>
    <row r="33" spans="1:12" ht="15.75" x14ac:dyDescent="0.2">
      <c r="A33" s="3"/>
      <c r="B33" s="242">
        <v>65</v>
      </c>
      <c r="C33" s="243">
        <v>1</v>
      </c>
      <c r="D33" s="7"/>
      <c r="H33" s="287">
        <v>3</v>
      </c>
      <c r="I33" s="269">
        <v>1</v>
      </c>
      <c r="J33" s="270">
        <v>1</v>
      </c>
      <c r="K33" s="269">
        <v>1.3</v>
      </c>
      <c r="L33" s="275">
        <f t="shared" si="0"/>
        <v>1.3</v>
      </c>
    </row>
    <row r="34" spans="1:12" ht="16.5" thickBot="1" x14ac:dyDescent="0.25">
      <c r="A34" s="3"/>
      <c r="B34" s="242">
        <v>70</v>
      </c>
      <c r="C34" s="243">
        <v>1</v>
      </c>
      <c r="D34" s="7"/>
      <c r="H34" s="288">
        <v>3.5</v>
      </c>
      <c r="I34" s="277">
        <v>1</v>
      </c>
      <c r="J34" s="278">
        <v>1</v>
      </c>
      <c r="K34" s="277">
        <v>1.4</v>
      </c>
      <c r="L34" s="279">
        <f t="shared" si="0"/>
        <v>1.4</v>
      </c>
    </row>
    <row r="35" spans="1:12" x14ac:dyDescent="0.2">
      <c r="A35" s="3"/>
      <c r="B35" s="242">
        <v>80</v>
      </c>
      <c r="C35" s="243">
        <v>1</v>
      </c>
      <c r="D35" s="7"/>
    </row>
    <row r="36" spans="1:12" x14ac:dyDescent="0.2">
      <c r="A36" s="3"/>
      <c r="B36" s="242">
        <v>90</v>
      </c>
      <c r="C36" s="243">
        <v>1</v>
      </c>
      <c r="D36" s="7"/>
      <c r="H36" t="s">
        <v>290</v>
      </c>
      <c r="K36" s="21" t="s">
        <v>289</v>
      </c>
      <c r="L36" s="289">
        <f>AVERAGE(VLOOKUP(П,Таблица8,5),VLOOKUP(Толщина,Таблица9,5))</f>
        <v>0.90500000000000003</v>
      </c>
    </row>
    <row r="37" spans="1:12" x14ac:dyDescent="0.2">
      <c r="A37" s="3"/>
      <c r="B37" s="242">
        <v>100</v>
      </c>
      <c r="C37" s="243">
        <v>1</v>
      </c>
      <c r="D37" s="7"/>
      <c r="G37" s="3"/>
    </row>
    <row r="38" spans="1:12" ht="13.5" thickBot="1" x14ac:dyDescent="0.25">
      <c r="A38" s="3"/>
      <c r="B38" s="242">
        <v>110</v>
      </c>
      <c r="C38" s="243">
        <v>0.95</v>
      </c>
      <c r="D38" s="7"/>
      <c r="G38" s="7"/>
      <c r="L38" s="21" t="s">
        <v>352</v>
      </c>
    </row>
    <row r="39" spans="1:12" ht="13.5" thickBot="1" x14ac:dyDescent="0.25">
      <c r="A39" s="3"/>
      <c r="B39" s="242">
        <v>120</v>
      </c>
      <c r="C39" s="243">
        <v>0.92</v>
      </c>
      <c r="D39" s="7"/>
      <c r="G39" s="7"/>
      <c r="K39" s="304" t="s">
        <v>353</v>
      </c>
      <c r="L39" s="305" t="s">
        <v>354</v>
      </c>
    </row>
    <row r="40" spans="1:12" x14ac:dyDescent="0.2">
      <c r="A40" s="3"/>
      <c r="B40" s="242">
        <v>130</v>
      </c>
      <c r="C40" s="243">
        <v>0.9</v>
      </c>
      <c r="D40" s="7"/>
      <c r="F40" s="20"/>
      <c r="K40" s="306">
        <v>3</v>
      </c>
      <c r="L40" s="307">
        <v>1.05</v>
      </c>
    </row>
    <row r="41" spans="1:12" x14ac:dyDescent="0.2">
      <c r="A41" s="3"/>
      <c r="B41" s="242">
        <v>140</v>
      </c>
      <c r="C41" s="243">
        <v>0.85</v>
      </c>
      <c r="D41" s="7"/>
      <c r="K41" s="308">
        <v>4</v>
      </c>
      <c r="L41" s="309">
        <v>1.1000000000000001</v>
      </c>
    </row>
    <row r="42" spans="1:12" ht="13.5" thickBot="1" x14ac:dyDescent="0.25">
      <c r="A42" s="3"/>
      <c r="B42" s="242">
        <v>150</v>
      </c>
      <c r="C42" s="243">
        <v>0.8</v>
      </c>
      <c r="D42" s="7"/>
      <c r="K42" s="297">
        <v>5</v>
      </c>
      <c r="L42" s="298">
        <v>1.2</v>
      </c>
    </row>
    <row r="43" spans="1:12" ht="13.5" thickBot="1" x14ac:dyDescent="0.25">
      <c r="A43" s="3"/>
      <c r="B43" s="249"/>
      <c r="C43" s="248"/>
      <c r="D43" s="7"/>
    </row>
    <row r="44" spans="1:12" x14ac:dyDescent="0.2">
      <c r="A44" s="3"/>
      <c r="B44" s="9"/>
      <c r="C44" s="6"/>
      <c r="D44" s="7"/>
      <c r="E44" s="7"/>
      <c r="F44" s="20"/>
    </row>
    <row r="45" spans="1:12" hidden="1" x14ac:dyDescent="0.2">
      <c r="A45" s="3"/>
    </row>
    <row r="46" spans="1:12" x14ac:dyDescent="0.2">
      <c r="A46" s="3"/>
    </row>
    <row r="47" spans="1:12" x14ac:dyDescent="0.2">
      <c r="A47" s="3"/>
      <c r="B47" t="s">
        <v>369</v>
      </c>
    </row>
  </sheetData>
  <mergeCells count="10">
    <mergeCell ref="B3:C3"/>
    <mergeCell ref="E4:E5"/>
    <mergeCell ref="F4:F5"/>
    <mergeCell ref="E14:F16"/>
    <mergeCell ref="E24:F25"/>
    <mergeCell ref="E26:E27"/>
    <mergeCell ref="F26:F27"/>
    <mergeCell ref="E17:E18"/>
    <mergeCell ref="F17:F18"/>
    <mergeCell ref="E3:F3"/>
  </mergeCells>
  <phoneticPr fontId="4" type="noConversion"/>
  <pageMargins left="0.78740157480314965" right="0.78740157480314965" top="0.39370078740157483" bottom="0.39370078740157483" header="0.51181102362204722" footer="0.51181102362204722"/>
  <pageSetup paperSize="9" scale="90" fitToWidth="2" orientation="portrait" horizontalDpi="300" verticalDpi="300" r:id="rId1"/>
  <headerFooter alignWithMargins="0"/>
  <cellWatches>
    <cellWatch r="J29"/>
  </cellWatch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32"/>
  <sheetViews>
    <sheetView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48" customWidth="1"/>
    <col min="3" max="4" width="21.7109375" style="1" customWidth="1"/>
    <col min="5" max="5" width="9.5703125" bestFit="1" customWidth="1"/>
  </cols>
  <sheetData>
    <row r="1" spans="1:7" x14ac:dyDescent="0.2">
      <c r="C1" s="133" t="s">
        <v>398</v>
      </c>
      <c r="D1" s="133"/>
    </row>
    <row r="2" spans="1:7" x14ac:dyDescent="0.2">
      <c r="C2" s="241" t="s">
        <v>190</v>
      </c>
      <c r="D2" s="241"/>
    </row>
    <row r="4" spans="1:7" x14ac:dyDescent="0.2">
      <c r="A4" s="429" t="s">
        <v>399</v>
      </c>
      <c r="B4" s="429"/>
      <c r="C4" s="429"/>
      <c r="D4" s="343"/>
    </row>
    <row r="5" spans="1:7" x14ac:dyDescent="0.2">
      <c r="A5" s="429" t="str">
        <f>CONCATENATE("на изготовление ДПП ",Наименование_платы," в кол-ве ",П," шт.")</f>
        <v>на изготовление ДПП Децимальный номер платы в кол-ве 41 шт.</v>
      </c>
      <c r="B5" s="429"/>
      <c r="C5" s="429"/>
      <c r="D5" s="343"/>
    </row>
    <row r="6" spans="1:7" x14ac:dyDescent="0.2">
      <c r="A6" s="429" t="str">
        <f>Расчет!$C$6</f>
        <v>Номер заказа от дата</v>
      </c>
      <c r="B6" s="429"/>
      <c r="C6" s="429"/>
      <c r="D6" s="343"/>
    </row>
    <row r="7" spans="1:7" x14ac:dyDescent="0.2">
      <c r="B7" s="240"/>
      <c r="C7" s="245"/>
      <c r="D7" s="245"/>
    </row>
    <row r="8" spans="1:7" x14ac:dyDescent="0.2">
      <c r="B8" s="21"/>
    </row>
    <row r="9" spans="1:7" x14ac:dyDescent="0.2">
      <c r="B9" s="21"/>
    </row>
    <row r="10" spans="1:7" ht="13.5" thickBot="1" x14ac:dyDescent="0.25"/>
    <row r="11" spans="1:7" ht="13.5" thickBot="1" x14ac:dyDescent="0.25">
      <c r="A11" s="292" t="s">
        <v>175</v>
      </c>
      <c r="B11" s="344" t="s">
        <v>176</v>
      </c>
      <c r="C11" s="346" t="s">
        <v>18</v>
      </c>
      <c r="D11" s="7"/>
      <c r="E11" t="s">
        <v>383</v>
      </c>
    </row>
    <row r="12" spans="1:7" x14ac:dyDescent="0.2">
      <c r="A12" s="294">
        <v>1</v>
      </c>
      <c r="B12" s="295" t="s">
        <v>177</v>
      </c>
      <c r="C12" s="345">
        <f>(C16-C15)/(1+Соцналог/100+наклрасх/100)</f>
        <v>19908.191150194441</v>
      </c>
      <c r="D12" s="347"/>
      <c r="E12" s="114">
        <f t="shared" ref="E12:E19" si="0">G12-C12</f>
        <v>-0.10760457360447617</v>
      </c>
      <c r="G12">
        <f>ФОТ_всего</f>
        <v>19908.083545620837</v>
      </c>
    </row>
    <row r="13" spans="1:7" x14ac:dyDescent="0.2">
      <c r="A13" s="242">
        <v>2</v>
      </c>
      <c r="B13" s="24" t="str">
        <f>CONCATENATE("Социальный налог (",Соцналог,"%)")</f>
        <v>Социальный налог (30.6%)</v>
      </c>
      <c r="C13" s="243">
        <f>C12*Соцналог/100</f>
        <v>6091.9064919594994</v>
      </c>
      <c r="D13" s="6"/>
      <c r="E13" s="114">
        <f t="shared" si="0"/>
        <v>-3.292699952271505E-2</v>
      </c>
      <c r="G13">
        <f>G12*Соцналог/100</f>
        <v>6091.8735649599766</v>
      </c>
    </row>
    <row r="14" spans="1:7" x14ac:dyDescent="0.2">
      <c r="A14" s="242">
        <v>3</v>
      </c>
      <c r="B14" s="24" t="str">
        <f>CONCATENATE("Накладные расходы (",наклрасх,"%)")</f>
        <v>Накладные расходы (117.6%)</v>
      </c>
      <c r="C14" s="243">
        <f>C12*наклрасх/100</f>
        <v>23412.032792628663</v>
      </c>
      <c r="D14" s="6"/>
      <c r="E14" s="114">
        <f t="shared" si="0"/>
        <v>-0.12654297855988261</v>
      </c>
      <c r="G14">
        <f>G12*наклрасх/100</f>
        <v>23411.906249650103</v>
      </c>
    </row>
    <row r="15" spans="1:7" x14ac:dyDescent="0.2">
      <c r="A15" s="242">
        <v>4</v>
      </c>
      <c r="B15" s="24" t="s">
        <v>95</v>
      </c>
      <c r="C15" s="243">
        <f>CEILING((Материалы_всего/(1+плановнакопл/100)),1)</f>
        <v>17507</v>
      </c>
      <c r="D15" s="6"/>
      <c r="E15" s="114">
        <f t="shared" si="0"/>
        <v>-4.347826086814166E-2</v>
      </c>
      <c r="G15">
        <f>Материалы_всего/(1+плановнакопл/100)</f>
        <v>17506.956521739132</v>
      </c>
    </row>
    <row r="16" spans="1:7" x14ac:dyDescent="0.2">
      <c r="A16" s="242">
        <v>5</v>
      </c>
      <c r="B16" s="24" t="s">
        <v>178</v>
      </c>
      <c r="C16" s="243">
        <f>C18-C17</f>
        <v>66919.130434782608</v>
      </c>
      <c r="D16" s="6"/>
      <c r="E16" s="114">
        <f t="shared" si="0"/>
        <v>-0.31055281255976297</v>
      </c>
      <c r="G16">
        <f>SUM(G12:G15)</f>
        <v>66918.819881970048</v>
      </c>
    </row>
    <row r="17" spans="1:7" x14ac:dyDescent="0.2">
      <c r="A17" s="242">
        <v>6</v>
      </c>
      <c r="B17" s="24" t="str">
        <f>CONCATENATE("Плановые накопления (",плановнакопл,"% от себестоимости)")</f>
        <v>Плановые накопления (15% от себестоимости)</v>
      </c>
      <c r="C17" s="243">
        <f>C18*(плановнакопл/100)/(1+(плановнакопл/100))</f>
        <v>10037.869565217392</v>
      </c>
      <c r="D17" s="6"/>
      <c r="E17" s="114">
        <f t="shared" si="0"/>
        <v>-4.6582921884692041E-2</v>
      </c>
      <c r="G17">
        <f>G16*(плановнакопл/100)</f>
        <v>10037.822982295507</v>
      </c>
    </row>
    <row r="18" spans="1:7" x14ac:dyDescent="0.2">
      <c r="A18" s="242">
        <v>7</v>
      </c>
      <c r="B18" s="24" t="s">
        <v>208</v>
      </c>
      <c r="C18" s="243">
        <f>Цена_За_штуку*П</f>
        <v>76957</v>
      </c>
      <c r="D18" s="6"/>
      <c r="E18" s="114">
        <f t="shared" si="0"/>
        <v>-0.35713573444809299</v>
      </c>
      <c r="G18">
        <f>SUM(G16:G17)</f>
        <v>76956.642864265552</v>
      </c>
    </row>
    <row r="19" spans="1:7" x14ac:dyDescent="0.2">
      <c r="A19" s="296">
        <v>8</v>
      </c>
      <c r="B19" s="293" t="s">
        <v>309</v>
      </c>
      <c r="C19" s="243">
        <f>Расчет!G71</f>
        <v>1877</v>
      </c>
      <c r="D19" s="6"/>
      <c r="E19" s="114">
        <f t="shared" si="0"/>
        <v>0</v>
      </c>
      <c r="G19">
        <f>Цена_За_штуку</f>
        <v>1877</v>
      </c>
    </row>
    <row r="20" spans="1:7" ht="13.5" thickBot="1" x14ac:dyDescent="0.25">
      <c r="A20" s="297"/>
      <c r="B20" s="90"/>
      <c r="C20" s="298"/>
      <c r="D20" s="3"/>
    </row>
    <row r="22" spans="1:7" x14ac:dyDescent="0.2">
      <c r="A22" s="21"/>
      <c r="B22" t="s">
        <v>400</v>
      </c>
    </row>
    <row r="23" spans="1:7" x14ac:dyDescent="0.2">
      <c r="B23" t="s">
        <v>402</v>
      </c>
    </row>
    <row r="24" spans="1:7" x14ac:dyDescent="0.2">
      <c r="B24" t="s">
        <v>401</v>
      </c>
    </row>
    <row r="25" spans="1:7" x14ac:dyDescent="0.2">
      <c r="B25" t="s">
        <v>412</v>
      </c>
    </row>
    <row r="27" spans="1:7" ht="20.45" customHeight="1" x14ac:dyDescent="0.2">
      <c r="A27" s="238" t="s">
        <v>370</v>
      </c>
      <c r="C27" s="240" t="s">
        <v>253</v>
      </c>
      <c r="D27" s="240"/>
    </row>
    <row r="28" spans="1:7" ht="31.15" customHeight="1" x14ac:dyDescent="0.2">
      <c r="C28" s="240" t="s">
        <v>459</v>
      </c>
      <c r="D28" s="240"/>
    </row>
    <row r="29" spans="1:7" ht="54" customHeight="1" x14ac:dyDescent="0.2">
      <c r="A29" s="239" t="s">
        <v>252</v>
      </c>
    </row>
    <row r="30" spans="1:7" ht="20.45" customHeight="1" x14ac:dyDescent="0.2">
      <c r="A30" s="239" t="s">
        <v>356</v>
      </c>
      <c r="C30" s="240" t="s">
        <v>367</v>
      </c>
      <c r="D30" s="240"/>
    </row>
    <row r="31" spans="1:7" ht="31.15" customHeight="1" x14ac:dyDescent="0.2">
      <c r="C31" s="240" t="s">
        <v>459</v>
      </c>
      <c r="D31" s="240"/>
    </row>
    <row r="32" spans="1:7" x14ac:dyDescent="0.2">
      <c r="C32"/>
      <c r="D32"/>
    </row>
  </sheetData>
  <mergeCells count="3">
    <mergeCell ref="A4:C4"/>
    <mergeCell ref="A5:C5"/>
    <mergeCell ref="A6:C6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pageSetUpPr fitToPage="1"/>
  </sheetPr>
  <dimension ref="B1:T133"/>
  <sheetViews>
    <sheetView topLeftCell="A100" zoomScale="145" zoomScaleNormal="145" workbookViewId="0">
      <selection activeCell="F110" sqref="F110"/>
    </sheetView>
  </sheetViews>
  <sheetFormatPr defaultColWidth="9.140625" defaultRowHeight="11.25" x14ac:dyDescent="0.2"/>
  <cols>
    <col min="1" max="1" width="2.140625" style="106" customWidth="1"/>
    <col min="2" max="2" width="3" style="106" customWidth="1"/>
    <col min="3" max="3" width="37.85546875" style="106" customWidth="1"/>
    <col min="4" max="4" width="36.7109375" style="106" hidden="1" customWidth="1"/>
    <col min="5" max="5" width="8.85546875" style="106" customWidth="1"/>
    <col min="6" max="6" width="7.85546875" style="106" customWidth="1"/>
    <col min="7" max="7" width="8.5703125" style="106" customWidth="1"/>
    <col min="8" max="8" width="8.7109375" style="106" customWidth="1"/>
    <col min="9" max="9" width="10.28515625" style="106" customWidth="1"/>
    <col min="10" max="10" width="2.5703125" style="106" customWidth="1"/>
    <col min="11" max="12" width="9.140625" style="106" customWidth="1"/>
    <col min="13" max="13" width="57.28515625" style="106" customWidth="1"/>
    <col min="14" max="14" width="9.140625" style="106" customWidth="1"/>
    <col min="15" max="15" width="4.85546875" style="106" bestFit="1" customWidth="1"/>
    <col min="16" max="16" width="7" style="202" bestFit="1" customWidth="1"/>
    <col min="17" max="16384" width="9.140625" style="106"/>
  </cols>
  <sheetData>
    <row r="1" spans="2:17" x14ac:dyDescent="0.2">
      <c r="I1" s="132" t="s">
        <v>254</v>
      </c>
      <c r="L1" s="251" t="s">
        <v>236</v>
      </c>
      <c r="M1" s="252" t="s">
        <v>209</v>
      </c>
      <c r="N1" s="251" t="s">
        <v>237</v>
      </c>
      <c r="O1" s="251" t="s">
        <v>24</v>
      </c>
    </row>
    <row r="2" spans="2:17" x14ac:dyDescent="0.2">
      <c r="H2" s="185"/>
      <c r="I2" s="241" t="s">
        <v>403</v>
      </c>
      <c r="L2" s="106">
        <v>1</v>
      </c>
      <c r="M2" s="106" t="s">
        <v>317</v>
      </c>
      <c r="N2" s="106">
        <v>1</v>
      </c>
      <c r="O2" s="130">
        <v>0</v>
      </c>
      <c r="P2" s="202">
        <f t="shared" ref="P2:P34" si="0">O2/N2</f>
        <v>0</v>
      </c>
    </row>
    <row r="3" spans="2:17" x14ac:dyDescent="0.2">
      <c r="I3" s="132" t="s">
        <v>148</v>
      </c>
      <c r="L3" s="106">
        <v>2</v>
      </c>
      <c r="M3" s="106" t="s">
        <v>362</v>
      </c>
      <c r="N3" s="106">
        <v>1</v>
      </c>
      <c r="O3" s="130">
        <f>VLOOKUP(M3,[1]!ПрайсНаМатериалы,3)</f>
        <v>2229</v>
      </c>
      <c r="P3" s="202">
        <f>O3/N3</f>
        <v>2229</v>
      </c>
    </row>
    <row r="4" spans="2:17" s="108" customFormat="1" ht="12" x14ac:dyDescent="0.2">
      <c r="B4" s="430" t="s">
        <v>142</v>
      </c>
      <c r="C4" s="430"/>
      <c r="D4" s="430"/>
      <c r="E4" s="430"/>
      <c r="F4" s="430"/>
      <c r="G4" s="430"/>
      <c r="H4" s="430"/>
      <c r="I4" s="430"/>
      <c r="L4" s="106">
        <v>3</v>
      </c>
      <c r="M4" s="106" t="s">
        <v>210</v>
      </c>
      <c r="N4" s="106">
        <v>1</v>
      </c>
      <c r="O4" s="130">
        <f>VLOOKUP(M4,[1]!ПрайсНаМатериалы,3)</f>
        <v>2369.36</v>
      </c>
      <c r="P4" s="202">
        <f t="shared" si="0"/>
        <v>2369.36</v>
      </c>
      <c r="Q4" s="106"/>
    </row>
    <row r="5" spans="2:17" s="108" customFormat="1" ht="12" x14ac:dyDescent="0.2">
      <c r="B5" s="430" t="str">
        <f>CONCATENATE("материальных затрат на изготовление ДПП ",Наименование_платы," ",П," шт. ")</f>
        <v xml:space="preserve">материальных затрат на изготовление ДПП Децимальный номер платы 41 шт. </v>
      </c>
      <c r="C5" s="430"/>
      <c r="D5" s="430"/>
      <c r="E5" s="430"/>
      <c r="F5" s="430"/>
      <c r="G5" s="430"/>
      <c r="H5" s="430"/>
      <c r="I5" s="430"/>
      <c r="L5" s="106">
        <v>4</v>
      </c>
      <c r="M5" s="106" t="s">
        <v>239</v>
      </c>
      <c r="N5" s="106">
        <v>1</v>
      </c>
      <c r="O5" s="130">
        <f>VLOOKUP(M5,[1]!ПрайсНаМатериалы,3)</f>
        <v>1790.57</v>
      </c>
      <c r="P5" s="202">
        <f t="shared" si="0"/>
        <v>1790.57</v>
      </c>
      <c r="Q5" s="106"/>
    </row>
    <row r="6" spans="2:17" customFormat="1" ht="12.75" x14ac:dyDescent="0.2">
      <c r="B6" s="429" t="str">
        <f>CONCATENATE("Количество заготовок - ",N," шт., Площадь заготовок - ",Sзагм2," м2")</f>
        <v>Количество заготовок - 21 шт., Площадь заготовок - 1.26 м2</v>
      </c>
      <c r="C6" s="429"/>
      <c r="D6" s="429"/>
      <c r="E6" s="429"/>
      <c r="F6" s="429"/>
      <c r="G6" s="429"/>
      <c r="H6" s="429"/>
      <c r="I6" s="429"/>
      <c r="L6" s="106">
        <v>5</v>
      </c>
      <c r="M6" s="106" t="s">
        <v>363</v>
      </c>
      <c r="N6" s="106">
        <v>1</v>
      </c>
      <c r="O6" s="130">
        <f>VLOOKUP(M6,[1]!ПрайсНаМатериалы,3)</f>
        <v>1660.64</v>
      </c>
      <c r="P6" s="202">
        <f>O6/N6</f>
        <v>1660.64</v>
      </c>
      <c r="Q6" s="106"/>
    </row>
    <row r="7" spans="2:17" customFormat="1" ht="12.75" x14ac:dyDescent="0.2">
      <c r="L7" s="106">
        <v>6</v>
      </c>
      <c r="M7" s="106" t="s">
        <v>308</v>
      </c>
      <c r="N7" s="106">
        <v>1</v>
      </c>
      <c r="O7" s="130">
        <f>VLOOKUP(M7,[1]!ПрайсНаМатериалы,3)</f>
        <v>3184</v>
      </c>
      <c r="P7" s="202">
        <f t="shared" si="0"/>
        <v>3184</v>
      </c>
      <c r="Q7" s="106"/>
    </row>
    <row r="8" spans="2:17" x14ac:dyDescent="0.2">
      <c r="D8" s="130" t="s">
        <v>423</v>
      </c>
      <c r="L8" s="106">
        <v>7</v>
      </c>
      <c r="M8" s="106" t="s">
        <v>240</v>
      </c>
      <c r="N8" s="106">
        <v>1</v>
      </c>
      <c r="O8" s="130">
        <f>VLOOKUP(M8,[1]!ПрайсНаМатериалы,3)</f>
        <v>2746.65</v>
      </c>
      <c r="P8" s="202">
        <v>2843</v>
      </c>
    </row>
    <row r="9" spans="2:17" x14ac:dyDescent="0.2">
      <c r="D9" s="130"/>
      <c r="L9" s="106">
        <v>8</v>
      </c>
      <c r="M9" s="106" t="s">
        <v>241</v>
      </c>
      <c r="N9" s="106">
        <v>1</v>
      </c>
      <c r="O9" s="130">
        <f>VLOOKUP(M9,[1]!ПрайсНаМатериалы,3)</f>
        <v>3770</v>
      </c>
      <c r="P9" s="202">
        <f t="shared" si="0"/>
        <v>3770</v>
      </c>
    </row>
    <row r="10" spans="2:17" x14ac:dyDescent="0.2">
      <c r="B10" s="136"/>
      <c r="C10" s="137"/>
      <c r="D10" s="137"/>
      <c r="E10" s="138" t="s">
        <v>59</v>
      </c>
      <c r="F10" s="138"/>
      <c r="G10" s="138"/>
      <c r="H10" s="138" t="s">
        <v>24</v>
      </c>
      <c r="I10" s="138" t="s">
        <v>62</v>
      </c>
      <c r="J10" s="139"/>
      <c r="L10" s="106">
        <v>9</v>
      </c>
      <c r="M10" s="106" t="s">
        <v>242</v>
      </c>
      <c r="N10" s="106">
        <v>1</v>
      </c>
      <c r="O10" s="130">
        <f>VLOOKUP(M10,[1]!ПрайсНаМатериалы,3)</f>
        <v>4795</v>
      </c>
      <c r="P10" s="202">
        <f t="shared" si="0"/>
        <v>4795</v>
      </c>
    </row>
    <row r="11" spans="2:17" x14ac:dyDescent="0.2">
      <c r="B11" s="140"/>
      <c r="C11" s="140"/>
      <c r="D11" s="140"/>
      <c r="E11" s="141" t="s">
        <v>60</v>
      </c>
      <c r="F11" s="141"/>
      <c r="G11" s="141"/>
      <c r="H11" s="141" t="s">
        <v>189</v>
      </c>
      <c r="I11" s="141" t="s">
        <v>63</v>
      </c>
      <c r="J11" s="139"/>
      <c r="L11" s="106">
        <v>10</v>
      </c>
      <c r="M11" s="106" t="s">
        <v>243</v>
      </c>
      <c r="N11" s="106">
        <v>1</v>
      </c>
      <c r="O11" s="130">
        <f>VLOOKUP(M11,[1]!ПрайсНаМатериалы,3)</f>
        <v>3923.93</v>
      </c>
      <c r="P11" s="202">
        <f t="shared" si="0"/>
        <v>3923.93</v>
      </c>
    </row>
    <row r="12" spans="2:17" x14ac:dyDescent="0.2">
      <c r="B12" s="141" t="s">
        <v>25</v>
      </c>
      <c r="C12" s="141" t="s">
        <v>26</v>
      </c>
      <c r="D12" s="141" t="s">
        <v>26</v>
      </c>
      <c r="E12" s="141" t="s">
        <v>61</v>
      </c>
      <c r="F12" s="141" t="s">
        <v>141</v>
      </c>
      <c r="G12" s="141" t="s">
        <v>187</v>
      </c>
      <c r="H12" s="141" t="s">
        <v>188</v>
      </c>
      <c r="I12" s="141"/>
      <c r="J12" s="139"/>
      <c r="L12" s="106">
        <v>11</v>
      </c>
      <c r="M12" s="106" t="s">
        <v>211</v>
      </c>
      <c r="N12" s="106">
        <v>1</v>
      </c>
      <c r="O12" s="130">
        <f>VLOOKUP(M12,[1]!ПрайсНаМатериалы,3)</f>
        <v>4170</v>
      </c>
      <c r="P12" s="202">
        <v>3390</v>
      </c>
    </row>
    <row r="13" spans="2:17" x14ac:dyDescent="0.2">
      <c r="B13" s="141" t="s">
        <v>29</v>
      </c>
      <c r="C13" s="141"/>
      <c r="D13" s="141"/>
      <c r="E13" s="141" t="s">
        <v>58</v>
      </c>
      <c r="F13" s="141"/>
      <c r="G13" s="141" t="s">
        <v>30</v>
      </c>
      <c r="H13" s="141" t="s">
        <v>31</v>
      </c>
      <c r="I13" s="141" t="s">
        <v>31</v>
      </c>
      <c r="J13" s="139"/>
      <c r="L13" s="106">
        <v>12</v>
      </c>
      <c r="M13" s="106" t="s">
        <v>212</v>
      </c>
      <c r="N13" s="106">
        <v>1</v>
      </c>
      <c r="O13" s="130">
        <f>VLOOKUP(M13,[1]!ПрайсНаМатериалы,3)</f>
        <v>3788.4</v>
      </c>
      <c r="P13" s="202">
        <f t="shared" si="0"/>
        <v>3788.4</v>
      </c>
    </row>
    <row r="14" spans="2:17" x14ac:dyDescent="0.2">
      <c r="B14" s="140"/>
      <c r="C14" s="142"/>
      <c r="D14" s="142"/>
      <c r="E14" s="141" t="s">
        <v>32</v>
      </c>
      <c r="F14" s="141"/>
      <c r="G14" s="141"/>
      <c r="H14" s="143" t="s">
        <v>33</v>
      </c>
      <c r="I14" s="143" t="s">
        <v>33</v>
      </c>
      <c r="J14" s="139"/>
      <c r="L14" s="106">
        <v>13</v>
      </c>
      <c r="M14" s="106" t="s">
        <v>416</v>
      </c>
      <c r="N14" s="106">
        <v>1</v>
      </c>
      <c r="O14" s="130">
        <f>VLOOKUP(M14,[1]!ПрайсНаМатериалы,3)</f>
        <v>3788.4</v>
      </c>
      <c r="P14" s="202">
        <f>O14/N14</f>
        <v>3788.4</v>
      </c>
    </row>
    <row r="15" spans="2:17" ht="12.75" customHeight="1" x14ac:dyDescent="0.2">
      <c r="B15" s="144">
        <v>1</v>
      </c>
      <c r="C15" s="145">
        <v>2</v>
      </c>
      <c r="D15" s="145">
        <v>2</v>
      </c>
      <c r="E15" s="144">
        <v>3</v>
      </c>
      <c r="F15" s="144">
        <v>4</v>
      </c>
      <c r="G15" s="146">
        <v>5</v>
      </c>
      <c r="H15" s="144">
        <v>6</v>
      </c>
      <c r="I15" s="144">
        <v>7</v>
      </c>
      <c r="J15" s="139"/>
      <c r="L15" s="106">
        <v>14</v>
      </c>
      <c r="M15" s="106" t="s">
        <v>358</v>
      </c>
      <c r="N15" s="106">
        <v>1</v>
      </c>
      <c r="O15" s="130">
        <f>VLOOKUP(M15,[1]!ПрайсНаМатериалы,3)</f>
        <v>1897</v>
      </c>
      <c r="P15" s="202">
        <f t="shared" si="0"/>
        <v>1897</v>
      </c>
    </row>
    <row r="16" spans="2:17" x14ac:dyDescent="0.2">
      <c r="B16" s="147">
        <v>1</v>
      </c>
      <c r="C16" s="341" t="str">
        <f>VLOOKUP(D16,[1]!Всё,3)</f>
        <v>Аммиак водный</v>
      </c>
      <c r="D16" s="148" t="s">
        <v>34</v>
      </c>
      <c r="E16" s="149">
        <v>1110</v>
      </c>
      <c r="F16" s="365">
        <f>E16*0.001*Sзагм2*2*Квг</f>
        <v>2.9370600000000002</v>
      </c>
      <c r="G16" s="150" t="str">
        <f>VLOOKUP(D16,[1]!ПрайсНаМатериалы,2)</f>
        <v>кг</v>
      </c>
      <c r="H16" s="150">
        <f>VLOOKUP(D16,[1]!ПрайсНаМатериалы,3)</f>
        <v>53</v>
      </c>
      <c r="I16" s="151">
        <f t="shared" ref="I16:I24" si="1">F16*H16</f>
        <v>155.66418000000002</v>
      </c>
      <c r="L16" s="106">
        <v>15</v>
      </c>
      <c r="M16" s="106" t="s">
        <v>366</v>
      </c>
      <c r="N16" s="106">
        <v>1</v>
      </c>
      <c r="O16" s="130">
        <f>VLOOKUP(M16,[1]!ПрайсНаМатериалы,3)</f>
        <v>2300</v>
      </c>
      <c r="P16" s="202">
        <f t="shared" si="0"/>
        <v>2300</v>
      </c>
    </row>
    <row r="17" spans="2:16" x14ac:dyDescent="0.2">
      <c r="B17" s="147">
        <v>2</v>
      </c>
      <c r="C17" s="341" t="str">
        <f>VLOOKUP(D17,[1]!Всё,3)</f>
        <v>Аммоний надсернокислый</v>
      </c>
      <c r="D17" s="152" t="s">
        <v>35</v>
      </c>
      <c r="E17" s="153">
        <v>220</v>
      </c>
      <c r="F17" s="365">
        <f>E17*0.001*Sзагм2*2*Квг</f>
        <v>0.58212000000000008</v>
      </c>
      <c r="G17" s="150" t="str">
        <f>VLOOKUP(D17,[1]!ПрайсНаМатериалы,2)</f>
        <v>кг</v>
      </c>
      <c r="H17" s="150">
        <f>VLOOKUP(D17,[1]!ПрайсНаМатериалы,3)</f>
        <v>160</v>
      </c>
      <c r="I17" s="151">
        <f t="shared" si="1"/>
        <v>93.139200000000017</v>
      </c>
      <c r="K17" s="193"/>
      <c r="L17" s="106">
        <v>16</v>
      </c>
      <c r="M17" s="106" t="s">
        <v>213</v>
      </c>
      <c r="N17" s="106">
        <v>0.32</v>
      </c>
      <c r="O17" s="130">
        <f>VLOOKUP(M17,[1]!ПрайсНаМатериалы,3)</f>
        <v>435</v>
      </c>
      <c r="P17" s="202">
        <f t="shared" si="0"/>
        <v>1359.375</v>
      </c>
    </row>
    <row r="18" spans="2:16" x14ac:dyDescent="0.2">
      <c r="B18" s="147">
        <v>3</v>
      </c>
      <c r="C18" s="341" t="str">
        <f>VLOOKUP(D18,[1]!Всё,3)</f>
        <v>Аммоний хлористый</v>
      </c>
      <c r="D18" s="148" t="s">
        <v>36</v>
      </c>
      <c r="E18" s="154">
        <v>400</v>
      </c>
      <c r="F18" s="365">
        <f>E18*0.001*Sзагм2*2*Квг</f>
        <v>1.0584</v>
      </c>
      <c r="G18" s="150" t="str">
        <f>VLOOKUP(D18,[1]!ПрайсНаМатериалы,2)</f>
        <v>кг</v>
      </c>
      <c r="H18" s="150">
        <f>VLOOKUP(D18,[1]!ПрайсНаМатериалы,3)</f>
        <v>150</v>
      </c>
      <c r="I18" s="151">
        <f t="shared" si="1"/>
        <v>158.76</v>
      </c>
      <c r="L18" s="106">
        <v>17</v>
      </c>
      <c r="M18" s="106" t="s">
        <v>318</v>
      </c>
      <c r="N18" s="106">
        <v>1</v>
      </c>
      <c r="O18" s="130">
        <f>VLOOKUP(M18,[1]!ПрайсНаМатериалы,3)</f>
        <v>485</v>
      </c>
      <c r="P18" s="202">
        <f t="shared" si="0"/>
        <v>485</v>
      </c>
    </row>
    <row r="19" spans="2:16" x14ac:dyDescent="0.2">
      <c r="B19" s="147">
        <v>4</v>
      </c>
      <c r="C19" s="341" t="str">
        <f>VLOOKUP(D19,[1]!Всё,3)</f>
        <v>Аноды медные АМФ</v>
      </c>
      <c r="D19" s="148" t="s">
        <v>37</v>
      </c>
      <c r="E19" s="154">
        <v>150</v>
      </c>
      <c r="F19" s="365">
        <f>E19*0.001*Sзагм2*2*Квг</f>
        <v>0.39690000000000003</v>
      </c>
      <c r="G19" s="150" t="str">
        <f>VLOOKUP(D19,[1]!ПрайсНаМатериалы,2)</f>
        <v>кг</v>
      </c>
      <c r="H19" s="150">
        <f>VLOOKUP(D19,[1]!ПрайсНаМатериалы,3)</f>
        <v>818.62</v>
      </c>
      <c r="I19" s="151">
        <f t="shared" si="1"/>
        <v>324.91027800000001</v>
      </c>
      <c r="L19" s="106">
        <v>18</v>
      </c>
      <c r="M19" s="106" t="s">
        <v>444</v>
      </c>
      <c r="N19" s="106">
        <v>0.125</v>
      </c>
      <c r="O19" s="130">
        <f>VLOOKUP(M19,[1]!ПрайсНаМатериалы,3)</f>
        <v>1377</v>
      </c>
      <c r="P19" s="202">
        <f>O19/N19</f>
        <v>11016</v>
      </c>
    </row>
    <row r="20" spans="2:16" x14ac:dyDescent="0.2">
      <c r="B20" s="147">
        <v>5</v>
      </c>
      <c r="C20" s="341" t="str">
        <f>VLOOKUP(D20,[1]!Всё,3)</f>
        <v>Гетинакс -1 1.0мм</v>
      </c>
      <c r="D20" s="148" t="s">
        <v>418</v>
      </c>
      <c r="E20" s="134">
        <f>1.28*1.4/Заготовок_в_пакете</f>
        <v>1.7919999999999998</v>
      </c>
      <c r="F20" s="365">
        <f>E20*Sзагм2*Квг</f>
        <v>2.370816</v>
      </c>
      <c r="G20" s="150" t="str">
        <f>VLOOKUP(D20,[1]!ПрайсНаМатериалы,2)</f>
        <v>кг</v>
      </c>
      <c r="H20" s="150">
        <f>VLOOKUP(D20,[1]!ПрайсНаМатериалы,3)</f>
        <v>364</v>
      </c>
      <c r="I20" s="151">
        <f>F20*H20</f>
        <v>862.97702400000003</v>
      </c>
      <c r="L20" s="106">
        <v>19</v>
      </c>
      <c r="M20" s="106" t="s">
        <v>437</v>
      </c>
      <c r="N20" s="106">
        <v>0.125</v>
      </c>
      <c r="O20" s="130">
        <f>VLOOKUP(M20,[1]!ПрайсНаМатериалы,3)</f>
        <v>1377</v>
      </c>
      <c r="P20" s="202">
        <f t="shared" si="0"/>
        <v>11016</v>
      </c>
    </row>
    <row r="21" spans="2:16" x14ac:dyDescent="0.2">
      <c r="B21" s="147">
        <v>6</v>
      </c>
      <c r="C21" s="341" t="str">
        <f>VLOOKUP(D21,[1]!Всё,3)</f>
        <v>Гетинакс -1 1.5мм</v>
      </c>
      <c r="D21" s="148" t="s">
        <v>419</v>
      </c>
      <c r="E21" s="134">
        <f>0.64*2.16/Заготовок_в_пакете</f>
        <v>1.3824000000000001</v>
      </c>
      <c r="F21" s="365">
        <f>E21*Sзагм2*Квг</f>
        <v>1.8289152000000002</v>
      </c>
      <c r="G21" s="150" t="str">
        <f>VLOOKUP(D21,[1]!ПрайсНаМатериалы,2)</f>
        <v>кг</v>
      </c>
      <c r="H21" s="150">
        <f>VLOOKUP(D21,[1]!ПрайсНаМатериалы,3)</f>
        <v>328</v>
      </c>
      <c r="I21" s="151">
        <f t="shared" si="1"/>
        <v>599.88418560000002</v>
      </c>
      <c r="L21" s="106">
        <v>20</v>
      </c>
      <c r="M21" s="106" t="s">
        <v>214</v>
      </c>
      <c r="N21" s="106">
        <v>0.43478</v>
      </c>
      <c r="O21" s="130">
        <f>VLOOKUP(M21,[1]!ПрайсНаМатериалы,3)</f>
        <v>499</v>
      </c>
      <c r="P21" s="202">
        <f t="shared" si="0"/>
        <v>1147.7068862413175</v>
      </c>
    </row>
    <row r="22" spans="2:16" x14ac:dyDescent="0.2">
      <c r="B22" s="147">
        <v>7</v>
      </c>
      <c r="C22" s="341" t="str">
        <f>VLOOKUP(D22,[1]!Всё,3)</f>
        <v>Кислота борфтористоводородная</v>
      </c>
      <c r="D22" s="155" t="s">
        <v>38</v>
      </c>
      <c r="E22" s="156">
        <v>360</v>
      </c>
      <c r="F22" s="365">
        <f t="shared" ref="F22:F32" si="2">E22*0.001*Sзагм2*2*Квг</f>
        <v>0.95256000000000007</v>
      </c>
      <c r="G22" s="150" t="str">
        <f>VLOOKUP(D22,[1]!ПрайсНаМатериалы,2)</f>
        <v>кг</v>
      </c>
      <c r="H22" s="150">
        <f>VLOOKUP(D22,[1]!ПрайсНаМатериалы,3)</f>
        <v>246</v>
      </c>
      <c r="I22" s="151">
        <f t="shared" si="1"/>
        <v>234.32976000000002</v>
      </c>
      <c r="J22" s="157"/>
      <c r="L22" s="106">
        <v>21</v>
      </c>
      <c r="M22" s="106" t="s">
        <v>215</v>
      </c>
      <c r="N22" s="106">
        <v>0.31947999999999999</v>
      </c>
      <c r="O22" s="130">
        <f>VLOOKUP(M22,[1]!ПрайсНаМатериалы,3)</f>
        <v>819</v>
      </c>
      <c r="P22" s="202">
        <f t="shared" si="0"/>
        <v>2563.5407537248029</v>
      </c>
    </row>
    <row r="23" spans="2:16" x14ac:dyDescent="0.2">
      <c r="B23" s="147">
        <v>8</v>
      </c>
      <c r="C23" s="341" t="str">
        <f>VLOOKUP(D23,[1]!Всё,3)</f>
        <v>Кислота серная</v>
      </c>
      <c r="D23" s="148" t="s">
        <v>39</v>
      </c>
      <c r="E23" s="154">
        <v>1000</v>
      </c>
      <c r="F23" s="365">
        <f t="shared" si="2"/>
        <v>2.6460000000000004</v>
      </c>
      <c r="G23" s="150" t="str">
        <f>VLOOKUP(D23,[1]!ПрайсНаМатериалы,2)</f>
        <v>кг</v>
      </c>
      <c r="H23" s="150">
        <f>VLOOKUP(D23,[1]!ПрайсНаМатериалы,3)</f>
        <v>48</v>
      </c>
      <c r="I23" s="151">
        <f t="shared" si="1"/>
        <v>127.00800000000001</v>
      </c>
      <c r="J23" s="157"/>
      <c r="L23" s="106">
        <v>22</v>
      </c>
      <c r="M23" s="106" t="s">
        <v>216</v>
      </c>
      <c r="N23" s="106">
        <v>0.26178000000000001</v>
      </c>
      <c r="O23" s="130">
        <f>VLOOKUP(M23,[1]!ПрайсНаМатериалы,3)</f>
        <v>816</v>
      </c>
      <c r="P23" s="202">
        <f t="shared" si="0"/>
        <v>3117.1212468484987</v>
      </c>
    </row>
    <row r="24" spans="2:16" x14ac:dyDescent="0.2">
      <c r="B24" s="147">
        <v>9</v>
      </c>
      <c r="C24" s="341" t="str">
        <f>VLOOKUP(D24,[1]!Всё,3)</f>
        <v>Кислота соляная</v>
      </c>
      <c r="D24" s="158" t="s">
        <v>40</v>
      </c>
      <c r="E24" s="159">
        <v>220</v>
      </c>
      <c r="F24" s="365">
        <f t="shared" si="2"/>
        <v>0.58212000000000008</v>
      </c>
      <c r="G24" s="150" t="str">
        <f>VLOOKUP(D24,[1]!ПрайсНаМатериалы,2)</f>
        <v>кг</v>
      </c>
      <c r="H24" s="150">
        <f>VLOOKUP(D24,[1]!ПрайсНаМатериалы,3)</f>
        <v>46</v>
      </c>
      <c r="I24" s="151">
        <f t="shared" si="1"/>
        <v>26.777520000000003</v>
      </c>
      <c r="J24" s="157"/>
      <c r="L24" s="106">
        <v>23</v>
      </c>
      <c r="M24" s="106" t="s">
        <v>217</v>
      </c>
      <c r="N24" s="106">
        <v>0.41299999999999998</v>
      </c>
      <c r="O24" s="130">
        <f>VLOOKUP(M24,[1]!ПрайсНаМатериалы,3)</f>
        <v>922</v>
      </c>
      <c r="P24" s="202">
        <f t="shared" si="0"/>
        <v>2232.4455205811141</v>
      </c>
    </row>
    <row r="25" spans="2:16" x14ac:dyDescent="0.2">
      <c r="B25" s="147">
        <v>10</v>
      </c>
      <c r="C25" s="341" t="str">
        <f>VLOOKUP(D25,[1]!Всё,3)</f>
        <v>Медь сернокислая 5-водная</v>
      </c>
      <c r="D25" s="148" t="s">
        <v>41</v>
      </c>
      <c r="E25" s="154">
        <v>35</v>
      </c>
      <c r="F25" s="365">
        <f t="shared" si="2"/>
        <v>9.2610000000000026E-2</v>
      </c>
      <c r="G25" s="150" t="str">
        <f>VLOOKUP(D25,[1]!ПрайсНаМатериалы,2)</f>
        <v>кг</v>
      </c>
      <c r="H25" s="150">
        <f>VLOOKUP(D25,[1]!ПрайсНаМатериалы,3)</f>
        <v>320</v>
      </c>
      <c r="I25" s="151">
        <f t="shared" ref="I25:I63" si="3">F25*H25</f>
        <v>29.635200000000008</v>
      </c>
      <c r="J25" s="157"/>
      <c r="L25" s="106">
        <v>24</v>
      </c>
      <c r="M25" s="106" t="s">
        <v>350</v>
      </c>
      <c r="N25" s="106">
        <v>0.28699999999999998</v>
      </c>
      <c r="O25" s="130">
        <f>VLOOKUP(M25,[1]!ПрайсНаМатериалы,3)</f>
        <v>914</v>
      </c>
      <c r="P25" s="202">
        <f t="shared" si="0"/>
        <v>3184.6689895470386</v>
      </c>
    </row>
    <row r="26" spans="2:16" x14ac:dyDescent="0.2">
      <c r="B26" s="147">
        <v>11</v>
      </c>
      <c r="C26" s="341" t="str">
        <f>VLOOKUP(D26,[1]!Всё,3)</f>
        <v>Натрий надсернокислый</v>
      </c>
      <c r="D26" s="160" t="s">
        <v>42</v>
      </c>
      <c r="E26" s="141">
        <v>170</v>
      </c>
      <c r="F26" s="365">
        <f t="shared" si="2"/>
        <v>0.44982000000000005</v>
      </c>
      <c r="G26" s="150" t="str">
        <f>VLOOKUP(D26,[1]!ПрайсНаМатериалы,2)</f>
        <v>кг</v>
      </c>
      <c r="H26" s="150">
        <f>VLOOKUP(D26,[1]!ПрайсНаМатериалы,3)</f>
        <v>299</v>
      </c>
      <c r="I26" s="151">
        <f t="shared" si="3"/>
        <v>134.49618000000001</v>
      </c>
      <c r="J26" s="157"/>
      <c r="L26" s="106">
        <v>25</v>
      </c>
      <c r="M26" s="106" t="s">
        <v>218</v>
      </c>
      <c r="N26" s="106">
        <v>0.22700000000000001</v>
      </c>
      <c r="O26" s="130">
        <f>VLOOKUP(M26,[1]!ПрайсНаМатериалы,3)</f>
        <v>829</v>
      </c>
      <c r="P26" s="202">
        <f t="shared" si="0"/>
        <v>3651.9823788546255</v>
      </c>
    </row>
    <row r="27" spans="2:16" x14ac:dyDescent="0.2">
      <c r="B27" s="147">
        <v>12</v>
      </c>
      <c r="C27" s="341" t="str">
        <f>VLOOKUP(D27,[1]!Всё,3)</f>
        <v>Натрий углекислый</v>
      </c>
      <c r="D27" s="162" t="s">
        <v>43</v>
      </c>
      <c r="E27" s="147">
        <v>72</v>
      </c>
      <c r="F27" s="365">
        <f t="shared" si="2"/>
        <v>0.19051200000000001</v>
      </c>
      <c r="G27" s="150" t="str">
        <f>VLOOKUP(D27,[1]!ПрайсНаМатериалы,2)</f>
        <v>кг</v>
      </c>
      <c r="H27" s="150">
        <f>VLOOKUP(D27,[1]!ПрайсНаМатериалы,3)</f>
        <v>240</v>
      </c>
      <c r="I27" s="151">
        <f t="shared" si="3"/>
        <v>45.722880000000004</v>
      </c>
      <c r="J27" s="157"/>
      <c r="L27" s="106">
        <v>26</v>
      </c>
      <c r="M27" s="106" t="s">
        <v>219</v>
      </c>
      <c r="N27" s="106">
        <v>0.185</v>
      </c>
      <c r="O27" s="130">
        <f>VLOOKUP(M27,[1]!ПрайсНаМатериалы,3)</f>
        <v>839</v>
      </c>
      <c r="P27" s="202">
        <f t="shared" si="0"/>
        <v>4535.135135135135</v>
      </c>
    </row>
    <row r="28" spans="2:16" x14ac:dyDescent="0.2">
      <c r="B28" s="147">
        <v>13</v>
      </c>
      <c r="C28" s="341" t="str">
        <f>VLOOKUP(D28,[1]!Всё,3)</f>
        <v>Натрий гидроокись</v>
      </c>
      <c r="D28" s="162" t="s">
        <v>44</v>
      </c>
      <c r="E28" s="147">
        <v>150</v>
      </c>
      <c r="F28" s="365">
        <f t="shared" si="2"/>
        <v>0.39690000000000003</v>
      </c>
      <c r="G28" s="150" t="str">
        <f>VLOOKUP(D28,[1]!ПрайсНаМатериалы,2)</f>
        <v>кг</v>
      </c>
      <c r="H28" s="150">
        <f>VLOOKUP(D28,[1]!ПрайсНаМатериалы,3)</f>
        <v>160</v>
      </c>
      <c r="I28" s="151">
        <f t="shared" si="3"/>
        <v>63.504000000000005</v>
      </c>
      <c r="L28" s="106">
        <v>27</v>
      </c>
      <c r="M28" s="106" t="s">
        <v>220</v>
      </c>
      <c r="N28" s="106">
        <v>0.36099999999999999</v>
      </c>
      <c r="O28" s="130">
        <f>VLOOKUP(M28,[1]!ПрайсНаМатериалы,3)</f>
        <v>435</v>
      </c>
      <c r="P28" s="202">
        <f t="shared" si="0"/>
        <v>1204.9861495844875</v>
      </c>
    </row>
    <row r="29" spans="2:16" x14ac:dyDescent="0.2">
      <c r="B29" s="147">
        <v>14</v>
      </c>
      <c r="C29" s="341" t="str">
        <f>VLOOKUP(D29,[1]!Всё,3)</f>
        <v>Олово металлическое (аноды оловянные)</v>
      </c>
      <c r="D29" s="163" t="s">
        <v>45</v>
      </c>
      <c r="E29" s="138">
        <v>40</v>
      </c>
      <c r="F29" s="365">
        <f t="shared" si="2"/>
        <v>0.10584</v>
      </c>
      <c r="G29" s="150" t="str">
        <f>VLOOKUP(D29,[1]!ПрайсНаМатериалы,2)</f>
        <v>кг</v>
      </c>
      <c r="H29" s="150">
        <f>VLOOKUP(D29,[1]!ПрайсНаМатериалы,3)</f>
        <v>1981</v>
      </c>
      <c r="I29" s="151">
        <f t="shared" si="3"/>
        <v>209.66904</v>
      </c>
      <c r="L29" s="106">
        <v>28</v>
      </c>
      <c r="M29" s="106" t="s">
        <v>221</v>
      </c>
      <c r="N29" s="106">
        <v>0.25</v>
      </c>
      <c r="O29" s="130">
        <f>VLOOKUP(M29,[1]!ПрайсНаМатериалы,3)</f>
        <v>951</v>
      </c>
      <c r="P29" s="202">
        <f t="shared" si="0"/>
        <v>3804</v>
      </c>
    </row>
    <row r="30" spans="2:16" x14ac:dyDescent="0.2">
      <c r="B30" s="147">
        <v>15</v>
      </c>
      <c r="C30" s="341" t="str">
        <f>VLOOKUP(D30,[1]!Всё,3)</f>
        <v>Олово сернокислое (олова сульфат)</v>
      </c>
      <c r="D30" s="162" t="s">
        <v>46</v>
      </c>
      <c r="E30" s="147">
        <v>3</v>
      </c>
      <c r="F30" s="365">
        <f t="shared" si="2"/>
        <v>7.9380000000000006E-3</v>
      </c>
      <c r="G30" s="150" t="str">
        <f>VLOOKUP(D30,[1]!ПрайсНаМатериалы,2)</f>
        <v>кг</v>
      </c>
      <c r="H30" s="150">
        <f>VLOOKUP(D30,[1]!ПрайсНаМатериалы,3)</f>
        <v>2312.69</v>
      </c>
      <c r="I30" s="151">
        <f t="shared" si="3"/>
        <v>18.358133220000003</v>
      </c>
      <c r="L30" s="106">
        <v>29</v>
      </c>
      <c r="M30" s="106" t="s">
        <v>222</v>
      </c>
      <c r="N30" s="106">
        <v>0.22</v>
      </c>
      <c r="O30" s="130">
        <f>VLOOKUP(M30,[1]!ПрайсНаМатериалы,3)</f>
        <v>896</v>
      </c>
      <c r="P30" s="202">
        <f t="shared" si="0"/>
        <v>4072.7272727272725</v>
      </c>
    </row>
    <row r="31" spans="2:16" x14ac:dyDescent="0.2">
      <c r="B31" s="147">
        <v>16</v>
      </c>
      <c r="C31" s="341" t="str">
        <f>VLOOKUP(D31,[1]!Всё,3)</f>
        <v>Пеногаситель</v>
      </c>
      <c r="D31" s="162" t="s">
        <v>47</v>
      </c>
      <c r="E31" s="147">
        <v>15</v>
      </c>
      <c r="F31" s="365">
        <f t="shared" si="2"/>
        <v>3.9690000000000003E-2</v>
      </c>
      <c r="G31" s="150" t="str">
        <f>VLOOKUP(D31,[1]!ПрайсНаМатериалы,2)</f>
        <v>кг</v>
      </c>
      <c r="H31" s="150">
        <f>VLOOKUP(D31,[1]!ПрайсНаМатериалы,3)</f>
        <v>1115.8900000000001</v>
      </c>
      <c r="I31" s="151">
        <f t="shared" si="3"/>
        <v>44.289674100000006</v>
      </c>
      <c r="L31" s="106">
        <v>30</v>
      </c>
      <c r="M31" s="106" t="s">
        <v>223</v>
      </c>
      <c r="N31" s="106">
        <v>1.8109999999999999</v>
      </c>
      <c r="O31" s="130">
        <f>VLOOKUP(M31,[1]!ПрайсНаМатериалы,3)</f>
        <v>1590</v>
      </c>
      <c r="P31" s="202">
        <f t="shared" si="0"/>
        <v>877.96797349530652</v>
      </c>
    </row>
    <row r="32" spans="2:16" x14ac:dyDescent="0.2">
      <c r="B32" s="147">
        <v>17</v>
      </c>
      <c r="C32" s="341" t="str">
        <f>VLOOKUP(D32,[1]!Всё,3)</f>
        <v>Перекись водорода</v>
      </c>
      <c r="D32" s="162" t="s">
        <v>48</v>
      </c>
      <c r="E32" s="147">
        <v>300</v>
      </c>
      <c r="F32" s="365">
        <f t="shared" si="2"/>
        <v>0.79380000000000006</v>
      </c>
      <c r="G32" s="150" t="str">
        <f>VLOOKUP(D32,[1]!ПрайсНаМатериалы,2)</f>
        <v>кг</v>
      </c>
      <c r="H32" s="150">
        <f>VLOOKUP(D32,[1]!ПрайсНаМатериалы,3)</f>
        <v>82</v>
      </c>
      <c r="I32" s="151">
        <f t="shared" si="3"/>
        <v>65.0916</v>
      </c>
      <c r="L32" s="106">
        <v>31</v>
      </c>
      <c r="M32" s="106" t="s">
        <v>224</v>
      </c>
      <c r="N32" s="106">
        <v>1.46</v>
      </c>
      <c r="O32" s="130">
        <f>VLOOKUP(M32,[1]!ПрайсНаМатериалы,3)</f>
        <v>1305</v>
      </c>
      <c r="P32" s="202">
        <f t="shared" si="0"/>
        <v>893.83561643835617</v>
      </c>
    </row>
    <row r="33" spans="2:20" x14ac:dyDescent="0.2">
      <c r="B33" s="147">
        <v>18</v>
      </c>
      <c r="C33" s="341" t="str">
        <f>VLOOKUP(D33,[1]!Всё,3)</f>
        <v>Припой ПОС-61</v>
      </c>
      <c r="D33" s="162" t="s">
        <v>49</v>
      </c>
      <c r="E33" s="164">
        <v>75</v>
      </c>
      <c r="F33" s="365">
        <f>E33*0.001*Sзагм2*2*(1-SIGN(Sи))*Квг</f>
        <v>0.19845000000000002</v>
      </c>
      <c r="G33" s="150" t="str">
        <f>VLOOKUP(D33,[1]!ПрайсНаМатериалы,2)</f>
        <v>кг</v>
      </c>
      <c r="H33" s="150">
        <f>VLOOKUP(D33,[1]!ПрайсНаМатериалы,3)</f>
        <v>1397</v>
      </c>
      <c r="I33" s="151">
        <f t="shared" si="3"/>
        <v>277.23465000000004</v>
      </c>
      <c r="L33" s="106">
        <v>32</v>
      </c>
      <c r="M33" s="106" t="s">
        <v>225</v>
      </c>
      <c r="N33" s="106">
        <v>1.8149999999999999</v>
      </c>
      <c r="O33" s="130">
        <f>VLOOKUP(M33,[1]!ПрайсНаМатериалы,3)</f>
        <v>2640</v>
      </c>
      <c r="P33" s="202">
        <f t="shared" si="0"/>
        <v>1454.5454545454545</v>
      </c>
    </row>
    <row r="34" spans="2:20" x14ac:dyDescent="0.2">
      <c r="B34" s="147">
        <v>19</v>
      </c>
      <c r="C34" s="341" t="str">
        <f>VLOOKUP(D34,[1]!Всё,3)</f>
        <v>Состав для удаления олова</v>
      </c>
      <c r="D34" s="166" t="s">
        <v>50</v>
      </c>
      <c r="E34" s="154">
        <v>620</v>
      </c>
      <c r="F34" s="365">
        <f>E34*0.001*Sзагм2*2*Квг</f>
        <v>1.64052</v>
      </c>
      <c r="G34" s="150" t="str">
        <f>VLOOKUP(D34,[1]!ПрайсНаМатериалы,2)</f>
        <v>кг</v>
      </c>
      <c r="H34" s="150">
        <f>VLOOKUP(D34,[1]!ПрайсНаМатериалы,3)</f>
        <v>241.53</v>
      </c>
      <c r="I34" s="151">
        <f t="shared" si="3"/>
        <v>396.23479559999998</v>
      </c>
      <c r="L34" s="106">
        <v>33</v>
      </c>
      <c r="M34" s="106" t="s">
        <v>226</v>
      </c>
      <c r="N34" s="106">
        <v>1.8149999999999999</v>
      </c>
      <c r="O34" s="130">
        <f>VLOOKUP(M34,[1]!ПрайсНаМатериалы,3)</f>
        <v>2070</v>
      </c>
      <c r="P34" s="202">
        <f t="shared" si="0"/>
        <v>1140.495867768595</v>
      </c>
    </row>
    <row r="35" spans="2:20" x14ac:dyDescent="0.2">
      <c r="B35" s="147">
        <v>20</v>
      </c>
      <c r="C35" s="341" t="str">
        <f>VLOOKUP(D35,[1]!Всё,3)</f>
        <v>Сода кальцинированная</v>
      </c>
      <c r="D35" s="166" t="s">
        <v>51</v>
      </c>
      <c r="E35" s="154">
        <v>200</v>
      </c>
      <c r="F35" s="365">
        <f>E35*0.001*Sзагм2*2*Квг</f>
        <v>0.5292</v>
      </c>
      <c r="G35" s="150" t="str">
        <f>VLOOKUP(D35,[1]!ПрайсНаМатериалы,2)</f>
        <v>кг</v>
      </c>
      <c r="H35" s="150">
        <f>VLOOKUP(D35,[1]!ПрайсНаМатериалы,3)</f>
        <v>36</v>
      </c>
      <c r="I35" s="151">
        <f t="shared" si="3"/>
        <v>19.051200000000001</v>
      </c>
      <c r="J35" s="139"/>
      <c r="L35" s="106">
        <v>34</v>
      </c>
      <c r="M35" s="106" t="s">
        <v>227</v>
      </c>
      <c r="N35" s="106">
        <v>1.462</v>
      </c>
      <c r="O35" s="130">
        <f>VLOOKUP(M35,[1]!ПрайсНаМатериалы,3)</f>
        <v>3038.92</v>
      </c>
      <c r="P35" s="202">
        <f t="shared" ref="P35:P88" si="4">O35/N35</f>
        <v>2078.604651162791</v>
      </c>
    </row>
    <row r="36" spans="2:20" x14ac:dyDescent="0.2">
      <c r="B36" s="147">
        <v>21</v>
      </c>
      <c r="C36" s="341" t="str">
        <f>VLOOKUP(D36,[1]!Всё,3)</f>
        <v>Стеклотекстолит фольгированный DE104 18/18-1.5</v>
      </c>
      <c r="D36" s="148" t="str">
        <f>VLOOKUP(базмат,Выбор_материалов,2)</f>
        <v>Стеклотекстолит фольг. DE 104 18/18-1.5</v>
      </c>
      <c r="E36" s="250">
        <f>IF(ISERROR(1.28/VLOOKUP(D36,[1]!ПрайсНаМатериалы,2)),1.28,1.28/VLOOKUP(D36,[1]!ПрайсНаМатериалы,2))</f>
        <v>1.28</v>
      </c>
      <c r="F36" s="365">
        <f>E36*Sзагм2*Квг</f>
        <v>1.6934400000000001</v>
      </c>
      <c r="G36" s="150" t="str">
        <f>VLOOKUP(D36,[1]!ПрайсНаМатериалы,2)</f>
        <v>м2</v>
      </c>
      <c r="H36" s="150">
        <f>VLOOKUP(D36,[1]!ПрайсНаМатериалы,3)</f>
        <v>2369.36</v>
      </c>
      <c r="I36" s="151">
        <f t="shared" si="3"/>
        <v>4012.3689984000002</v>
      </c>
      <c r="J36" s="139"/>
      <c r="L36" s="106">
        <v>35</v>
      </c>
      <c r="M36" s="106" t="s">
        <v>228</v>
      </c>
      <c r="N36" s="106">
        <v>1.462</v>
      </c>
      <c r="O36" s="130">
        <f>VLOOKUP(M36,[1]!ПрайсНаМатериалы,3)</f>
        <v>1815</v>
      </c>
      <c r="P36" s="202">
        <f t="shared" si="4"/>
        <v>1241.4500683994529</v>
      </c>
    </row>
    <row r="37" spans="2:20" ht="13.15" customHeight="1" x14ac:dyDescent="0.2">
      <c r="B37" s="147">
        <v>22</v>
      </c>
      <c r="C37" s="341" t="str">
        <f>VLOOKUP(D37,[1]!Всё,3)</f>
        <v>Тринатрийфосфат</v>
      </c>
      <c r="D37" s="168" t="s">
        <v>52</v>
      </c>
      <c r="E37" s="154">
        <v>140</v>
      </c>
      <c r="F37" s="365">
        <f>E37*0.001*Sзагм2*2*Квг</f>
        <v>0.3704400000000001</v>
      </c>
      <c r="G37" s="150" t="str">
        <f>VLOOKUP(D37,[1]!ПрайсНаМатериалы,2)</f>
        <v>кг</v>
      </c>
      <c r="H37" s="150">
        <f>VLOOKUP(D37,[1]!ПрайсНаМатериалы,3)</f>
        <v>88.8</v>
      </c>
      <c r="I37" s="151">
        <f t="shared" si="3"/>
        <v>32.895072000000006</v>
      </c>
      <c r="J37" s="139"/>
      <c r="L37" s="106">
        <v>36</v>
      </c>
      <c r="M37" s="106" t="s">
        <v>319</v>
      </c>
      <c r="N37" s="106">
        <v>1</v>
      </c>
      <c r="O37" s="130">
        <f>VLOOKUP(M37,[1]!ПрайсНаМатериалы,3)</f>
        <v>1860</v>
      </c>
      <c r="P37" s="202">
        <f t="shared" si="4"/>
        <v>1860</v>
      </c>
      <c r="R37" s="431"/>
      <c r="S37" s="431"/>
      <c r="T37" s="431"/>
    </row>
    <row r="38" spans="2:20" ht="12" x14ac:dyDescent="0.2">
      <c r="B38" s="147">
        <v>23</v>
      </c>
      <c r="C38" s="341" t="str">
        <f>VLOOKUP(D38,[1]!Всё,3)</f>
        <v>Флюс</v>
      </c>
      <c r="D38" s="166" t="s">
        <v>195</v>
      </c>
      <c r="E38" s="200">
        <v>50</v>
      </c>
      <c r="F38" s="365">
        <f>E38*0.001*Sзагм2*2*(1-SIGN(Sи))*Квг</f>
        <v>0.1323</v>
      </c>
      <c r="G38" s="150" t="str">
        <f>VLOOKUP(D38,[1]!ПрайсНаМатериалы,2)</f>
        <v>кг</v>
      </c>
      <c r="H38" s="150">
        <f>VLOOKUP(D38,[1]!ПрайсНаМатериалы,3)</f>
        <v>609.95000000000005</v>
      </c>
      <c r="I38" s="151">
        <f t="shared" si="3"/>
        <v>80.696385000000006</v>
      </c>
      <c r="J38" s="139"/>
      <c r="L38" s="106">
        <v>37</v>
      </c>
      <c r="M38" s="106" t="s">
        <v>361</v>
      </c>
      <c r="N38" s="106">
        <v>1</v>
      </c>
      <c r="O38" s="130">
        <f>VLOOKUP(M38,[1]!ПрайсНаМатериалы,3)</f>
        <v>1840</v>
      </c>
      <c r="P38" s="202">
        <f t="shared" si="4"/>
        <v>1840</v>
      </c>
      <c r="R38" s="431"/>
      <c r="S38" s="431"/>
      <c r="T38" s="431"/>
    </row>
    <row r="39" spans="2:20" x14ac:dyDescent="0.2">
      <c r="B39" s="147">
        <v>24</v>
      </c>
      <c r="C39" s="341" t="str">
        <f>VLOOKUP(D39,[1]!Всё,3)</f>
        <v>Фоторезист сухой пленочный 50 мкм</v>
      </c>
      <c r="D39" s="168" t="s">
        <v>414</v>
      </c>
      <c r="E39" s="134">
        <v>1.25</v>
      </c>
      <c r="F39" s="365">
        <f>E39*Sзагм2*2*Квг</f>
        <v>3.3075000000000001</v>
      </c>
      <c r="G39" s="150" t="str">
        <f>VLOOKUP(D39,[1]!ПрайсНаМатериалы,2)</f>
        <v>м2</v>
      </c>
      <c r="H39" s="150">
        <f>VLOOKUP(D39,[1]!ПрайсНаМатериалы,3)</f>
        <v>211.8</v>
      </c>
      <c r="I39" s="151">
        <f t="shared" si="3"/>
        <v>700.52850000000001</v>
      </c>
      <c r="L39" s="106">
        <v>38</v>
      </c>
      <c r="M39" s="106" t="s">
        <v>229</v>
      </c>
      <c r="N39" s="106">
        <v>1.167</v>
      </c>
      <c r="O39" s="130">
        <f>VLOOKUP(M39,[1]!ПрайсНаМатериалы,3)</f>
        <v>2690</v>
      </c>
      <c r="P39" s="202">
        <f t="shared" si="4"/>
        <v>2305.0556983718939</v>
      </c>
      <c r="R39" s="431"/>
      <c r="S39" s="431"/>
      <c r="T39" s="431"/>
    </row>
    <row r="40" spans="2:20" x14ac:dyDescent="0.2">
      <c r="B40" s="147">
        <v>25</v>
      </c>
      <c r="C40" s="341" t="str">
        <f>VLOOKUP(D40,[1]!Всё,3)</f>
        <v>Добавка NOVIGANTH HC ADDITIVE</v>
      </c>
      <c r="D40" s="194" t="s">
        <v>53</v>
      </c>
      <c r="E40" s="154">
        <v>175</v>
      </c>
      <c r="F40" s="365">
        <f t="shared" ref="F40:F51" si="5">E40*0.001*Sзагм2*2*Квг</f>
        <v>0.46305000000000007</v>
      </c>
      <c r="G40" s="150" t="str">
        <f>VLOOKUP(D40,[1]!ПрайсНаМатериалы,2)</f>
        <v>кг</v>
      </c>
      <c r="H40" s="150">
        <f>VLOOKUP(D40,[1]!ПрайсНаМатериалы,3)</f>
        <v>1495.95</v>
      </c>
      <c r="I40" s="151">
        <f t="shared" si="3"/>
        <v>692.69964750000008</v>
      </c>
      <c r="L40" s="106">
        <v>39</v>
      </c>
      <c r="M40" s="106" t="s">
        <v>230</v>
      </c>
      <c r="N40" s="106">
        <v>1.462</v>
      </c>
      <c r="O40" s="130">
        <f>VLOOKUP(M40,[1]!ПрайсНаМатериалы,3)</f>
        <v>2000</v>
      </c>
      <c r="P40" s="202">
        <f t="shared" si="4"/>
        <v>1367.9890560875513</v>
      </c>
    </row>
    <row r="41" spans="2:20" x14ac:dyDescent="0.2">
      <c r="B41" s="147">
        <v>26</v>
      </c>
      <c r="C41" s="341" t="str">
        <f>VLOOKUP(D41,[1]!Всё,3)</f>
        <v>Очиститель SECURIGANTH 902 CLEANER</v>
      </c>
      <c r="D41" s="191" t="s">
        <v>455</v>
      </c>
      <c r="E41" s="169">
        <v>45</v>
      </c>
      <c r="F41" s="365">
        <f t="shared" si="5"/>
        <v>0.11907000000000001</v>
      </c>
      <c r="G41" s="150" t="str">
        <f>VLOOKUP(D41,[1]!ПрайсНаМатериалы,2)</f>
        <v>кг</v>
      </c>
      <c r="H41" s="150">
        <f>VLOOKUP(D41,[1]!ПрайсНаМатериалы,3)</f>
        <v>1131.17</v>
      </c>
      <c r="I41" s="151">
        <f t="shared" si="3"/>
        <v>134.68841190000001</v>
      </c>
      <c r="L41" s="106">
        <v>40</v>
      </c>
      <c r="M41" s="106" t="s">
        <v>231</v>
      </c>
      <c r="N41" s="106">
        <v>1.462</v>
      </c>
      <c r="O41" s="130">
        <f>VLOOKUP(M41,[1]!ПрайсНаМатериалы,3)</f>
        <v>1114</v>
      </c>
      <c r="P41" s="202">
        <f t="shared" si="4"/>
        <v>761.96990424076614</v>
      </c>
    </row>
    <row r="42" spans="2:20" x14ac:dyDescent="0.2">
      <c r="B42" s="147">
        <v>27</v>
      </c>
      <c r="C42" s="341" t="str">
        <f>VLOOKUP(D42,[1]!Всё,3)</f>
        <v>Восстановитель меди CU-REDUCTION SOLUTION</v>
      </c>
      <c r="D42" s="168" t="s">
        <v>54</v>
      </c>
      <c r="E42" s="154">
        <v>190</v>
      </c>
      <c r="F42" s="365">
        <f t="shared" si="5"/>
        <v>0.50274000000000008</v>
      </c>
      <c r="G42" s="150" t="str">
        <f>VLOOKUP(D42,[1]!ПрайсНаМатериалы,2)</f>
        <v>кг</v>
      </c>
      <c r="H42" s="150">
        <f>VLOOKUP(D42,[1]!ПрайсНаМатериалы,3)</f>
        <v>254.56</v>
      </c>
      <c r="I42" s="151">
        <f t="shared" si="3"/>
        <v>127.97749440000003</v>
      </c>
      <c r="L42" s="106">
        <v>41</v>
      </c>
      <c r="M42" s="106" t="s">
        <v>232</v>
      </c>
      <c r="N42" s="106">
        <v>0.187</v>
      </c>
      <c r="O42" s="130">
        <f>VLOOKUP(M42,[1]!ПрайсНаМатериалы,3)</f>
        <v>435</v>
      </c>
      <c r="P42" s="202">
        <f t="shared" si="4"/>
        <v>2326.2032085561495</v>
      </c>
    </row>
    <row r="43" spans="2:20" x14ac:dyDescent="0.2">
      <c r="B43" s="147">
        <v>28</v>
      </c>
      <c r="C43" s="341" t="str">
        <f>VLOOKUP(D43,[1]!Всё,3)</f>
        <v>Стабилизатор NOVIGANTH HC STABILIZER</v>
      </c>
      <c r="D43" s="168" t="s">
        <v>55</v>
      </c>
      <c r="E43" s="170">
        <v>5</v>
      </c>
      <c r="F43" s="365">
        <f t="shared" si="5"/>
        <v>1.323E-2</v>
      </c>
      <c r="G43" s="150" t="str">
        <f>VLOOKUP(D43,[1]!ПрайсНаМатериалы,2)</f>
        <v>кг</v>
      </c>
      <c r="H43" s="150">
        <f>VLOOKUP(D43,[1]!ПрайсНаМатериалы,3)</f>
        <v>2499.88</v>
      </c>
      <c r="I43" s="151">
        <f t="shared" si="3"/>
        <v>33.073412400000002</v>
      </c>
      <c r="L43" s="106">
        <v>42</v>
      </c>
      <c r="M43" s="106" t="s">
        <v>233</v>
      </c>
      <c r="N43" s="106">
        <v>0.158</v>
      </c>
      <c r="O43" s="130">
        <f>VLOOKUP(M43,[1]!ПрайсНаМатериалы,3)</f>
        <v>398</v>
      </c>
      <c r="P43" s="202">
        <f t="shared" si="4"/>
        <v>2518.9873417721519</v>
      </c>
    </row>
    <row r="44" spans="2:20" x14ac:dyDescent="0.2">
      <c r="B44" s="147">
        <v>29</v>
      </c>
      <c r="C44" s="341" t="str">
        <f>VLOOKUP(D44,[1]!Всё,3)</f>
        <v>Состав для приготовления NOVIGANTH HC MAKE-UP</v>
      </c>
      <c r="D44" s="168" t="s">
        <v>56</v>
      </c>
      <c r="E44" s="170">
        <v>7</v>
      </c>
      <c r="F44" s="365">
        <f t="shared" si="5"/>
        <v>1.8522E-2</v>
      </c>
      <c r="G44" s="150" t="str">
        <f>VLOOKUP(D44,[1]!ПрайсНаМатериалы,2)</f>
        <v>кг</v>
      </c>
      <c r="H44" s="150">
        <f>VLOOKUP(D44,[1]!ПрайсНаМатериалы,3)</f>
        <v>1121.22</v>
      </c>
      <c r="I44" s="151">
        <f t="shared" si="3"/>
        <v>20.767236840000002</v>
      </c>
      <c r="L44" s="106">
        <v>43</v>
      </c>
      <c r="M44" s="106" t="s">
        <v>234</v>
      </c>
      <c r="N44" s="106">
        <v>0.214</v>
      </c>
      <c r="O44" s="130">
        <f>VLOOKUP(M44,[1]!ПрайсНаМатериалы,3)</f>
        <v>413</v>
      </c>
      <c r="P44" s="202">
        <f t="shared" si="4"/>
        <v>1929.9065420560748</v>
      </c>
    </row>
    <row r="45" spans="2:20" x14ac:dyDescent="0.2">
      <c r="B45" s="147">
        <v>30</v>
      </c>
      <c r="C45" s="341" t="str">
        <f>VLOOKUP(D45,[1]!Всё,3)</f>
        <v>Предактиватор NEOGANTH LS PRE DIP</v>
      </c>
      <c r="D45" s="168" t="s">
        <v>357</v>
      </c>
      <c r="E45" s="170">
        <v>7</v>
      </c>
      <c r="F45" s="365">
        <f t="shared" si="5"/>
        <v>1.8522E-2</v>
      </c>
      <c r="G45" s="150" t="str">
        <f>VLOOKUP(D45,[1]!ПрайсНаМатериалы,2)</f>
        <v>кг</v>
      </c>
      <c r="H45" s="150">
        <f>VLOOKUP(D45,[1]!ПрайсНаМатериалы,3)</f>
        <v>367</v>
      </c>
      <c r="I45" s="151">
        <f t="shared" si="3"/>
        <v>6.797574</v>
      </c>
      <c r="L45" s="106">
        <v>44</v>
      </c>
      <c r="M45" s="106" t="s">
        <v>235</v>
      </c>
      <c r="N45" s="106">
        <v>1</v>
      </c>
      <c r="O45" s="130">
        <f>VLOOKUP(M45,[1]!ПрайсНаМатериалы,3)</f>
        <v>449</v>
      </c>
      <c r="P45" s="202">
        <f t="shared" si="4"/>
        <v>449</v>
      </c>
    </row>
    <row r="46" spans="2:20" x14ac:dyDescent="0.2">
      <c r="B46" s="147">
        <v>31</v>
      </c>
      <c r="C46" s="341" t="str">
        <f>VLOOKUP(D46,[1]!Всё,3)</f>
        <v>Активатор NEOGANTH LS ACTIVATOR PLUS</v>
      </c>
      <c r="D46" s="168" t="s">
        <v>347</v>
      </c>
      <c r="E46" s="170">
        <v>16</v>
      </c>
      <c r="F46" s="365">
        <f t="shared" si="5"/>
        <v>4.2336000000000006E-2</v>
      </c>
      <c r="G46" s="150" t="str">
        <f>VLOOKUP(D46,[1]!ПрайсНаМатериалы,2)</f>
        <v>кг</v>
      </c>
      <c r="H46" s="150">
        <f>VLOOKUP(D46,[1]!ПрайсНаМатериалы,3)</f>
        <v>6372.89</v>
      </c>
      <c r="I46" s="151">
        <f t="shared" si="3"/>
        <v>269.80267104000006</v>
      </c>
      <c r="L46" s="106">
        <v>45</v>
      </c>
      <c r="M46" s="106" t="s">
        <v>365</v>
      </c>
      <c r="N46" s="106">
        <v>1</v>
      </c>
      <c r="O46" s="130">
        <f>VLOOKUP(M46,[1]!ПрайсНаМатериалы,3)</f>
        <v>45430</v>
      </c>
      <c r="P46" s="202">
        <f t="shared" si="4"/>
        <v>45430</v>
      </c>
    </row>
    <row r="47" spans="2:20" x14ac:dyDescent="0.2">
      <c r="B47" s="147">
        <v>32</v>
      </c>
      <c r="C47" s="341" t="str">
        <f>VLOOKUP(D47,[1]!Всё,3)</f>
        <v>Восстановитель NEOGANTH LS REDUCER</v>
      </c>
      <c r="D47" s="168" t="s">
        <v>349</v>
      </c>
      <c r="E47" s="170">
        <v>18</v>
      </c>
      <c r="F47" s="365">
        <f t="shared" si="5"/>
        <v>4.7628000000000004E-2</v>
      </c>
      <c r="G47" s="150" t="str">
        <f>VLOOKUP(D47,[1]!ПрайсНаМатериалы,2)</f>
        <v>кг</v>
      </c>
      <c r="H47" s="150">
        <f>VLOOKUP(D47,[1]!ПрайсНаМатериалы,3)</f>
        <v>3129.96</v>
      </c>
      <c r="I47" s="151">
        <f t="shared" si="3"/>
        <v>149.07373488000002</v>
      </c>
      <c r="L47" s="106">
        <v>46</v>
      </c>
      <c r="N47" s="106">
        <v>1</v>
      </c>
      <c r="O47" s="130" t="e">
        <f>VLOOKUP(M47,[1]!ПрайсНаМатериалы,3)</f>
        <v>#N/A</v>
      </c>
      <c r="P47" s="202" t="e">
        <f t="shared" si="4"/>
        <v>#N/A</v>
      </c>
    </row>
    <row r="48" spans="2:20" x14ac:dyDescent="0.2">
      <c r="B48" s="147">
        <v>33</v>
      </c>
      <c r="C48" s="341" t="str">
        <f>VLOOKUP(D48,[1]!Всё,3)</f>
        <v>Кислота борная</v>
      </c>
      <c r="D48" s="168" t="s">
        <v>348</v>
      </c>
      <c r="E48" s="170">
        <v>8</v>
      </c>
      <c r="F48" s="365">
        <f t="shared" si="5"/>
        <v>2.1168000000000003E-2</v>
      </c>
      <c r="G48" s="150" t="str">
        <f>VLOOKUP(D48,[1]!ПрайсНаМатериалы,2)</f>
        <v>кг</v>
      </c>
      <c r="H48" s="150">
        <f>VLOOKUP(D48,[1]!ПрайсНаМатериалы,3)</f>
        <v>198</v>
      </c>
      <c r="I48" s="151">
        <f t="shared" si="3"/>
        <v>4.1912640000000003</v>
      </c>
      <c r="L48" s="106">
        <v>47</v>
      </c>
      <c r="N48" s="106">
        <v>1</v>
      </c>
      <c r="O48" s="130" t="e">
        <f>VLOOKUP(M48,[1]!ПрайсНаМатериалы,3)</f>
        <v>#N/A</v>
      </c>
      <c r="P48" s="202" t="e">
        <f t="shared" si="4"/>
        <v>#N/A</v>
      </c>
    </row>
    <row r="49" spans="2:16" x14ac:dyDescent="0.2">
      <c r="B49" s="147">
        <v>34</v>
      </c>
      <c r="C49" s="341" t="str">
        <f>VLOOKUP(D49,[1]!Всё,3)</f>
        <v>Состав для гальванизации CUPROSTAR LP-1</v>
      </c>
      <c r="D49" s="168" t="s">
        <v>57</v>
      </c>
      <c r="E49" s="154">
        <v>23</v>
      </c>
      <c r="F49" s="365">
        <f t="shared" si="5"/>
        <v>6.0858000000000002E-2</v>
      </c>
      <c r="G49" s="150" t="str">
        <f>VLOOKUP(D49,[1]!ПрайсНаМатериалы,2)</f>
        <v>кг</v>
      </c>
      <c r="H49" s="150">
        <f>VLOOKUP(D49,[1]!ПрайсНаМатериалы,3)</f>
        <v>7389.74</v>
      </c>
      <c r="I49" s="151">
        <f t="shared" si="3"/>
        <v>449.72479692000002</v>
      </c>
      <c r="L49" s="106">
        <v>48</v>
      </c>
      <c r="N49" s="106">
        <v>1</v>
      </c>
      <c r="O49" s="130" t="e">
        <f>VLOOKUP(M49,[1]!ПрайсНаМатериалы,3)</f>
        <v>#N/A</v>
      </c>
      <c r="P49" s="202" t="e">
        <f t="shared" si="4"/>
        <v>#N/A</v>
      </c>
    </row>
    <row r="50" spans="2:16" x14ac:dyDescent="0.2">
      <c r="B50" s="147">
        <v>35</v>
      </c>
      <c r="C50" s="341" t="str">
        <f>VLOOKUP(D50,[1]!Всё,3)</f>
        <v>Добавка STH ADDITIVE</v>
      </c>
      <c r="D50" s="299" t="s">
        <v>311</v>
      </c>
      <c r="E50" s="154">
        <v>2</v>
      </c>
      <c r="F50" s="365">
        <f t="shared" si="5"/>
        <v>5.2920000000000007E-3</v>
      </c>
      <c r="G50" s="150" t="str">
        <f>VLOOKUP(D50,[1]!ПрайсНаМатериалы,2)</f>
        <v>кг</v>
      </c>
      <c r="H50" s="150">
        <f>VLOOKUP(D50,[1]!ПрайсНаМатериалы,3)</f>
        <v>984.12</v>
      </c>
      <c r="I50" s="151">
        <f>F50*H50</f>
        <v>5.207963040000001</v>
      </c>
      <c r="L50" s="106">
        <v>49</v>
      </c>
      <c r="N50" s="106">
        <v>1</v>
      </c>
      <c r="O50" s="130" t="e">
        <f>VLOOKUP(M50,[1]!ПрайсНаМатериалы,3)</f>
        <v>#N/A</v>
      </c>
      <c r="P50" s="202" t="e">
        <f t="shared" si="4"/>
        <v>#N/A</v>
      </c>
    </row>
    <row r="51" spans="2:16" x14ac:dyDescent="0.2">
      <c r="B51" s="147">
        <v>36</v>
      </c>
      <c r="C51" s="341" t="str">
        <f>VLOOKUP(D51,[1]!Всё,3)</f>
        <v>Добавка SULFOTECH SP ADDITIVE</v>
      </c>
      <c r="D51" s="299" t="s">
        <v>312</v>
      </c>
      <c r="E51" s="154">
        <v>3</v>
      </c>
      <c r="F51" s="365">
        <f t="shared" si="5"/>
        <v>7.9380000000000006E-3</v>
      </c>
      <c r="G51" s="150" t="str">
        <f>VLOOKUP(D51,[1]!ПрайсНаМатериалы,2)</f>
        <v>кг</v>
      </c>
      <c r="H51" s="150">
        <f>VLOOKUP(D51,[1]!ПрайсНаМатериалы,3)</f>
        <v>947.74</v>
      </c>
      <c r="I51" s="151">
        <f t="shared" si="3"/>
        <v>7.5231601200000009</v>
      </c>
      <c r="L51" s="106">
        <v>50</v>
      </c>
      <c r="N51" s="106">
        <v>1</v>
      </c>
      <c r="O51" s="130" t="e">
        <f>VLOOKUP(M51,[1]!ПрайсНаМатериалы,3)</f>
        <v>#N/A</v>
      </c>
      <c r="P51" s="202" t="e">
        <f t="shared" si="4"/>
        <v>#N/A</v>
      </c>
    </row>
    <row r="52" spans="2:16" x14ac:dyDescent="0.2">
      <c r="B52" s="147">
        <v>37</v>
      </c>
      <c r="C52" s="341" t="str">
        <f>VLOOKUP(D52,[1]!Всё,3)</f>
        <v>ткань х/б Батист отбеленный</v>
      </c>
      <c r="D52" s="299" t="s">
        <v>424</v>
      </c>
      <c r="E52" s="134">
        <v>0.05</v>
      </c>
      <c r="F52" s="365">
        <f>E52*Sзагм2*2*Квг</f>
        <v>0.1323</v>
      </c>
      <c r="G52" s="150" t="str">
        <f>VLOOKUP(D52,[1]!ПрайсНаМатериалы,2)</f>
        <v>м2</v>
      </c>
      <c r="H52" s="150">
        <f>VLOOKUP(D52,[1]!ПрайсНаМатериалы,3)</f>
        <v>147.62</v>
      </c>
      <c r="I52" s="151">
        <f t="shared" si="3"/>
        <v>19.530125999999999</v>
      </c>
      <c r="L52" s="106">
        <v>51</v>
      </c>
      <c r="N52" s="106">
        <v>1</v>
      </c>
      <c r="O52" s="130" t="e">
        <f>VLOOKUP(M52,[1]!ПрайсНаМатериалы,3)</f>
        <v>#N/A</v>
      </c>
      <c r="P52" s="202" t="e">
        <f t="shared" si="4"/>
        <v>#N/A</v>
      </c>
    </row>
    <row r="53" spans="2:16" x14ac:dyDescent="0.2">
      <c r="B53" s="147">
        <v>38</v>
      </c>
      <c r="C53" s="341" t="str">
        <f>VLOOKUP(D53,[1]!Всё,3)</f>
        <v>бумага д/очистки валика (уп 5х50л 238х330мм)</v>
      </c>
      <c r="D53" s="299" t="s">
        <v>425</v>
      </c>
      <c r="E53" s="354">
        <v>8.0000000000000002E-3</v>
      </c>
      <c r="F53" s="365">
        <f>E53*Sзагм2*2*Квг</f>
        <v>2.1168000000000003E-2</v>
      </c>
      <c r="G53" s="150" t="str">
        <f>VLOOKUP(D53,[1]!ПрайсНаМатериалы,2)</f>
        <v>м2</v>
      </c>
      <c r="H53" s="150">
        <f>VLOOKUP(D53,[1]!ПрайсНаМатериалы,3)</f>
        <v>872</v>
      </c>
      <c r="I53" s="151">
        <f t="shared" si="3"/>
        <v>18.458496000000004</v>
      </c>
      <c r="L53" s="106">
        <v>52</v>
      </c>
      <c r="N53" s="106">
        <v>1</v>
      </c>
      <c r="O53" s="130" t="e">
        <f>VLOOKUP(M53,[1]!ПрайсНаМатериалы,3)</f>
        <v>#N/A</v>
      </c>
      <c r="P53" s="202" t="e">
        <f t="shared" si="4"/>
        <v>#N/A</v>
      </c>
    </row>
    <row r="54" spans="2:16" x14ac:dyDescent="0.2">
      <c r="B54" s="147">
        <v>39</v>
      </c>
      <c r="C54" s="341" t="str">
        <f>VLOOKUP(D54,[1]!Всё,3)</f>
        <v>Ткань х/б бязевой группы</v>
      </c>
      <c r="D54" s="299" t="s">
        <v>426</v>
      </c>
      <c r="E54" s="134">
        <v>0.12</v>
      </c>
      <c r="F54" s="365">
        <f>E54*Sзагм2*2*Квг</f>
        <v>0.31752000000000002</v>
      </c>
      <c r="G54" s="150" t="str">
        <f>VLOOKUP(D54,[1]!ПрайсНаМатериалы,2)</f>
        <v>м2</v>
      </c>
      <c r="H54" s="150">
        <f>VLOOKUP(D54,[1]!ПрайсНаМатериалы,3)</f>
        <v>45.23</v>
      </c>
      <c r="I54" s="151">
        <f t="shared" si="3"/>
        <v>14.361429599999999</v>
      </c>
      <c r="L54" s="106">
        <v>53</v>
      </c>
      <c r="N54" s="106">
        <v>1</v>
      </c>
      <c r="O54" s="130" t="e">
        <f>VLOOKUP(M54,[1]!ПрайсНаМатериалы,3)</f>
        <v>#N/A</v>
      </c>
      <c r="P54" s="202" t="e">
        <f t="shared" si="4"/>
        <v>#N/A</v>
      </c>
    </row>
    <row r="55" spans="2:16" x14ac:dyDescent="0.2">
      <c r="B55" s="147">
        <v>40</v>
      </c>
      <c r="C55" s="341" t="str">
        <f>VLOOKUP(D55,[1]!Всё,3)</f>
        <v>Лента Креп</v>
      </c>
      <c r="D55" s="299" t="s">
        <v>427</v>
      </c>
      <c r="E55" s="134">
        <v>0.12</v>
      </c>
      <c r="F55" s="365">
        <f>E55*Sзагм2*2*Квг</f>
        <v>0.31752000000000002</v>
      </c>
      <c r="G55" s="150" t="str">
        <f>VLOOKUP(D55,[1]!ПрайсНаМатериалы,2)</f>
        <v>шт</v>
      </c>
      <c r="H55" s="150">
        <f>VLOOKUP(D55,[1]!ПрайсНаМатериалы,3)</f>
        <v>36.86</v>
      </c>
      <c r="I55" s="151">
        <f t="shared" si="3"/>
        <v>11.703787200000001</v>
      </c>
      <c r="L55" s="106">
        <v>54</v>
      </c>
      <c r="N55" s="106">
        <v>1</v>
      </c>
      <c r="O55" s="130" t="e">
        <f>VLOOKUP(M55,[1]!ПрайсНаМатериалы,3)</f>
        <v>#N/A</v>
      </c>
      <c r="P55" s="202" t="e">
        <f t="shared" si="4"/>
        <v>#N/A</v>
      </c>
    </row>
    <row r="56" spans="2:16" x14ac:dyDescent="0.2">
      <c r="B56" s="147">
        <v>41</v>
      </c>
      <c r="C56" s="341" t="str">
        <f>VLOOKUP(D56,[1]!Всё,3)</f>
        <v>лента малярная S</v>
      </c>
      <c r="D56" s="299" t="s">
        <v>428</v>
      </c>
      <c r="E56" s="134">
        <v>0.04</v>
      </c>
      <c r="F56" s="365">
        <f>E56*Sзагм2*2*Квг</f>
        <v>0.10584</v>
      </c>
      <c r="G56" s="150" t="str">
        <f>VLOOKUP(D56,[1]!ПрайсНаМатериалы,2)</f>
        <v>шт</v>
      </c>
      <c r="H56" s="150">
        <f>VLOOKUP(D56,[1]!ПрайсНаМатериалы,3)</f>
        <v>149</v>
      </c>
      <c r="I56" s="151">
        <f t="shared" si="3"/>
        <v>15.770160000000001</v>
      </c>
      <c r="L56" s="106">
        <v>55</v>
      </c>
      <c r="N56" s="106">
        <v>1</v>
      </c>
      <c r="O56" s="130" t="e">
        <f>VLOOKUP(M56,[1]!ПрайсНаМатериалы,3)</f>
        <v>#N/A</v>
      </c>
      <c r="P56" s="202" t="e">
        <f>O56/N56</f>
        <v>#N/A</v>
      </c>
    </row>
    <row r="57" spans="2:16" x14ac:dyDescent="0.2">
      <c r="B57" s="147">
        <v>42</v>
      </c>
      <c r="C57" s="341" t="str">
        <f>VLOOKUP(D57,[1]!Всё,3)</f>
        <v>Медь двухлористая 2-водная</v>
      </c>
      <c r="D57" s="299" t="s">
        <v>429</v>
      </c>
      <c r="E57" s="134">
        <v>2</v>
      </c>
      <c r="F57" s="365">
        <f>E57*0.001*Sзагм2*2*Квг</f>
        <v>5.2920000000000007E-3</v>
      </c>
      <c r="G57" s="150" t="str">
        <f>VLOOKUP(D57,[1]!ПрайсНаМатериалы,2)</f>
        <v>кг</v>
      </c>
      <c r="H57" s="150">
        <f>VLOOKUP(D57,[1]!ПрайсНаМатериалы,3)</f>
        <v>500</v>
      </c>
      <c r="I57" s="151">
        <f t="shared" si="3"/>
        <v>2.6460000000000004</v>
      </c>
      <c r="L57" s="106">
        <v>56</v>
      </c>
      <c r="N57" s="106">
        <v>1</v>
      </c>
      <c r="O57" s="130" t="e">
        <f>VLOOKUP(M57,[1]!ПрайсНаМатериалы,3)</f>
        <v>#N/A</v>
      </c>
      <c r="P57" s="202" t="e">
        <f>O57/N57</f>
        <v>#N/A</v>
      </c>
    </row>
    <row r="58" spans="2:16" x14ac:dyDescent="0.2">
      <c r="B58" s="147">
        <v>43</v>
      </c>
      <c r="C58" s="341" t="str">
        <f>VLOOKUP(D58,[1]!Всё,3)</f>
        <v>Очиститель Screen opener K2</v>
      </c>
      <c r="D58" s="299" t="s">
        <v>430</v>
      </c>
      <c r="E58" s="134">
        <v>20</v>
      </c>
      <c r="F58" s="365">
        <f>E58*0.001*Sзагм2*2*Квг</f>
        <v>5.2920000000000002E-2</v>
      </c>
      <c r="G58" s="150" t="str">
        <f>VLOOKUP(D58,[1]!ПрайсНаМатериалы,2)</f>
        <v>кг</v>
      </c>
      <c r="H58" s="150">
        <f>VLOOKUP(D58,[1]!ПрайсНаМатериалы,3)</f>
        <v>373.21</v>
      </c>
      <c r="I58" s="151">
        <f t="shared" si="3"/>
        <v>19.750273199999999</v>
      </c>
      <c r="L58" s="106">
        <v>57</v>
      </c>
      <c r="N58" s="106">
        <v>1</v>
      </c>
      <c r="O58" s="130" t="e">
        <f>VLOOKUP(M58,[1]!ПрайсНаМатериалы,3)</f>
        <v>#N/A</v>
      </c>
      <c r="P58" s="202" t="e">
        <f>O58/N58</f>
        <v>#N/A</v>
      </c>
    </row>
    <row r="59" spans="2:16" x14ac:dyDescent="0.2">
      <c r="B59" s="147">
        <v>44</v>
      </c>
      <c r="C59" s="341" t="str">
        <f>VLOOKUP(D59,[1]!Всё,3)</f>
        <v>Пакет с защелкой полиэтиленовый</v>
      </c>
      <c r="D59" s="299" t="s">
        <v>431</v>
      </c>
      <c r="E59" s="134">
        <v>6</v>
      </c>
      <c r="F59" s="365">
        <f>E59*Sзагм2*2*Квг</f>
        <v>15.876000000000001</v>
      </c>
      <c r="G59" s="150" t="str">
        <f>VLOOKUP(D59,[1]!ПрайсНаМатериалы,2)</f>
        <v>шт</v>
      </c>
      <c r="H59" s="150">
        <f>VLOOKUP(D59,[1]!ПрайсНаМатериалы,3)</f>
        <v>1.6</v>
      </c>
      <c r="I59" s="151">
        <f t="shared" si="3"/>
        <v>25.401600000000002</v>
      </c>
      <c r="L59" s="106">
        <v>58</v>
      </c>
      <c r="N59" s="106">
        <v>1</v>
      </c>
      <c r="O59" s="130" t="e">
        <f>VLOOKUP(M59,[1]!ПрайсНаМатериалы,3)</f>
        <v>#N/A</v>
      </c>
      <c r="P59" s="202" t="e">
        <f t="shared" si="4"/>
        <v>#N/A</v>
      </c>
    </row>
    <row r="60" spans="2:16" x14ac:dyDescent="0.2">
      <c r="B60" s="147">
        <v>45</v>
      </c>
      <c r="C60" s="341" t="str">
        <f>VLOOKUP(D60,[1]!Всё,3)</f>
        <v>пленка упаковочная 50см/17мк (120) упаковочная</v>
      </c>
      <c r="D60" s="299" t="s">
        <v>432</v>
      </c>
      <c r="E60" s="134">
        <v>0.05</v>
      </c>
      <c r="F60" s="365">
        <f>E60*Sзагм2*2*Квг</f>
        <v>0.1323</v>
      </c>
      <c r="G60" s="150" t="str">
        <f>VLOOKUP(D60,[1]!ПрайсНаМатериалы,2)</f>
        <v>шт</v>
      </c>
      <c r="H60" s="150">
        <f>VLOOKUP(D60,[1]!ПрайсНаМатериалы,3)</f>
        <v>185.59</v>
      </c>
      <c r="I60" s="151">
        <f t="shared" si="3"/>
        <v>24.553557000000001</v>
      </c>
      <c r="L60" s="106">
        <v>59</v>
      </c>
      <c r="N60" s="106">
        <v>1</v>
      </c>
      <c r="O60" s="130" t="e">
        <f>VLOOKUP(M60,[1]!ПрайсНаМатериалы,3)</f>
        <v>#N/A</v>
      </c>
      <c r="P60" s="202" t="e">
        <f t="shared" si="4"/>
        <v>#N/A</v>
      </c>
    </row>
    <row r="61" spans="2:16" ht="22.5" x14ac:dyDescent="0.2">
      <c r="B61" s="147">
        <v>46</v>
      </c>
      <c r="C61" s="341" t="str">
        <f>VLOOKUP(D61,[1]!Всё,3)</f>
        <v>Разбавитель XZ 101 (для защитной маски XV 501T)</v>
      </c>
      <c r="D61" s="299" t="s">
        <v>433</v>
      </c>
      <c r="E61" s="134">
        <v>5</v>
      </c>
      <c r="F61" s="365">
        <f>E61*0.001*Sзагм2*2*Квг</f>
        <v>1.323E-2</v>
      </c>
      <c r="G61" s="150" t="str">
        <f>VLOOKUP(D61,[1]!ПрайсНаМатериалы,2)</f>
        <v>кг</v>
      </c>
      <c r="H61" s="150">
        <f>VLOOKUP(D61,[1]!ПрайсНаМатериалы,3)</f>
        <v>834.98</v>
      </c>
      <c r="I61" s="151">
        <f t="shared" si="3"/>
        <v>11.046785400000001</v>
      </c>
      <c r="L61" s="106">
        <v>60</v>
      </c>
      <c r="N61" s="106">
        <v>1</v>
      </c>
      <c r="O61" s="130" t="e">
        <f>VLOOKUP(M61,[1]!ПрайсНаМатериалы,3)</f>
        <v>#N/A</v>
      </c>
      <c r="P61" s="202" t="e">
        <f t="shared" si="4"/>
        <v>#N/A</v>
      </c>
    </row>
    <row r="62" spans="2:16" ht="22.5" x14ac:dyDescent="0.2">
      <c r="B62" s="147">
        <v>47</v>
      </c>
      <c r="C62" s="341" t="str">
        <f>VLOOKUP(D62,[1]!Всё,3)</f>
        <v>Разбавитель XZ 107 (для защитной маски XV 501T-4)</v>
      </c>
      <c r="D62" s="299" t="s">
        <v>434</v>
      </c>
      <c r="E62" s="134">
        <v>5</v>
      </c>
      <c r="F62" s="365">
        <f>E62*0.001*Sзагм2*2*Квг</f>
        <v>1.323E-2</v>
      </c>
      <c r="G62" s="150" t="str">
        <f>VLOOKUP(D62,[1]!ПрайсНаМатериалы,2)</f>
        <v>кг</v>
      </c>
      <c r="H62" s="150">
        <f>VLOOKUP(D62,[1]!ПрайсНаМатериалы,3)</f>
        <v>780</v>
      </c>
      <c r="I62" s="151">
        <f t="shared" si="3"/>
        <v>10.3194</v>
      </c>
      <c r="L62" s="106">
        <v>61</v>
      </c>
      <c r="N62" s="106">
        <v>1</v>
      </c>
      <c r="O62" s="130" t="e">
        <f>VLOOKUP(M62,[1]!ПрайсНаМатериалы,3)</f>
        <v>#N/A</v>
      </c>
      <c r="P62" s="202" t="e">
        <f t="shared" si="4"/>
        <v>#N/A</v>
      </c>
    </row>
    <row r="63" spans="2:16" ht="12" thickBot="1" x14ac:dyDescent="0.25">
      <c r="B63" s="147">
        <v>48</v>
      </c>
      <c r="C63" s="341" t="str">
        <f>VLOOKUP(D63,[1]!Всё,3)</f>
        <v>Сумка ПНД</v>
      </c>
      <c r="D63" s="299" t="s">
        <v>435</v>
      </c>
      <c r="E63" s="134">
        <v>1.2</v>
      </c>
      <c r="F63" s="365">
        <f>E63*Sзагм2*2*Квг</f>
        <v>3.1752000000000002</v>
      </c>
      <c r="G63" s="150" t="str">
        <f>VLOOKUP(D63,[1]!ПрайсНаМатериалы,2)</f>
        <v>шт</v>
      </c>
      <c r="H63" s="150">
        <f>VLOOKUP(D63,[1]!ПрайсНаМатериалы,3)</f>
        <v>3.38</v>
      </c>
      <c r="I63" s="151">
        <f t="shared" si="3"/>
        <v>10.732176000000001</v>
      </c>
      <c r="L63" s="106">
        <v>62</v>
      </c>
      <c r="N63" s="106">
        <v>1</v>
      </c>
      <c r="O63" s="130" t="e">
        <f>VLOOKUP(M63,[1]!ПрайсНаМатериалы,3)</f>
        <v>#N/A</v>
      </c>
      <c r="P63" s="202" t="e">
        <f t="shared" si="4"/>
        <v>#N/A</v>
      </c>
    </row>
    <row r="64" spans="2:16" ht="12" thickBot="1" x14ac:dyDescent="0.25">
      <c r="B64" s="147"/>
      <c r="C64" s="201" t="s">
        <v>162</v>
      </c>
      <c r="D64" s="201" t="s">
        <v>162</v>
      </c>
      <c r="E64" s="173"/>
      <c r="F64" s="173"/>
      <c r="G64" s="173"/>
      <c r="H64" s="173"/>
      <c r="I64" s="174">
        <f>SUM(I16:I63)</f>
        <v>10799.027613359996</v>
      </c>
      <c r="L64" s="106">
        <v>63</v>
      </c>
      <c r="N64" s="106">
        <v>1</v>
      </c>
      <c r="O64" s="130" t="e">
        <f>VLOOKUP(M64,[1]!ПрайсНаМатериалы,3)</f>
        <v>#N/A</v>
      </c>
      <c r="P64" s="202" t="e">
        <f t="shared" si="4"/>
        <v>#N/A</v>
      </c>
    </row>
    <row r="65" spans="2:16" x14ac:dyDescent="0.2">
      <c r="D65" s="175"/>
      <c r="E65" s="139"/>
      <c r="F65" s="139"/>
      <c r="G65" s="139"/>
      <c r="H65" s="139"/>
      <c r="I65" s="189"/>
      <c r="K65" s="202"/>
      <c r="L65" s="106">
        <v>64</v>
      </c>
      <c r="N65" s="106">
        <v>1</v>
      </c>
      <c r="O65" s="130" t="e">
        <f>VLOOKUP(M65,[1]!ПрайсНаМатериалы,3)</f>
        <v>#N/A</v>
      </c>
      <c r="P65" s="202" t="e">
        <f t="shared" si="4"/>
        <v>#N/A</v>
      </c>
    </row>
    <row r="66" spans="2:16" x14ac:dyDescent="0.2">
      <c r="D66" s="175"/>
      <c r="E66" s="139"/>
      <c r="F66" s="139"/>
      <c r="G66" s="139"/>
      <c r="H66" s="130"/>
      <c r="L66" s="106">
        <v>65</v>
      </c>
      <c r="O66" s="130">
        <v>0</v>
      </c>
      <c r="P66" s="202" t="e">
        <f t="shared" si="4"/>
        <v>#DIV/0!</v>
      </c>
    </row>
    <row r="67" spans="2:16" x14ac:dyDescent="0.2">
      <c r="D67" s="175"/>
      <c r="E67" s="139"/>
      <c r="F67" s="139"/>
      <c r="G67" s="139"/>
      <c r="H67" s="130"/>
      <c r="I67" s="241"/>
      <c r="L67" s="106">
        <v>66</v>
      </c>
      <c r="O67" s="130">
        <v>0</v>
      </c>
      <c r="P67" s="202" t="e">
        <f t="shared" si="4"/>
        <v>#DIV/0!</v>
      </c>
    </row>
    <row r="68" spans="2:16" x14ac:dyDescent="0.2">
      <c r="D68" s="175"/>
      <c r="E68" s="139"/>
      <c r="F68" s="139"/>
      <c r="G68" s="139"/>
      <c r="I68" s="132" t="s">
        <v>149</v>
      </c>
      <c r="L68" s="106">
        <v>67</v>
      </c>
      <c r="O68" s="130">
        <v>0</v>
      </c>
      <c r="P68" s="202" t="e">
        <f t="shared" si="4"/>
        <v>#DIV/0!</v>
      </c>
    </row>
    <row r="69" spans="2:16" x14ac:dyDescent="0.2">
      <c r="D69" s="176" t="s">
        <v>191</v>
      </c>
      <c r="E69" s="177"/>
      <c r="F69" s="177"/>
      <c r="L69" s="106">
        <v>68</v>
      </c>
      <c r="O69" s="130">
        <v>0</v>
      </c>
      <c r="P69" s="202" t="e">
        <f t="shared" si="4"/>
        <v>#DIV/0!</v>
      </c>
    </row>
    <row r="70" spans="2:16" x14ac:dyDescent="0.2">
      <c r="E70" s="177"/>
      <c r="F70" s="177"/>
      <c r="L70" s="106">
        <v>69</v>
      </c>
      <c r="O70" s="130">
        <v>0</v>
      </c>
      <c r="P70" s="202" t="e">
        <f t="shared" si="4"/>
        <v>#DIV/0!</v>
      </c>
    </row>
    <row r="71" spans="2:16" x14ac:dyDescent="0.2">
      <c r="B71" s="136"/>
      <c r="C71" s="137"/>
      <c r="D71" s="137"/>
      <c r="E71" s="138" t="s">
        <v>59</v>
      </c>
      <c r="F71" s="138"/>
      <c r="G71" s="138"/>
      <c r="H71" s="138" t="s">
        <v>24</v>
      </c>
      <c r="I71" s="138" t="s">
        <v>62</v>
      </c>
      <c r="L71" s="106">
        <v>70</v>
      </c>
      <c r="O71" s="130">
        <v>0</v>
      </c>
      <c r="P71" s="202" t="e">
        <f t="shared" si="4"/>
        <v>#DIV/0!</v>
      </c>
    </row>
    <row r="72" spans="2:16" x14ac:dyDescent="0.2">
      <c r="B72" s="140"/>
      <c r="C72" s="140"/>
      <c r="D72" s="140"/>
      <c r="E72" s="141" t="s">
        <v>60</v>
      </c>
      <c r="F72" s="141"/>
      <c r="G72" s="141"/>
      <c r="H72" s="141"/>
      <c r="I72" s="141" t="s">
        <v>63</v>
      </c>
      <c r="L72" s="106">
        <v>71</v>
      </c>
      <c r="O72" s="130">
        <v>0</v>
      </c>
      <c r="P72" s="202" t="e">
        <f t="shared" si="4"/>
        <v>#DIV/0!</v>
      </c>
    </row>
    <row r="73" spans="2:16" x14ac:dyDescent="0.2">
      <c r="B73" s="141" t="s">
        <v>25</v>
      </c>
      <c r="C73" s="141" t="s">
        <v>26</v>
      </c>
      <c r="D73" s="141" t="s">
        <v>26</v>
      </c>
      <c r="E73" s="141" t="s">
        <v>61</v>
      </c>
      <c r="F73" s="141" t="s">
        <v>141</v>
      </c>
      <c r="G73" s="141" t="s">
        <v>27</v>
      </c>
      <c r="H73" s="141" t="s">
        <v>28</v>
      </c>
      <c r="I73" s="141"/>
      <c r="L73" s="106">
        <v>72</v>
      </c>
      <c r="O73" s="130">
        <v>0</v>
      </c>
      <c r="P73" s="202" t="e">
        <f t="shared" si="4"/>
        <v>#DIV/0!</v>
      </c>
    </row>
    <row r="74" spans="2:16" x14ac:dyDescent="0.2">
      <c r="B74" s="141" t="s">
        <v>29</v>
      </c>
      <c r="C74" s="141"/>
      <c r="D74" s="141"/>
      <c r="E74" s="141" t="s">
        <v>194</v>
      </c>
      <c r="F74" s="141"/>
      <c r="G74" s="141" t="s">
        <v>30</v>
      </c>
      <c r="H74" s="141" t="s">
        <v>31</v>
      </c>
      <c r="I74" s="141" t="s">
        <v>31</v>
      </c>
      <c r="L74" s="106">
        <v>73</v>
      </c>
      <c r="O74" s="130">
        <v>0</v>
      </c>
      <c r="P74" s="202" t="e">
        <f t="shared" si="4"/>
        <v>#DIV/0!</v>
      </c>
    </row>
    <row r="75" spans="2:16" x14ac:dyDescent="0.2">
      <c r="B75" s="140"/>
      <c r="C75" s="142"/>
      <c r="D75" s="142"/>
      <c r="E75" s="141" t="s">
        <v>32</v>
      </c>
      <c r="F75" s="141"/>
      <c r="G75" s="141"/>
      <c r="H75" s="143" t="s">
        <v>33</v>
      </c>
      <c r="I75" s="143" t="s">
        <v>33</v>
      </c>
      <c r="L75" s="106">
        <v>74</v>
      </c>
      <c r="O75" s="130">
        <v>0</v>
      </c>
      <c r="P75" s="202" t="e">
        <f t="shared" si="4"/>
        <v>#DIV/0!</v>
      </c>
    </row>
    <row r="76" spans="2:16" x14ac:dyDescent="0.2">
      <c r="B76" s="144">
        <v>1</v>
      </c>
      <c r="C76" s="145">
        <v>2</v>
      </c>
      <c r="D76" s="145">
        <v>2</v>
      </c>
      <c r="E76" s="144">
        <v>3</v>
      </c>
      <c r="F76" s="144">
        <v>4</v>
      </c>
      <c r="G76" s="146">
        <v>5</v>
      </c>
      <c r="H76" s="144">
        <v>6</v>
      </c>
      <c r="I76" s="144">
        <v>7</v>
      </c>
      <c r="L76" s="106">
        <v>75</v>
      </c>
      <c r="O76" s="130">
        <v>0</v>
      </c>
      <c r="P76" s="202" t="e">
        <f t="shared" si="4"/>
        <v>#DIV/0!</v>
      </c>
    </row>
    <row r="77" spans="2:16" x14ac:dyDescent="0.2">
      <c r="B77" s="178">
        <v>1</v>
      </c>
      <c r="C77" s="341" t="str">
        <f>VLOOKUP(D77,[1]!Всё,3)</f>
        <v>Фотопленка KODAK APR-7</v>
      </c>
      <c r="D77" s="179" t="s">
        <v>143</v>
      </c>
      <c r="E77" s="178">
        <v>1.4</v>
      </c>
      <c r="F77" s="365">
        <f>E77*А*В*ФШи*0.01*Квг</f>
        <v>0.1764</v>
      </c>
      <c r="G77" s="150" t="str">
        <f>VLOOKUP(D77,[1]!ПрайсНаМатериалы,2)</f>
        <v>м2</v>
      </c>
      <c r="H77" s="150">
        <f>VLOOKUP(D77,[1]!ПрайсНаМатериалы,3)</f>
        <v>1091.94</v>
      </c>
      <c r="I77" s="134">
        <f>F77*H77</f>
        <v>192.61821600000002</v>
      </c>
      <c r="L77" s="106">
        <v>76</v>
      </c>
      <c r="O77" s="130">
        <v>0</v>
      </c>
      <c r="P77" s="202" t="e">
        <f t="shared" si="4"/>
        <v>#DIV/0!</v>
      </c>
    </row>
    <row r="78" spans="2:16" x14ac:dyDescent="0.2">
      <c r="B78" s="180">
        <v>2</v>
      </c>
      <c r="C78" s="341" t="str">
        <f>VLOOKUP(D78,[1]!Всё,3)</f>
        <v>Проявитель KODAK</v>
      </c>
      <c r="D78" s="181" t="s">
        <v>144</v>
      </c>
      <c r="E78" s="180">
        <v>0.6</v>
      </c>
      <c r="F78" s="365">
        <f>E78*А*В*ФШи*0.01*Квг</f>
        <v>7.5600000000000001E-2</v>
      </c>
      <c r="G78" s="150" t="str">
        <f>VLOOKUP(D78,[1]!ПрайсНаМатериалы,2)</f>
        <v>кг</v>
      </c>
      <c r="H78" s="150">
        <f>VLOOKUP(D78,[1]!ПрайсНаМатериалы,3)</f>
        <v>384.29</v>
      </c>
      <c r="I78" s="134">
        <f>F78*H78</f>
        <v>29.052324000000002</v>
      </c>
      <c r="J78" s="139"/>
      <c r="L78" s="106">
        <v>77</v>
      </c>
      <c r="O78" s="130">
        <v>0</v>
      </c>
      <c r="P78" s="202" t="e">
        <f t="shared" si="4"/>
        <v>#DIV/0!</v>
      </c>
    </row>
    <row r="79" spans="2:16" ht="12" thickBot="1" x14ac:dyDescent="0.25">
      <c r="B79" s="178">
        <v>3</v>
      </c>
      <c r="C79" s="341" t="str">
        <f>VLOOKUP(D79,[1]!Всё,3)</f>
        <v>Фиксаж KODAK</v>
      </c>
      <c r="D79" s="179" t="s">
        <v>145</v>
      </c>
      <c r="E79" s="178">
        <v>0.3</v>
      </c>
      <c r="F79" s="365">
        <f>E79*А*В*ФШи*0.01*Квг</f>
        <v>3.78E-2</v>
      </c>
      <c r="G79" s="150" t="str">
        <f>VLOOKUP(D79,[1]!ПрайсНаМатериалы,2)</f>
        <v>кг</v>
      </c>
      <c r="H79" s="150">
        <f>VLOOKUP(D79,[1]!ПрайсНаМатериалы,3)</f>
        <v>271.97000000000003</v>
      </c>
      <c r="I79" s="134">
        <f>F79*H79</f>
        <v>10.280466000000001</v>
      </c>
      <c r="J79" s="139"/>
      <c r="L79" s="106">
        <v>78</v>
      </c>
      <c r="O79" s="130">
        <v>0</v>
      </c>
      <c r="P79" s="202" t="e">
        <f t="shared" si="4"/>
        <v>#DIV/0!</v>
      </c>
    </row>
    <row r="80" spans="2:16" ht="12" thickBot="1" x14ac:dyDescent="0.25">
      <c r="B80" s="183"/>
      <c r="C80" s="201" t="s">
        <v>162</v>
      </c>
      <c r="D80" s="349" t="s">
        <v>162</v>
      </c>
      <c r="E80" s="184"/>
      <c r="F80" s="184"/>
      <c r="G80" s="184"/>
      <c r="H80" s="184"/>
      <c r="I80" s="174">
        <f>SUM(I77:I79)</f>
        <v>231.95100600000001</v>
      </c>
      <c r="J80" s="139"/>
      <c r="L80" s="106">
        <v>79</v>
      </c>
      <c r="O80" s="130">
        <v>0</v>
      </c>
      <c r="P80" s="202" t="e">
        <f t="shared" si="4"/>
        <v>#DIV/0!</v>
      </c>
    </row>
    <row r="81" spans="2:16" x14ac:dyDescent="0.2">
      <c r="J81" s="139"/>
      <c r="L81" s="106">
        <v>80</v>
      </c>
      <c r="O81" s="130">
        <v>0</v>
      </c>
      <c r="P81" s="202" t="e">
        <f t="shared" si="4"/>
        <v>#DIV/0!</v>
      </c>
    </row>
    <row r="82" spans="2:16" x14ac:dyDescent="0.2">
      <c r="B82" s="185"/>
      <c r="C82" s="185"/>
      <c r="D82" s="176" t="s">
        <v>192</v>
      </c>
      <c r="J82" s="139"/>
      <c r="L82" s="106">
        <v>81</v>
      </c>
      <c r="O82" s="130">
        <v>0</v>
      </c>
      <c r="P82" s="202" t="e">
        <f t="shared" si="4"/>
        <v>#DIV/0!</v>
      </c>
    </row>
    <row r="83" spans="2:16" x14ac:dyDescent="0.2">
      <c r="B83" s="185"/>
      <c r="C83" s="185"/>
      <c r="D83" s="176"/>
      <c r="J83" s="139"/>
      <c r="L83" s="106">
        <v>82</v>
      </c>
      <c r="O83" s="130">
        <v>0</v>
      </c>
      <c r="P83" s="202" t="e">
        <f t="shared" si="4"/>
        <v>#DIV/0!</v>
      </c>
    </row>
    <row r="84" spans="2:16" ht="13.15" customHeight="1" x14ac:dyDescent="0.2">
      <c r="B84" s="136"/>
      <c r="C84" s="432" t="s">
        <v>26</v>
      </c>
      <c r="D84" s="137"/>
      <c r="E84" s="138" t="s">
        <v>59</v>
      </c>
      <c r="F84" s="138"/>
      <c r="G84" s="138"/>
      <c r="H84" s="138" t="s">
        <v>24</v>
      </c>
      <c r="I84" s="138" t="s">
        <v>62</v>
      </c>
      <c r="J84" s="139"/>
      <c r="L84" s="106">
        <v>83</v>
      </c>
      <c r="O84" s="130">
        <v>0</v>
      </c>
      <c r="P84" s="202" t="e">
        <f t="shared" si="4"/>
        <v>#DIV/0!</v>
      </c>
    </row>
    <row r="85" spans="2:16" x14ac:dyDescent="0.2">
      <c r="B85" s="140"/>
      <c r="C85" s="433"/>
      <c r="D85" s="140"/>
      <c r="E85" s="141" t="s">
        <v>60</v>
      </c>
      <c r="F85" s="141"/>
      <c r="G85" s="141"/>
      <c r="H85" s="141"/>
      <c r="I85" s="141" t="s">
        <v>63</v>
      </c>
      <c r="J85" s="139"/>
      <c r="L85" s="106">
        <v>84</v>
      </c>
      <c r="O85" s="130">
        <v>0</v>
      </c>
      <c r="P85" s="202" t="e">
        <f t="shared" si="4"/>
        <v>#DIV/0!</v>
      </c>
    </row>
    <row r="86" spans="2:16" x14ac:dyDescent="0.2">
      <c r="B86" s="141" t="s">
        <v>25</v>
      </c>
      <c r="C86" s="433"/>
      <c r="D86" s="141" t="s">
        <v>26</v>
      </c>
      <c r="E86" s="141" t="s">
        <v>61</v>
      </c>
      <c r="F86" s="141" t="s">
        <v>141</v>
      </c>
      <c r="G86" s="141" t="s">
        <v>27</v>
      </c>
      <c r="H86" s="141" t="s">
        <v>28</v>
      </c>
      <c r="I86" s="141"/>
      <c r="J86" s="139"/>
      <c r="L86" s="106">
        <v>85</v>
      </c>
      <c r="O86" s="130">
        <v>0</v>
      </c>
      <c r="P86" s="202" t="e">
        <f t="shared" si="4"/>
        <v>#DIV/0!</v>
      </c>
    </row>
    <row r="87" spans="2:16" x14ac:dyDescent="0.2">
      <c r="B87" s="141" t="s">
        <v>29</v>
      </c>
      <c r="C87" s="433"/>
      <c r="D87" s="141"/>
      <c r="E87" s="141" t="s">
        <v>58</v>
      </c>
      <c r="F87" s="141"/>
      <c r="G87" s="141" t="s">
        <v>30</v>
      </c>
      <c r="H87" s="141" t="s">
        <v>31</v>
      </c>
      <c r="I87" s="141" t="s">
        <v>31</v>
      </c>
      <c r="J87" s="139"/>
      <c r="L87" s="106">
        <v>86</v>
      </c>
      <c r="O87" s="130">
        <v>0</v>
      </c>
      <c r="P87" s="202" t="e">
        <f t="shared" si="4"/>
        <v>#DIV/0!</v>
      </c>
    </row>
    <row r="88" spans="2:16" x14ac:dyDescent="0.2">
      <c r="B88" s="140"/>
      <c r="C88" s="434"/>
      <c r="D88" s="142"/>
      <c r="E88" s="141" t="s">
        <v>32</v>
      </c>
      <c r="F88" s="141"/>
      <c r="G88" s="141"/>
      <c r="H88" s="143" t="s">
        <v>33</v>
      </c>
      <c r="I88" s="143" t="s">
        <v>33</v>
      </c>
      <c r="L88" s="106">
        <v>87</v>
      </c>
      <c r="O88" s="130">
        <v>0</v>
      </c>
      <c r="P88" s="202" t="e">
        <f t="shared" si="4"/>
        <v>#DIV/0!</v>
      </c>
    </row>
    <row r="89" spans="2:16" x14ac:dyDescent="0.2">
      <c r="B89" s="144">
        <v>1</v>
      </c>
      <c r="C89" s="145">
        <v>2</v>
      </c>
      <c r="D89" s="145">
        <v>2</v>
      </c>
      <c r="E89" s="144">
        <v>3</v>
      </c>
      <c r="F89" s="144">
        <v>4</v>
      </c>
      <c r="G89" s="146">
        <v>5</v>
      </c>
      <c r="H89" s="144">
        <v>6</v>
      </c>
      <c r="I89" s="144">
        <v>7</v>
      </c>
      <c r="L89" s="106">
        <v>88</v>
      </c>
    </row>
    <row r="90" spans="2:16" ht="23.25" thickBot="1" x14ac:dyDescent="0.25">
      <c r="B90" s="178">
        <v>1</v>
      </c>
      <c r="C90" s="341" t="str">
        <f>VLOOKUP(D90,[1]!Всё,3)</f>
        <v>Защитная паяльная маска Dynamask 5030 (сухая)</v>
      </c>
      <c r="D90" s="186" t="s">
        <v>397</v>
      </c>
      <c r="E90" s="147">
        <v>1.2</v>
      </c>
      <c r="F90" s="365">
        <f>E90*Sзагм2*Ссм*Квг</f>
        <v>3.1752000000000002</v>
      </c>
      <c r="G90" s="150" t="str">
        <f>VLOOKUP(D90,[1]!ПрайсНаМатериалы,2)</f>
        <v>м2</v>
      </c>
      <c r="H90" s="150">
        <f>VLOOKUP(D90,[1]!ПрайсНаМатериалы,3)</f>
        <v>1321.25</v>
      </c>
      <c r="I90" s="134">
        <f>F90*H90</f>
        <v>4195.2330000000002</v>
      </c>
      <c r="L90" s="106">
        <v>89</v>
      </c>
    </row>
    <row r="91" spans="2:16" ht="12" thickBot="1" x14ac:dyDescent="0.25">
      <c r="B91" s="182"/>
      <c r="C91" s="201" t="s">
        <v>162</v>
      </c>
      <c r="D91" s="201" t="s">
        <v>162</v>
      </c>
      <c r="E91" s="173"/>
      <c r="F91" s="173"/>
      <c r="G91" s="173"/>
      <c r="H91" s="173"/>
      <c r="I91" s="174">
        <f>I90</f>
        <v>4195.2330000000002</v>
      </c>
      <c r="J91" s="139"/>
      <c r="L91" s="106">
        <v>90</v>
      </c>
    </row>
    <row r="92" spans="2:16" x14ac:dyDescent="0.2">
      <c r="B92" s="182"/>
      <c r="C92" s="182"/>
      <c r="D92" s="187"/>
      <c r="E92" s="188"/>
      <c r="F92" s="188"/>
      <c r="G92" s="188"/>
      <c r="H92" s="188"/>
      <c r="I92" s="135"/>
      <c r="J92" s="139"/>
      <c r="L92" s="106">
        <v>91</v>
      </c>
    </row>
    <row r="93" spans="2:16" ht="22.5" x14ac:dyDescent="0.2">
      <c r="B93" s="340">
        <v>2</v>
      </c>
      <c r="C93" s="341" t="str">
        <f>VLOOKUP(D93,[1]!Всё,3)</f>
        <v>Защитная паяльная маска XV501 T-4 Green (жидкая).</v>
      </c>
      <c r="D93" s="339" t="s">
        <v>382</v>
      </c>
      <c r="E93" s="147">
        <v>65</v>
      </c>
      <c r="F93" s="365">
        <f>E93*0.001*Sзагм2*Сжм*Квг</f>
        <v>0.17199</v>
      </c>
      <c r="G93" s="150" t="str">
        <f>VLOOKUP(D93,[1]!ПрайсНаМатериалы,2)</f>
        <v>кг</v>
      </c>
      <c r="H93" s="150">
        <f>VLOOKUP(D93,[1]!ПрайсНаМатериалы,3)</f>
        <v>2283.1999999999998</v>
      </c>
      <c r="I93" s="134">
        <f>F93*H93</f>
        <v>392.687568</v>
      </c>
      <c r="L93" s="106">
        <v>92</v>
      </c>
    </row>
    <row r="94" spans="2:16" ht="12" thickBot="1" x14ac:dyDescent="0.25">
      <c r="C94" s="201" t="s">
        <v>162</v>
      </c>
      <c r="D94" s="337" t="s">
        <v>162</v>
      </c>
      <c r="E94" s="218"/>
      <c r="F94" s="218"/>
      <c r="G94" s="218"/>
      <c r="H94" s="218"/>
      <c r="I94" s="338">
        <f>I93</f>
        <v>392.687568</v>
      </c>
      <c r="J94" s="139"/>
      <c r="L94" s="106">
        <v>93</v>
      </c>
    </row>
    <row r="95" spans="2:16" x14ac:dyDescent="0.2">
      <c r="B95" s="139"/>
      <c r="C95" s="139"/>
      <c r="D95" s="139"/>
      <c r="E95" s="139"/>
      <c r="F95" s="139"/>
      <c r="G95" s="189"/>
      <c r="J95" s="139"/>
      <c r="L95" s="106">
        <v>94</v>
      </c>
    </row>
    <row r="96" spans="2:16" ht="23.25" thickBot="1" x14ac:dyDescent="0.25">
      <c r="B96" s="178">
        <v>3</v>
      </c>
      <c r="C96" s="341" t="str">
        <f>VLOOKUP(D96,[1]!Всё,3)</f>
        <v>Маркировочная краска XV501 T-4 SM White (жидкая)</v>
      </c>
      <c r="D96" s="190" t="s">
        <v>417</v>
      </c>
      <c r="E96" s="147">
        <v>40</v>
      </c>
      <c r="F96" s="134">
        <f>E96*0.001*Sзагм2*Сф*IF(типмаркировки=1,1,0)*Квг</f>
        <v>0</v>
      </c>
      <c r="G96" s="150" t="str">
        <f>VLOOKUP(D96,[1]!ПрайсНаМатериалы,2)</f>
        <v>кг</v>
      </c>
      <c r="H96" s="150">
        <f>VLOOKUP(D96,[1]!ПрайсНаМатериалы,3)</f>
        <v>2095.91</v>
      </c>
      <c r="I96" s="134">
        <f>F96*H96</f>
        <v>0</v>
      </c>
      <c r="J96" s="139"/>
      <c r="L96" s="106">
        <v>95</v>
      </c>
    </row>
    <row r="97" spans="2:12" ht="12" thickBot="1" x14ac:dyDescent="0.25">
      <c r="C97" s="201" t="s">
        <v>162</v>
      </c>
      <c r="D97" s="201" t="s">
        <v>162</v>
      </c>
      <c r="E97" s="173"/>
      <c r="F97" s="173"/>
      <c r="G97" s="173"/>
      <c r="H97" s="173"/>
      <c r="I97" s="174">
        <f>I96</f>
        <v>0</v>
      </c>
      <c r="J97" s="139"/>
      <c r="L97" s="106">
        <v>96</v>
      </c>
    </row>
    <row r="98" spans="2:12" x14ac:dyDescent="0.2">
      <c r="B98" s="175"/>
      <c r="C98" s="175"/>
      <c r="D98" s="139"/>
      <c r="E98" s="139"/>
      <c r="F98" s="139"/>
      <c r="G98" s="139"/>
      <c r="H98" s="189"/>
      <c r="J98" s="139"/>
      <c r="L98" s="106">
        <v>97</v>
      </c>
    </row>
    <row r="99" spans="2:12" ht="12" thickBot="1" x14ac:dyDescent="0.25">
      <c r="B99" s="178">
        <v>4</v>
      </c>
      <c r="C99" s="341" t="str">
        <f>VLOOKUP(D99,[1]!Всё,3)</f>
        <v>Краска белая термоотверждаемая Mark 3.1</v>
      </c>
      <c r="D99" s="190" t="s">
        <v>336</v>
      </c>
      <c r="E99" s="147">
        <v>45</v>
      </c>
      <c r="F99" s="365">
        <f>E99*0.001*Sзагм2*Сф*IF(типмаркировки=2,1,0)*Квг</f>
        <v>5.9535000000000005E-2</v>
      </c>
      <c r="G99" s="150" t="str">
        <f>VLOOKUP(D99,[1]!ПрайсНаМатериалы,2)</f>
        <v>кг</v>
      </c>
      <c r="H99" s="150" t="str">
        <f>VLOOKUP(D99,[1]!ПрайсНаМатериалы,3)</f>
        <v>16357.14</v>
      </c>
      <c r="I99" s="134">
        <f>F99*H99</f>
        <v>973.8223299</v>
      </c>
      <c r="J99" s="139"/>
      <c r="L99" s="106">
        <v>98</v>
      </c>
    </row>
    <row r="100" spans="2:12" ht="12" thickBot="1" x14ac:dyDescent="0.25">
      <c r="C100" s="201" t="s">
        <v>162</v>
      </c>
      <c r="D100" s="201" t="s">
        <v>162</v>
      </c>
      <c r="E100" s="173"/>
      <c r="F100" s="173"/>
      <c r="G100" s="173"/>
      <c r="H100" s="173"/>
      <c r="I100" s="174">
        <f>I99</f>
        <v>973.8223299</v>
      </c>
      <c r="L100" s="106">
        <v>99</v>
      </c>
    </row>
    <row r="101" spans="2:12" x14ac:dyDescent="0.2">
      <c r="B101" s="175"/>
      <c r="C101" s="175"/>
      <c r="D101" s="139"/>
      <c r="E101" s="139"/>
      <c r="F101" s="139"/>
      <c r="G101" s="139"/>
      <c r="H101" s="189"/>
    </row>
    <row r="102" spans="2:12" x14ac:dyDescent="0.2">
      <c r="B102" s="136"/>
      <c r="C102" s="137"/>
      <c r="D102" s="137"/>
      <c r="E102" s="138" t="s">
        <v>59</v>
      </c>
      <c r="F102" s="138"/>
      <c r="G102" s="138"/>
      <c r="H102" s="138" t="s">
        <v>24</v>
      </c>
      <c r="I102" s="138" t="s">
        <v>62</v>
      </c>
    </row>
    <row r="103" spans="2:12" x14ac:dyDescent="0.2">
      <c r="B103" s="140"/>
      <c r="C103" s="140"/>
      <c r="D103" s="140"/>
      <c r="E103" s="141" t="s">
        <v>60</v>
      </c>
      <c r="F103" s="141"/>
      <c r="G103" s="141"/>
      <c r="H103" s="141"/>
      <c r="I103" s="141" t="s">
        <v>63</v>
      </c>
    </row>
    <row r="104" spans="2:12" x14ac:dyDescent="0.2">
      <c r="B104" s="141" t="s">
        <v>25</v>
      </c>
      <c r="C104" s="141" t="s">
        <v>26</v>
      </c>
      <c r="D104" s="141" t="s">
        <v>26</v>
      </c>
      <c r="E104" s="141" t="s">
        <v>61</v>
      </c>
      <c r="F104" s="141" t="s">
        <v>141</v>
      </c>
      <c r="G104" s="141" t="s">
        <v>27</v>
      </c>
      <c r="H104" s="141" t="s">
        <v>28</v>
      </c>
      <c r="I104" s="141"/>
    </row>
    <row r="105" spans="2:12" x14ac:dyDescent="0.2">
      <c r="B105" s="141" t="s">
        <v>29</v>
      </c>
      <c r="C105" s="141"/>
      <c r="D105" s="141"/>
      <c r="E105" s="141"/>
      <c r="F105" s="141"/>
      <c r="G105" s="141" t="s">
        <v>30</v>
      </c>
      <c r="H105" s="141" t="s">
        <v>31</v>
      </c>
      <c r="I105" s="141" t="s">
        <v>31</v>
      </c>
    </row>
    <row r="106" spans="2:12" x14ac:dyDescent="0.2">
      <c r="B106" s="140"/>
      <c r="C106" s="142"/>
      <c r="D106" s="142"/>
      <c r="E106" s="141"/>
      <c r="F106" s="141"/>
      <c r="G106" s="141"/>
      <c r="H106" s="143" t="s">
        <v>33</v>
      </c>
      <c r="I106" s="143" t="s">
        <v>33</v>
      </c>
    </row>
    <row r="107" spans="2:12" x14ac:dyDescent="0.2">
      <c r="B107" s="144">
        <v>1</v>
      </c>
      <c r="C107" s="145">
        <v>2</v>
      </c>
      <c r="D107" s="145">
        <v>2</v>
      </c>
      <c r="E107" s="144">
        <v>3</v>
      </c>
      <c r="F107" s="144">
        <v>4</v>
      </c>
      <c r="G107" s="146">
        <v>5</v>
      </c>
      <c r="H107" s="144">
        <v>6</v>
      </c>
      <c r="I107" s="144">
        <v>7</v>
      </c>
    </row>
    <row r="108" spans="2:12" x14ac:dyDescent="0.2">
      <c r="B108" s="147">
        <v>1</v>
      </c>
      <c r="C108" s="341" t="str">
        <f>VLOOKUP(D108,[1]!Всё,3)</f>
        <v>Сверло твердосплавное, отв/шт</v>
      </c>
      <c r="D108" s="191" t="s">
        <v>442</v>
      </c>
      <c r="E108" s="147">
        <v>2000</v>
      </c>
      <c r="F108" s="366">
        <f>(smalldrill+bigdrill)/E108*N</f>
        <v>10.5</v>
      </c>
      <c r="G108" s="150" t="str">
        <f>VLOOKUP(D108,[1]!ПрайсНаМатериалы,2)</f>
        <v>шт</v>
      </c>
      <c r="H108" s="150">
        <f>VLOOKUP(D108,[1]!ПрайсНаМатериалы,3)</f>
        <v>95</v>
      </c>
      <c r="I108" s="134">
        <f>F108*H108</f>
        <v>997.5</v>
      </c>
    </row>
    <row r="109" spans="2:12" ht="12" thickBot="1" x14ac:dyDescent="0.25">
      <c r="B109" s="147">
        <v>2</v>
      </c>
      <c r="C109" s="341" t="str">
        <f>VLOOKUP(D109,[1]!Всё,3)</f>
        <v>Фреза твердосплавная, м/шт</v>
      </c>
      <c r="D109" s="191" t="s">
        <v>443</v>
      </c>
      <c r="E109" s="147">
        <v>20</v>
      </c>
      <c r="F109" s="366">
        <f>IF(frezcorner=2,n_малое*0.128/E109,n_малое*Рп/E109*frezcorner)*N</f>
        <v>0.26880000000000004</v>
      </c>
      <c r="G109" s="150" t="str">
        <f>VLOOKUP(D109,[1]!ПрайсНаМатериалы,2)</f>
        <v>шт</v>
      </c>
      <c r="H109" s="150">
        <f>VLOOKUP(D109,[1]!ПрайсНаМатериалы,3)</f>
        <v>160</v>
      </c>
      <c r="I109" s="134">
        <f>F109*H109</f>
        <v>43.00800000000001</v>
      </c>
    </row>
    <row r="110" spans="2:12" ht="12" thickBot="1" x14ac:dyDescent="0.25">
      <c r="C110" s="201" t="s">
        <v>162</v>
      </c>
      <c r="D110" s="201" t="s">
        <v>162</v>
      </c>
      <c r="E110" s="173"/>
      <c r="F110" s="173"/>
      <c r="G110" s="173"/>
      <c r="H110" s="173"/>
      <c r="I110" s="192">
        <f>SUM(I108:I109)</f>
        <v>1040.508</v>
      </c>
    </row>
    <row r="111" spans="2:12" x14ac:dyDescent="0.2">
      <c r="B111" s="175"/>
      <c r="C111" s="175"/>
      <c r="D111" s="139"/>
      <c r="E111" s="139"/>
      <c r="F111" s="139"/>
      <c r="G111" s="139"/>
      <c r="H111" s="189"/>
    </row>
    <row r="112" spans="2:12" x14ac:dyDescent="0.2">
      <c r="D112" s="176" t="s">
        <v>193</v>
      </c>
      <c r="E112" s="177"/>
      <c r="F112" s="177"/>
    </row>
    <row r="113" spans="2:10" x14ac:dyDescent="0.2">
      <c r="E113" s="177"/>
      <c r="F113" s="177"/>
    </row>
    <row r="114" spans="2:10" x14ac:dyDescent="0.2">
      <c r="B114" s="136"/>
      <c r="C114" s="137"/>
      <c r="D114" s="137"/>
      <c r="E114" s="138" t="s">
        <v>59</v>
      </c>
      <c r="F114" s="138"/>
      <c r="G114" s="138"/>
      <c r="H114" s="138" t="s">
        <v>24</v>
      </c>
      <c r="I114" s="138" t="s">
        <v>62</v>
      </c>
    </row>
    <row r="115" spans="2:10" x14ac:dyDescent="0.2">
      <c r="B115" s="140"/>
      <c r="C115" s="140"/>
      <c r="D115" s="140"/>
      <c r="E115" s="141" t="s">
        <v>60</v>
      </c>
      <c r="F115" s="141"/>
      <c r="G115" s="141"/>
      <c r="H115" s="141"/>
      <c r="I115" s="141" t="s">
        <v>63</v>
      </c>
    </row>
    <row r="116" spans="2:10" x14ac:dyDescent="0.2">
      <c r="B116" s="141" t="s">
        <v>25</v>
      </c>
      <c r="C116" s="141" t="s">
        <v>26</v>
      </c>
      <c r="D116" s="141" t="s">
        <v>26</v>
      </c>
      <c r="E116" s="141" t="s">
        <v>61</v>
      </c>
      <c r="F116" s="141" t="s">
        <v>141</v>
      </c>
      <c r="G116" s="141" t="s">
        <v>27</v>
      </c>
      <c r="H116" s="141" t="s">
        <v>28</v>
      </c>
      <c r="I116" s="141"/>
    </row>
    <row r="117" spans="2:10" x14ac:dyDescent="0.2">
      <c r="B117" s="141" t="s">
        <v>29</v>
      </c>
      <c r="C117" s="141"/>
      <c r="D117" s="141"/>
      <c r="E117" s="141" t="s">
        <v>420</v>
      </c>
      <c r="F117" s="141"/>
      <c r="G117" s="141" t="s">
        <v>30</v>
      </c>
      <c r="H117" s="141" t="s">
        <v>31</v>
      </c>
      <c r="I117" s="141" t="s">
        <v>31</v>
      </c>
    </row>
    <row r="118" spans="2:10" x14ac:dyDescent="0.2">
      <c r="B118" s="140"/>
      <c r="C118" s="142"/>
      <c r="D118" s="142"/>
      <c r="E118" s="141"/>
      <c r="F118" s="141"/>
      <c r="G118" s="141"/>
      <c r="H118" s="143" t="s">
        <v>33</v>
      </c>
      <c r="I118" s="143" t="s">
        <v>33</v>
      </c>
    </row>
    <row r="119" spans="2:10" x14ac:dyDescent="0.2">
      <c r="B119" s="144">
        <v>1</v>
      </c>
      <c r="C119" s="145">
        <v>2</v>
      </c>
      <c r="D119" s="145">
        <v>2</v>
      </c>
      <c r="E119" s="144">
        <v>3</v>
      </c>
      <c r="F119" s="144">
        <v>4</v>
      </c>
      <c r="G119" s="146">
        <v>5</v>
      </c>
      <c r="H119" s="144">
        <v>6</v>
      </c>
      <c r="I119" s="144">
        <v>7</v>
      </c>
    </row>
    <row r="120" spans="2:10" x14ac:dyDescent="0.2">
      <c r="B120" s="147">
        <v>1</v>
      </c>
      <c r="C120" s="341" t="str">
        <f>VLOOKUP(D120,[1]!Всё,3)</f>
        <v>Очиститель AUNIC CLEANER</v>
      </c>
      <c r="D120" s="191" t="s">
        <v>131</v>
      </c>
      <c r="E120" s="147">
        <v>36</v>
      </c>
      <c r="F120" s="366">
        <f t="shared" ref="F120:F129" si="6">Sзагм2*E120/1000*Квг*IF(Sи&gt;0,1,0)</f>
        <v>0</v>
      </c>
      <c r="G120" s="150" t="str">
        <f>VLOOKUP(D120,[1]!ПрайсНаМатериалы,2)</f>
        <v>кг</v>
      </c>
      <c r="H120" s="150">
        <f>VLOOKUP(D120,[1]!ПрайсНаМатериалы,3)</f>
        <v>542.26</v>
      </c>
      <c r="I120" s="134">
        <f>F120*H120</f>
        <v>0</v>
      </c>
    </row>
    <row r="121" spans="2:10" x14ac:dyDescent="0.2">
      <c r="B121" s="147">
        <v>2</v>
      </c>
      <c r="C121" s="341" t="str">
        <f>VLOOKUP(D121,[1]!Всё,3)</f>
        <v>Микротравитель MICROTECH SF</v>
      </c>
      <c r="D121" s="191" t="s">
        <v>132</v>
      </c>
      <c r="E121" s="147">
        <v>86</v>
      </c>
      <c r="F121" s="366">
        <f t="shared" si="6"/>
        <v>0</v>
      </c>
      <c r="G121" s="150" t="str">
        <f>VLOOKUP(D121,[1]!ПрайсНаМатериалы,2)</f>
        <v>кг</v>
      </c>
      <c r="H121" s="150">
        <f>VLOOKUP(D121,[1]!ПрайсНаМатериалы,3)</f>
        <v>466.4</v>
      </c>
      <c r="I121" s="134">
        <f t="shared" ref="I121:I129" si="7">F121*H121</f>
        <v>0</v>
      </c>
    </row>
    <row r="122" spans="2:10" hidden="1" x14ac:dyDescent="0.2">
      <c r="B122" s="147">
        <v>3</v>
      </c>
      <c r="C122" s="341" t="str">
        <f>VLOOKUP(D122,[1]!Всё,3)</f>
        <v>Активатор AUNIC ACTIVATOR</v>
      </c>
      <c r="D122" s="191" t="s">
        <v>133</v>
      </c>
      <c r="E122" s="147">
        <v>8</v>
      </c>
      <c r="F122" s="366">
        <f t="shared" si="6"/>
        <v>0</v>
      </c>
      <c r="G122" s="150" t="str">
        <f>VLOOKUP(D122,[1]!ПрайсНаМатериалы,2)</f>
        <v>кг</v>
      </c>
      <c r="H122" s="150">
        <f>VLOOKUP(D122,[1]!ПрайсНаМатериалы,3)</f>
        <v>3500</v>
      </c>
      <c r="I122" s="134">
        <f t="shared" si="7"/>
        <v>0</v>
      </c>
      <c r="J122" s="139"/>
    </row>
    <row r="123" spans="2:10" x14ac:dyDescent="0.2">
      <c r="B123" s="147">
        <v>4</v>
      </c>
      <c r="C123" s="341" t="str">
        <f>VLOOKUP(D123,[1]!Всё,3)</f>
        <v>Добавка AUNIC EN "A"</v>
      </c>
      <c r="D123" s="191" t="s">
        <v>134</v>
      </c>
      <c r="E123" s="147">
        <v>350</v>
      </c>
      <c r="F123" s="366">
        <f t="shared" si="6"/>
        <v>0</v>
      </c>
      <c r="G123" s="150" t="str">
        <f>VLOOKUP(D123,[1]!ПрайсНаМатериалы,2)</f>
        <v>кг</v>
      </c>
      <c r="H123" s="150">
        <f>VLOOKUP(D123,[1]!ПрайсНаМатериалы,3)</f>
        <v>705.42</v>
      </c>
      <c r="I123" s="134">
        <f t="shared" si="7"/>
        <v>0</v>
      </c>
      <c r="J123" s="139"/>
    </row>
    <row r="124" spans="2:10" x14ac:dyDescent="0.2">
      <c r="B124" s="147">
        <v>5</v>
      </c>
      <c r="C124" s="341" t="str">
        <f>VLOOKUP(D124,[1]!Всё,3)</f>
        <v>Добавка AUNIC EN "B"</v>
      </c>
      <c r="D124" s="191" t="s">
        <v>135</v>
      </c>
      <c r="E124" s="147">
        <v>245</v>
      </c>
      <c r="F124" s="366">
        <f t="shared" si="6"/>
        <v>0</v>
      </c>
      <c r="G124" s="150" t="str">
        <f>VLOOKUP(D124,[1]!ПрайсНаМатериалы,2)</f>
        <v>кг</v>
      </c>
      <c r="H124" s="150">
        <f>VLOOKUP(D124,[1]!ПрайсНаМатериалы,3)</f>
        <v>633.91</v>
      </c>
      <c r="I124" s="134">
        <f t="shared" si="7"/>
        <v>0</v>
      </c>
      <c r="J124" s="139"/>
    </row>
    <row r="125" spans="2:10" x14ac:dyDescent="0.2">
      <c r="B125" s="147">
        <v>6</v>
      </c>
      <c r="C125" s="341" t="str">
        <f>VLOOKUP(D125,[1]!Всё,3)</f>
        <v>Добавка AUNIC IG "A"</v>
      </c>
      <c r="D125" s="191" t="s">
        <v>136</v>
      </c>
      <c r="E125" s="147">
        <v>22</v>
      </c>
      <c r="F125" s="366">
        <f t="shared" si="6"/>
        <v>0</v>
      </c>
      <c r="G125" s="150" t="str">
        <f>VLOOKUP(D125,[1]!ПрайсНаМатериалы,2)</f>
        <v>кг</v>
      </c>
      <c r="H125" s="150">
        <f>VLOOKUP(D125,[1]!ПрайсНаМатериалы,3)</f>
        <v>1015</v>
      </c>
      <c r="I125" s="134">
        <f t="shared" si="7"/>
        <v>0</v>
      </c>
      <c r="J125" s="139"/>
    </row>
    <row r="126" spans="2:10" x14ac:dyDescent="0.2">
      <c r="B126" s="147">
        <v>7</v>
      </c>
      <c r="C126" s="341" t="str">
        <f>VLOOKUP(D126,[1]!Всё,3)</f>
        <v>Состав для приготовления AUNIC MAKE-UP</v>
      </c>
      <c r="D126" s="191" t="s">
        <v>137</v>
      </c>
      <c r="E126" s="147">
        <v>195</v>
      </c>
      <c r="F126" s="366">
        <f t="shared" si="6"/>
        <v>0</v>
      </c>
      <c r="G126" s="150" t="str">
        <f>VLOOKUP(D126,[1]!ПрайсНаМатериалы,2)</f>
        <v>кг</v>
      </c>
      <c r="H126" s="150">
        <f>VLOOKUP(D126,[1]!ПрайсНаМатериалы,3)</f>
        <v>679.04</v>
      </c>
      <c r="I126" s="134">
        <f t="shared" si="7"/>
        <v>0</v>
      </c>
      <c r="J126" s="139"/>
    </row>
    <row r="127" spans="2:10" x14ac:dyDescent="0.2">
      <c r="B127" s="147">
        <v>8</v>
      </c>
      <c r="C127" s="341" t="str">
        <f>VLOOKUP(D127,[1]!Всё,3)</f>
        <v>Кислота азотная</v>
      </c>
      <c r="D127" s="191" t="s">
        <v>138</v>
      </c>
      <c r="E127" s="164">
        <v>10</v>
      </c>
      <c r="F127" s="366">
        <f t="shared" si="6"/>
        <v>0</v>
      </c>
      <c r="G127" s="150" t="str">
        <f>VLOOKUP(D127,[1]!ПрайсНаМатериалы,2)</f>
        <v>кг</v>
      </c>
      <c r="H127" s="150">
        <f>VLOOKUP(D127,[1]!ПрайсНаМатериалы,3)</f>
        <v>74</v>
      </c>
      <c r="I127" s="134">
        <f t="shared" si="7"/>
        <v>0</v>
      </c>
      <c r="J127" s="139"/>
    </row>
    <row r="128" spans="2:10" x14ac:dyDescent="0.2">
      <c r="B128" s="147">
        <v>9</v>
      </c>
      <c r="C128" s="341" t="str">
        <f>VLOOKUP(D128,[1]!Всё,3)</f>
        <v>Калий дицианоаурат (I) (68,23%) чда</v>
      </c>
      <c r="D128" s="191" t="s">
        <v>139</v>
      </c>
      <c r="E128" s="147">
        <v>3.0019999999999998</v>
      </c>
      <c r="F128" s="366">
        <f>Sи*0.01*E128*N*Квг</f>
        <v>0</v>
      </c>
      <c r="G128" s="150" t="str">
        <f>VLOOKUP(D128,[1]!ПрайсНаМатериалы,2)</f>
        <v>г</v>
      </c>
      <c r="H128" s="150">
        <f>VLOOKUP(D128,[1]!ПрайсНаМатериалы,3)</f>
        <v>1322.08</v>
      </c>
      <c r="I128" s="134">
        <f>F128*H128</f>
        <v>0</v>
      </c>
    </row>
    <row r="129" spans="2:9" ht="12" thickBot="1" x14ac:dyDescent="0.25">
      <c r="B129" s="147">
        <v>10</v>
      </c>
      <c r="C129" s="341" t="str">
        <f>VLOOKUP(D129,[1]!Всё,3)</f>
        <v>Добавка AUNIC EN "C"</v>
      </c>
      <c r="D129" s="191" t="s">
        <v>359</v>
      </c>
      <c r="E129" s="147">
        <v>9</v>
      </c>
      <c r="F129" s="366">
        <f t="shared" si="6"/>
        <v>0</v>
      </c>
      <c r="G129" s="150" t="str">
        <f>VLOOKUP(D129,[1]!ПрайсНаМатериалы,2)</f>
        <v>кг</v>
      </c>
      <c r="H129" s="150">
        <f>VLOOKUP(D129,[1]!ПрайсНаМатериалы,3)</f>
        <v>958.34</v>
      </c>
      <c r="I129" s="134">
        <f t="shared" si="7"/>
        <v>0</v>
      </c>
    </row>
    <row r="130" spans="2:9" ht="12" thickBot="1" x14ac:dyDescent="0.25">
      <c r="C130" s="201" t="s">
        <v>162</v>
      </c>
      <c r="D130" s="201" t="s">
        <v>162</v>
      </c>
      <c r="E130" s="173"/>
      <c r="F130" s="173"/>
      <c r="G130" s="173"/>
      <c r="H130" s="173"/>
      <c r="I130" s="192">
        <f>SUM(I120:I129)</f>
        <v>0</v>
      </c>
    </row>
    <row r="131" spans="2:9" ht="12" thickBot="1" x14ac:dyDescent="0.25">
      <c r="C131" s="195" t="s">
        <v>364</v>
      </c>
      <c r="D131" s="195" t="s">
        <v>364</v>
      </c>
      <c r="E131" s="173"/>
      <c r="F131" s="173"/>
      <c r="G131" s="173"/>
      <c r="H131" s="173"/>
      <c r="I131" s="174">
        <f>CEILING((материалы+пленка+сухаямаска+жидкаямаска+фммаркировка+printarкраска+материалыимер)*(1+плановнакопл/100)+ПКИ*(1+наценкаПКИ/100),1)</f>
        <v>20133</v>
      </c>
    </row>
    <row r="133" spans="2:9" ht="12.75" x14ac:dyDescent="0.2">
      <c r="B133" s="238" t="s">
        <v>369</v>
      </c>
      <c r="C133" s="238"/>
      <c r="D133"/>
      <c r="E133"/>
      <c r="G133" s="263"/>
      <c r="H133" s="263"/>
      <c r="I133" s="240" t="s">
        <v>413</v>
      </c>
    </row>
  </sheetData>
  <mergeCells count="5">
    <mergeCell ref="B4:I4"/>
    <mergeCell ref="B5:I5"/>
    <mergeCell ref="B6:I6"/>
    <mergeCell ref="R37:T39"/>
    <mergeCell ref="C84:C88"/>
  </mergeCells>
  <phoneticPr fontId="4" type="noConversion"/>
  <pageMargins left="0.78740157480314965" right="0.78740157480314965" top="0.59055118110236227" bottom="0.59055118110236227" header="0.51181102362204722" footer="0.51181102362204722"/>
  <pageSetup paperSize="9" fitToHeight="0" orientation="portrait" r:id="rId1"/>
  <headerFooter alignWithMargins="0"/>
  <rowBreaks count="1" manualBreakCount="1">
    <brk id="66" min="1" max="7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1:P59"/>
  <sheetViews>
    <sheetView topLeftCell="A4" zoomScaleNormal="100" workbookViewId="0">
      <selection activeCell="B7" sqref="B7:C7"/>
    </sheetView>
  </sheetViews>
  <sheetFormatPr defaultColWidth="9.140625" defaultRowHeight="11.25" x14ac:dyDescent="0.2"/>
  <cols>
    <col min="1" max="1" width="2.140625" style="106" customWidth="1"/>
    <col min="2" max="2" width="3.28515625" style="106" customWidth="1"/>
    <col min="3" max="3" width="48.5703125" style="106" customWidth="1"/>
    <col min="4" max="4" width="8.140625" style="106" customWidth="1"/>
    <col min="5" max="5" width="14.7109375" style="106" customWidth="1"/>
    <col min="6" max="6" width="9.5703125" style="131" customWidth="1"/>
    <col min="7" max="7" width="4.140625" style="106" customWidth="1"/>
    <col min="8" max="16384" width="9.140625" style="106"/>
  </cols>
  <sheetData>
    <row r="1" spans="2:11" x14ac:dyDescent="0.2">
      <c r="F1" s="132" t="s">
        <v>295</v>
      </c>
    </row>
    <row r="2" spans="2:11" x14ac:dyDescent="0.2">
      <c r="E2" s="131"/>
      <c r="F2" s="241" t="s">
        <v>403</v>
      </c>
    </row>
    <row r="3" spans="2:11" x14ac:dyDescent="0.2">
      <c r="F3" s="132" t="s">
        <v>148</v>
      </c>
    </row>
    <row r="4" spans="2:11" s="108" customFormat="1" ht="13.15" customHeight="1" x14ac:dyDescent="0.2">
      <c r="B4" s="430" t="s">
        <v>142</v>
      </c>
      <c r="C4" s="430"/>
      <c r="D4" s="430"/>
      <c r="E4" s="430"/>
      <c r="F4" s="430"/>
      <c r="G4" s="111"/>
    </row>
    <row r="5" spans="2:11" s="108" customFormat="1" ht="13.15" customHeight="1" x14ac:dyDescent="0.2">
      <c r="B5" s="430" t="str">
        <f>CONCATENATE("трудозатрат на изготовление ДПП ",Наименование_платы," в кол-ве ",П," шт.")</f>
        <v>трудозатрат на изготовление ДПП Децимальный номер платы в кол-ве 41 шт.</v>
      </c>
      <c r="C5" s="430"/>
      <c r="D5" s="430"/>
      <c r="E5" s="430"/>
      <c r="F5" s="430"/>
      <c r="I5" s="108" t="s">
        <v>203</v>
      </c>
    </row>
    <row r="6" spans="2:11" s="108" customFormat="1" ht="12" x14ac:dyDescent="0.2">
      <c r="B6" s="430"/>
      <c r="C6" s="430"/>
      <c r="D6" s="430"/>
      <c r="E6" s="430"/>
      <c r="F6" s="430"/>
      <c r="K6" s="110"/>
    </row>
    <row r="7" spans="2:11" s="108" customFormat="1" ht="24" customHeight="1" x14ac:dyDescent="0.2">
      <c r="B7" s="435" t="s">
        <v>460</v>
      </c>
      <c r="C7" s="435"/>
      <c r="E7" s="110">
        <f>ФОТнч</f>
        <v>242.67</v>
      </c>
      <c r="F7" s="109" t="s">
        <v>33</v>
      </c>
    </row>
    <row r="8" spans="2:11" ht="22.5" x14ac:dyDescent="0.2">
      <c r="B8" s="138" t="s">
        <v>153</v>
      </c>
      <c r="C8" s="203" t="s">
        <v>155</v>
      </c>
      <c r="D8" s="204"/>
      <c r="E8" s="205" t="s">
        <v>154</v>
      </c>
      <c r="F8" s="165" t="s">
        <v>161</v>
      </c>
    </row>
    <row r="9" spans="2:11" x14ac:dyDescent="0.2">
      <c r="B9" s="203"/>
      <c r="C9" s="196" t="s">
        <v>158</v>
      </c>
      <c r="D9" s="204"/>
      <c r="E9" s="205"/>
      <c r="F9" s="165"/>
      <c r="G9" s="130"/>
    </row>
    <row r="10" spans="2:11" x14ac:dyDescent="0.2">
      <c r="B10" s="206">
        <v>1</v>
      </c>
      <c r="C10" s="207" t="s">
        <v>150</v>
      </c>
      <c r="D10" s="208"/>
      <c r="E10" s="209">
        <f>Время_конструкторов</f>
        <v>3</v>
      </c>
      <c r="F10" s="134">
        <f>E10*ФОТнч</f>
        <v>728.01</v>
      </c>
    </row>
    <row r="11" spans="2:11" x14ac:dyDescent="0.2">
      <c r="B11" s="138">
        <v>2</v>
      </c>
      <c r="C11" s="207" t="s">
        <v>147</v>
      </c>
      <c r="D11" s="173"/>
      <c r="E11" s="209">
        <f>IF(Класс_точности=3,Расчет!E37*ФШи,Расчет!E38*ФШи)</f>
        <v>0.8</v>
      </c>
      <c r="F11" s="134">
        <f>E11*ФОТнч</f>
        <v>194.136</v>
      </c>
    </row>
    <row r="12" spans="2:11" x14ac:dyDescent="0.2">
      <c r="B12" s="138">
        <v>3</v>
      </c>
      <c r="C12" s="207" t="s">
        <v>151</v>
      </c>
      <c r="D12" s="173"/>
      <c r="E12" s="209">
        <f>IF(Класс_точности=3,Расчет!E40*ФШп,Расчет!E41*ФШп)</f>
        <v>0.5</v>
      </c>
      <c r="F12" s="134">
        <f>E12*ФОТнч</f>
        <v>121.33499999999999</v>
      </c>
    </row>
    <row r="13" spans="2:11" x14ac:dyDescent="0.2">
      <c r="B13" s="210">
        <v>4</v>
      </c>
      <c r="C13" s="211" t="s">
        <v>392</v>
      </c>
      <c r="D13" s="139"/>
      <c r="E13" s="209">
        <f>IF(Класс_точности=3,Расчет!E42,Расчет!E43)</f>
        <v>0.96</v>
      </c>
      <c r="F13" s="134">
        <f>E13*ФОТнч</f>
        <v>232.96319999999997</v>
      </c>
    </row>
    <row r="14" spans="2:11" x14ac:dyDescent="0.2">
      <c r="B14" s="212">
        <v>5</v>
      </c>
      <c r="C14" s="171" t="s">
        <v>152</v>
      </c>
      <c r="D14" s="188"/>
      <c r="E14" s="209">
        <f>Расчет!E44</f>
        <v>0.26400000000000001</v>
      </c>
      <c r="F14" s="134">
        <f>E14*ФОТнч</f>
        <v>64.064880000000002</v>
      </c>
    </row>
    <row r="15" spans="2:11" x14ac:dyDescent="0.2">
      <c r="B15" s="213"/>
      <c r="C15" s="214" t="s">
        <v>162</v>
      </c>
      <c r="D15" s="188"/>
      <c r="E15" s="215">
        <f>SUM(E10:E14)</f>
        <v>5.524</v>
      </c>
      <c r="F15" s="199">
        <f>SUM(F10:F14)</f>
        <v>1340.5090799999998</v>
      </c>
      <c r="H15" s="106" t="s">
        <v>200</v>
      </c>
    </row>
    <row r="16" spans="2:11" x14ac:dyDescent="0.2">
      <c r="B16" s="172"/>
      <c r="C16" s="197" t="s">
        <v>159</v>
      </c>
      <c r="D16" s="173"/>
      <c r="E16" s="198"/>
      <c r="F16" s="165"/>
    </row>
    <row r="17" spans="2:6" x14ac:dyDescent="0.2">
      <c r="B17" s="216">
        <v>1</v>
      </c>
      <c r="C17" s="217" t="s">
        <v>390</v>
      </c>
      <c r="D17" s="218"/>
      <c r="E17" s="209">
        <f>(IF(Класс_точности=3,Трудоемкости!C11,Трудоемкости!D11))*Кп*Кс*Sзаг*Квг</f>
        <v>0.87318000000000018</v>
      </c>
      <c r="F17" s="134">
        <f t="shared" ref="F17:F37" si="0">E17*ФОТнч</f>
        <v>211.89459060000004</v>
      </c>
    </row>
    <row r="18" spans="2:6" x14ac:dyDescent="0.2">
      <c r="B18" s="216">
        <v>2</v>
      </c>
      <c r="C18" s="219" t="s">
        <v>385</v>
      </c>
      <c r="D18" s="173"/>
      <c r="E18" s="209">
        <f>Расчет!G51/Сн</f>
        <v>10.482790499999998</v>
      </c>
      <c r="F18" s="134">
        <f t="shared" si="0"/>
        <v>2543.8587706349995</v>
      </c>
    </row>
    <row r="19" spans="2:6" x14ac:dyDescent="0.2">
      <c r="B19" s="216">
        <v>3</v>
      </c>
      <c r="C19" s="219" t="s">
        <v>66</v>
      </c>
      <c r="D19" s="173"/>
      <c r="E19" s="209">
        <f>(IF(Класс_точности=3,Трудоемкости!C13,Трудоемкости!D13))*Кп*Кс*Sзаг*Квг</f>
        <v>0.52972920000000012</v>
      </c>
      <c r="F19" s="134">
        <f t="shared" si="0"/>
        <v>128.54938496400001</v>
      </c>
    </row>
    <row r="20" spans="2:6" x14ac:dyDescent="0.2">
      <c r="B20" s="216">
        <v>4</v>
      </c>
      <c r="C20" s="219" t="s">
        <v>391</v>
      </c>
      <c r="D20" s="173"/>
      <c r="E20" s="209">
        <f>(IF(Класс_точности=3,Трудоемкости!C14,Трудоемкости!D14))*Кп*Кс*Sзаг*Квг</f>
        <v>1.7463600000000004</v>
      </c>
      <c r="F20" s="134">
        <f t="shared" si="0"/>
        <v>423.78918120000009</v>
      </c>
    </row>
    <row r="21" spans="2:6" x14ac:dyDescent="0.2">
      <c r="B21" s="216">
        <v>5</v>
      </c>
      <c r="C21" s="219" t="s">
        <v>112</v>
      </c>
      <c r="D21" s="173"/>
      <c r="E21" s="209">
        <f>(IF(Класс_точности=3,Трудоемкости!C15,Трудоемкости!D15))*Кп*Кс*Sзаг*Квг</f>
        <v>8.7318000000000016</v>
      </c>
      <c r="F21" s="134">
        <f t="shared" si="0"/>
        <v>2118.9459060000004</v>
      </c>
    </row>
    <row r="22" spans="2:6" x14ac:dyDescent="0.2">
      <c r="B22" s="216">
        <v>6</v>
      </c>
      <c r="C22" s="219" t="s">
        <v>113</v>
      </c>
      <c r="D22" s="173"/>
      <c r="E22" s="209">
        <f>(IF(Класс_точности=3,Трудоемкости!C16,Трудоемкости!D16))*Кп*Кс*Sзаг*Квг</f>
        <v>1.7463600000000004</v>
      </c>
      <c r="F22" s="134">
        <f t="shared" si="0"/>
        <v>423.78918120000009</v>
      </c>
    </row>
    <row r="23" spans="2:6" x14ac:dyDescent="0.2">
      <c r="B23" s="216">
        <v>7</v>
      </c>
      <c r="C23" s="219" t="s">
        <v>68</v>
      </c>
      <c r="D23" s="173"/>
      <c r="E23" s="209">
        <f>(IF(Класс_точности=3,Трудоемкости!C18,Трудоемкости!D18))*Кп*Кс*Sзаг*Квг</f>
        <v>2.3284800000000003</v>
      </c>
      <c r="F23" s="134">
        <f t="shared" si="0"/>
        <v>565.0522416</v>
      </c>
    </row>
    <row r="24" spans="2:6" x14ac:dyDescent="0.2">
      <c r="B24" s="216">
        <v>8</v>
      </c>
      <c r="C24" s="219" t="s">
        <v>69</v>
      </c>
      <c r="D24" s="173"/>
      <c r="E24" s="209">
        <f>(IF(Класс_точности=3,Трудоемкости!C19,Трудоемкости!D19))*Кп*Кс*Sзаг*Квг</f>
        <v>2.3284800000000003</v>
      </c>
      <c r="F24" s="134">
        <f t="shared" si="0"/>
        <v>565.0522416</v>
      </c>
    </row>
    <row r="25" spans="2:6" x14ac:dyDescent="0.2">
      <c r="B25" s="216">
        <v>9</v>
      </c>
      <c r="C25" s="219" t="s">
        <v>70</v>
      </c>
      <c r="D25" s="173"/>
      <c r="E25" s="209">
        <f>(IF(Класс_точности=3,Трудоемкости!C20,Трудоемкости!D20))*Кп*Кс*Sзаг*Квг</f>
        <v>2.3284800000000003</v>
      </c>
      <c r="F25" s="134">
        <f t="shared" si="0"/>
        <v>565.0522416</v>
      </c>
    </row>
    <row r="26" spans="2:6" x14ac:dyDescent="0.2">
      <c r="B26" s="216">
        <v>10</v>
      </c>
      <c r="C26" s="219" t="s">
        <v>71</v>
      </c>
      <c r="D26" s="173"/>
      <c r="E26" s="209">
        <f>(IF(Класс_точности=3,Трудоемкости!C21,Трудоемкости!D21))*Кп*Кс*Sзаг*Квг</f>
        <v>0.5292</v>
      </c>
      <c r="F26" s="134">
        <f t="shared" si="0"/>
        <v>128.420964</v>
      </c>
    </row>
    <row r="27" spans="2:6" x14ac:dyDescent="0.2">
      <c r="B27" s="216">
        <v>11</v>
      </c>
      <c r="C27" s="219" t="s">
        <v>115</v>
      </c>
      <c r="D27" s="173"/>
      <c r="E27" s="209">
        <f>(IF(Класс_точности=3,Трудоемкости!C22,Трудоемкости!D22))*Кп*Кс*Sзаг*Квг</f>
        <v>10.187100000000003</v>
      </c>
      <c r="F27" s="134">
        <f t="shared" si="0"/>
        <v>2472.1035570000004</v>
      </c>
    </row>
    <row r="28" spans="2:6" x14ac:dyDescent="0.2">
      <c r="B28" s="216">
        <v>12</v>
      </c>
      <c r="C28" s="219" t="s">
        <v>116</v>
      </c>
      <c r="D28" s="173"/>
      <c r="E28" s="209">
        <f>(IF(Класс_точности=3,Трудоемкости!C23,Трудоемкости!D23))*Кп*Кс*Sзаг*Квг</f>
        <v>2.3284800000000003</v>
      </c>
      <c r="F28" s="134">
        <f t="shared" si="0"/>
        <v>565.0522416</v>
      </c>
    </row>
    <row r="29" spans="2:6" x14ac:dyDescent="0.2">
      <c r="B29" s="216">
        <v>13</v>
      </c>
      <c r="C29" s="219" t="s">
        <v>71</v>
      </c>
      <c r="D29" s="173"/>
      <c r="E29" s="209">
        <f>(IF(Класс_точности=3,Трудоемкости!C24,Трудоемкости!D24))*Кп*Кс*Sзаг*Квг</f>
        <v>1.7463600000000004</v>
      </c>
      <c r="F29" s="134">
        <f t="shared" si="0"/>
        <v>423.78918120000009</v>
      </c>
    </row>
    <row r="30" spans="2:6" x14ac:dyDescent="0.2">
      <c r="B30" s="216">
        <v>14</v>
      </c>
      <c r="C30" s="219" t="s">
        <v>72</v>
      </c>
      <c r="D30" s="173"/>
      <c r="E30" s="209">
        <f>(IF(Класс_точности=3,Трудоемкости!C25,Трудоемкости!D25))*Кп*Кс*Sзаг*Квг</f>
        <v>4.9480200000000005</v>
      </c>
      <c r="F30" s="134">
        <f t="shared" si="0"/>
        <v>1200.7360134</v>
      </c>
    </row>
    <row r="31" spans="2:6" x14ac:dyDescent="0.2">
      <c r="B31" s="216">
        <v>15</v>
      </c>
      <c r="C31" s="219" t="s">
        <v>73</v>
      </c>
      <c r="D31" s="173"/>
      <c r="E31" s="209">
        <f>(IF(Класс_точности=3,Трудоемкости!C26,Трудоемкости!D26))*Кп*Кс*Sзаг*Квг</f>
        <v>2.3284800000000003</v>
      </c>
      <c r="F31" s="134">
        <f t="shared" si="0"/>
        <v>565.0522416</v>
      </c>
    </row>
    <row r="32" spans="2:6" x14ac:dyDescent="0.2">
      <c r="B32" s="216">
        <v>16</v>
      </c>
      <c r="C32" s="219" t="s">
        <v>74</v>
      </c>
      <c r="D32" s="173"/>
      <c r="E32" s="209">
        <f>(IF(Класс_точности=3,Трудоемкости!C27,Трудоемкости!D27))*Кп*Кс*Sзаг*Квг</f>
        <v>1.1642400000000002</v>
      </c>
      <c r="F32" s="134">
        <f t="shared" si="0"/>
        <v>282.5261208</v>
      </c>
    </row>
    <row r="33" spans="2:8" x14ac:dyDescent="0.2">
      <c r="B33" s="216">
        <v>17</v>
      </c>
      <c r="C33" s="219" t="s">
        <v>389</v>
      </c>
      <c r="D33" s="173"/>
      <c r="E33" s="209">
        <f>(IF(Класс_точности=3,Трудоемкости!C28,Трудоемкости!D28))*Кп*Кс*Sзаг*Квг</f>
        <v>4.0748400000000009</v>
      </c>
      <c r="F33" s="134">
        <f t="shared" si="0"/>
        <v>988.84142280000015</v>
      </c>
    </row>
    <row r="34" spans="2:8" x14ac:dyDescent="0.2">
      <c r="B34" s="216">
        <v>18</v>
      </c>
      <c r="C34" s="220" t="s">
        <v>388</v>
      </c>
      <c r="E34" s="209">
        <f>(IF(Класс_точности=3,Трудоемкости!C29,Трудоемкости!D29))*Кп*Кс*Sзаг*Квг</f>
        <v>1.1642400000000002</v>
      </c>
      <c r="F34" s="134">
        <f t="shared" si="0"/>
        <v>282.5261208</v>
      </c>
    </row>
    <row r="35" spans="2:8" x14ac:dyDescent="0.2">
      <c r="B35" s="216">
        <v>19</v>
      </c>
      <c r="C35" s="221" t="s">
        <v>387</v>
      </c>
      <c r="D35" s="173"/>
      <c r="E35" s="209">
        <f>(IF(Класс_точности=3,Трудоемкости!C30,Трудоемкости!D30))*Кп*Кс*Sзаг*Квг</f>
        <v>1.7463600000000004</v>
      </c>
      <c r="F35" s="134">
        <f t="shared" si="0"/>
        <v>423.78918120000009</v>
      </c>
    </row>
    <row r="36" spans="2:8" x14ac:dyDescent="0.2">
      <c r="B36" s="216">
        <v>20</v>
      </c>
      <c r="C36" s="222" t="s">
        <v>457</v>
      </c>
      <c r="D36" s="188"/>
      <c r="E36" s="209">
        <f>(IF(Класс_точности=3,Трудоемкости!C31,Трудоемкости!D31))*Кп*Кс*Sзаг*Квг</f>
        <v>0</v>
      </c>
      <c r="F36" s="134">
        <f t="shared" ref="F36" si="1">E36*ФОТнч</f>
        <v>0</v>
      </c>
      <c r="H36" s="202"/>
    </row>
    <row r="37" spans="2:8" x14ac:dyDescent="0.2">
      <c r="B37" s="216">
        <v>21</v>
      </c>
      <c r="C37" s="222" t="s">
        <v>386</v>
      </c>
      <c r="D37" s="188"/>
      <c r="E37" s="209">
        <f>(IF(Класс_точности=3,Трудоемкости!C32,Трудоемкости!D32))*Кп*Кс*Sзаг*Квг</f>
        <v>1.7463600000000004</v>
      </c>
      <c r="F37" s="134">
        <f t="shared" si="0"/>
        <v>423.78918120000009</v>
      </c>
      <c r="H37" s="106" t="s">
        <v>201</v>
      </c>
    </row>
    <row r="38" spans="2:8" x14ac:dyDescent="0.2">
      <c r="B38" s="213"/>
      <c r="C38" s="214" t="s">
        <v>162</v>
      </c>
      <c r="D38" s="188"/>
      <c r="E38" s="215">
        <f>SUM(E17:E37)</f>
        <v>63.059339700000002</v>
      </c>
      <c r="F38" s="199">
        <f>SUM(F17:F37)</f>
        <v>15302.609964999001</v>
      </c>
    </row>
    <row r="39" spans="2:8" x14ac:dyDescent="0.2">
      <c r="B39" s="223"/>
      <c r="C39" s="224" t="s">
        <v>160</v>
      </c>
      <c r="D39" s="173"/>
      <c r="E39" s="225"/>
    </row>
    <row r="40" spans="2:8" x14ac:dyDescent="0.2">
      <c r="B40" s="226">
        <v>1</v>
      </c>
      <c r="C40" s="341" t="s">
        <v>156</v>
      </c>
      <c r="D40" s="227"/>
      <c r="E40" s="209">
        <f>Расчет!G52/Сн+Расчет!G53/Сн</f>
        <v>1.9407905999999999</v>
      </c>
      <c r="F40" s="134">
        <f t="shared" ref="F40:F45" si="2">E40*ФОТнч</f>
        <v>470.97165490199995</v>
      </c>
    </row>
    <row r="41" spans="2:8" x14ac:dyDescent="0.2">
      <c r="B41" s="223">
        <v>2</v>
      </c>
      <c r="C41" s="207" t="s">
        <v>181</v>
      </c>
      <c r="D41" s="198"/>
      <c r="E41" s="209">
        <f>Расчет!G54/Сн</f>
        <v>4.7816999999999998</v>
      </c>
      <c r="F41" s="134">
        <f t="shared" si="2"/>
        <v>1160.375139</v>
      </c>
      <c r="H41" s="202"/>
    </row>
    <row r="42" spans="2:8" x14ac:dyDescent="0.2">
      <c r="B42" s="226">
        <v>1</v>
      </c>
      <c r="C42" s="167" t="s">
        <v>384</v>
      </c>
      <c r="D42" s="228"/>
      <c r="E42" s="209">
        <f>IF(Класс_точности=3,IF(Ссм=2,Тсм23,Тсм13*Ссм),IF(Ссм=2,Тсм24,Тсм14*Ссм))*Sпл*Км+IF(Класс_точности=3,IF(Сжм=2,Тжм23,Тжм13*Сжм),IF(Сжм=2,Тжм24,Тжм14*Сжм))*Sпл*Км</f>
        <v>2.3816436286720002</v>
      </c>
      <c r="F42" s="134">
        <f t="shared" si="2"/>
        <v>577.95345936983426</v>
      </c>
    </row>
    <row r="43" spans="2:8" x14ac:dyDescent="0.2">
      <c r="B43" s="223">
        <v>2</v>
      </c>
      <c r="C43" s="230" t="s">
        <v>157</v>
      </c>
      <c r="D43" s="228"/>
      <c r="E43" s="209">
        <f>Трудоемкости!C45*П*Ручная_маркировка</f>
        <v>2.4602050000000002</v>
      </c>
      <c r="F43" s="134">
        <f t="shared" si="2"/>
        <v>597.01794734999999</v>
      </c>
      <c r="H43" s="202"/>
    </row>
    <row r="44" spans="2:8" x14ac:dyDescent="0.2">
      <c r="B44" s="223">
        <v>3</v>
      </c>
      <c r="C44" s="231" t="s">
        <v>346</v>
      </c>
      <c r="D44" s="198"/>
      <c r="E44" s="229">
        <f>IF(типмаркировки=1,IF(Класс_точности=3,IF(Сф=2,Тфм23,Тфм13),IF(Сф=2,Тфм24,Тфм14)),IF(типмаркировки=2,IF(Класс_точности=3,IF(Сф=2,Тмр23,Тмр13),IF(Сф=2,Тмр24,Тмр14)),0))*Sзаг</f>
        <v>1.89</v>
      </c>
      <c r="F44" s="134">
        <f t="shared" si="2"/>
        <v>458.64629999999994</v>
      </c>
    </row>
    <row r="45" spans="2:8" x14ac:dyDescent="0.2">
      <c r="B45" s="223">
        <v>4</v>
      </c>
      <c r="C45" s="230" t="s">
        <v>174</v>
      </c>
      <c r="D45" s="227"/>
      <c r="E45" s="209">
        <f>IF(Sи&gt;0,Трудоемкости!C52*N,0)</f>
        <v>0</v>
      </c>
      <c r="F45" s="134">
        <f t="shared" si="2"/>
        <v>0</v>
      </c>
    </row>
    <row r="46" spans="2:8" x14ac:dyDescent="0.2">
      <c r="B46" s="232"/>
      <c r="C46" s="195" t="s">
        <v>162</v>
      </c>
      <c r="D46" s="198"/>
      <c r="E46" s="215">
        <f>SUM(E40:E45)</f>
        <v>13.454339228672</v>
      </c>
      <c r="F46" s="199">
        <f>SUM(F40:F45)</f>
        <v>3264.9645006218338</v>
      </c>
    </row>
    <row r="47" spans="2:8" x14ac:dyDescent="0.2">
      <c r="B47" s="223"/>
      <c r="C47" s="197"/>
      <c r="D47" s="198"/>
      <c r="E47" s="209"/>
      <c r="F47" s="199" t="s">
        <v>202</v>
      </c>
    </row>
    <row r="48" spans="2:8" x14ac:dyDescent="0.2">
      <c r="B48" s="223"/>
      <c r="C48" s="224" t="s">
        <v>163</v>
      </c>
      <c r="D48" s="198"/>
      <c r="E48" s="215">
        <f>E15+E38+E46</f>
        <v>82.037678928671994</v>
      </c>
      <c r="F48" s="199">
        <f>F15+F38+F46</f>
        <v>19908.083545620837</v>
      </c>
    </row>
    <row r="49" spans="2:16" ht="25.9" customHeight="1" x14ac:dyDescent="0.2">
      <c r="B49" s="233"/>
      <c r="C49" s="234"/>
      <c r="D49" s="139"/>
      <c r="E49" s="161"/>
      <c r="G49" s="263"/>
      <c r="I49" s="139"/>
      <c r="K49"/>
      <c r="L49"/>
      <c r="M49"/>
      <c r="N49"/>
      <c r="O49"/>
      <c r="P49"/>
    </row>
    <row r="50" spans="2:16" ht="12.75" x14ac:dyDescent="0.2">
      <c r="B50" s="238" t="s">
        <v>369</v>
      </c>
      <c r="C50"/>
      <c r="D50"/>
      <c r="F50" s="240" t="s">
        <v>413</v>
      </c>
      <c r="K50"/>
      <c r="L50"/>
      <c r="M50"/>
      <c r="N50"/>
      <c r="O50"/>
      <c r="P50"/>
    </row>
    <row r="51" spans="2:16" x14ac:dyDescent="0.2">
      <c r="B51" s="233"/>
      <c r="C51" s="234"/>
      <c r="D51" s="139"/>
      <c r="E51" s="161"/>
    </row>
    <row r="52" spans="2:16" x14ac:dyDescent="0.2">
      <c r="B52" s="233"/>
      <c r="C52" s="234"/>
      <c r="D52" s="139"/>
      <c r="E52" s="161"/>
    </row>
    <row r="53" spans="2:16" x14ac:dyDescent="0.2">
      <c r="B53" s="233"/>
      <c r="C53" s="234"/>
      <c r="D53" s="139"/>
      <c r="E53" s="161"/>
    </row>
    <row r="54" spans="2:16" x14ac:dyDescent="0.2">
      <c r="E54" s="131"/>
    </row>
    <row r="56" spans="2:16" x14ac:dyDescent="0.2">
      <c r="B56" s="235"/>
      <c r="C56" s="236"/>
    </row>
    <row r="57" spans="2:16" x14ac:dyDescent="0.2">
      <c r="B57" s="235"/>
      <c r="C57" s="236"/>
    </row>
    <row r="58" spans="2:16" x14ac:dyDescent="0.2">
      <c r="B58" s="235"/>
      <c r="C58" s="236"/>
    </row>
    <row r="59" spans="2:16" x14ac:dyDescent="0.2">
      <c r="B59" s="235"/>
      <c r="C59" s="236"/>
    </row>
  </sheetData>
  <mergeCells count="4">
    <mergeCell ref="B4:F4"/>
    <mergeCell ref="B5:F5"/>
    <mergeCell ref="B6:F6"/>
    <mergeCell ref="B7:C7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M55"/>
  <sheetViews>
    <sheetView topLeftCell="A10" zoomScale="85" zoomScaleNormal="85" workbookViewId="0">
      <selection activeCell="L41" sqref="L41"/>
    </sheetView>
  </sheetViews>
  <sheetFormatPr defaultRowHeight="12.75" x14ac:dyDescent="0.2"/>
  <cols>
    <col min="1" max="1" width="4.28515625" customWidth="1"/>
    <col min="2" max="2" width="53.28515625" customWidth="1"/>
    <col min="3" max="3" width="14.7109375" customWidth="1"/>
    <col min="4" max="4" width="14.5703125" customWidth="1"/>
  </cols>
  <sheetData>
    <row r="1" spans="1:9" s="106" customFormat="1" ht="11.25" x14ac:dyDescent="0.2">
      <c r="C1" s="130"/>
      <c r="D1" s="132" t="s">
        <v>296</v>
      </c>
    </row>
    <row r="2" spans="1:9" s="106" customFormat="1" ht="11.25" x14ac:dyDescent="0.2">
      <c r="C2" s="131"/>
      <c r="D2" s="241" t="s">
        <v>403</v>
      </c>
    </row>
    <row r="3" spans="1:9" s="106" customFormat="1" ht="11.25" x14ac:dyDescent="0.2">
      <c r="D3" s="132" t="s">
        <v>148</v>
      </c>
    </row>
    <row r="4" spans="1:9" ht="15.75" x14ac:dyDescent="0.25">
      <c r="A4" s="438" t="s">
        <v>404</v>
      </c>
      <c r="B4" s="438"/>
      <c r="C4" s="438"/>
      <c r="D4" s="438"/>
      <c r="E4" s="319" t="s">
        <v>371</v>
      </c>
    </row>
    <row r="5" spans="1:9" ht="15.75" x14ac:dyDescent="0.25">
      <c r="A5" s="438" t="s">
        <v>405</v>
      </c>
      <c r="B5" s="438"/>
      <c r="C5" s="438"/>
      <c r="D5" s="438"/>
      <c r="E5" s="319">
        <v>1.1000000000000001</v>
      </c>
    </row>
    <row r="7" spans="1:9" ht="25.5" x14ac:dyDescent="0.2">
      <c r="A7" s="81" t="s">
        <v>64</v>
      </c>
      <c r="B7" s="71" t="s">
        <v>65</v>
      </c>
      <c r="C7" s="72" t="s">
        <v>109</v>
      </c>
      <c r="D7" s="103" t="s">
        <v>109</v>
      </c>
    </row>
    <row r="8" spans="1:9" ht="26.25" customHeight="1" x14ac:dyDescent="0.2">
      <c r="A8" s="73"/>
      <c r="B8" s="74"/>
      <c r="C8" s="75" t="s">
        <v>119</v>
      </c>
      <c r="D8" s="104" t="s">
        <v>120</v>
      </c>
    </row>
    <row r="9" spans="1:9" ht="15" customHeight="1" x14ac:dyDescent="0.2">
      <c r="A9" s="117"/>
      <c r="B9" s="118" t="s">
        <v>185</v>
      </c>
      <c r="C9" s="119"/>
      <c r="D9" s="120"/>
    </row>
    <row r="10" spans="1:9" x14ac:dyDescent="0.2">
      <c r="A10" s="77">
        <v>1</v>
      </c>
      <c r="B10" s="348" t="s">
        <v>147</v>
      </c>
      <c r="C10" s="324">
        <v>0.4</v>
      </c>
      <c r="D10" s="324">
        <v>0.5</v>
      </c>
      <c r="E10" s="324">
        <v>0.3</v>
      </c>
      <c r="F10" s="324">
        <v>0.4</v>
      </c>
      <c r="G10" t="s">
        <v>438</v>
      </c>
    </row>
    <row r="11" spans="1:9" x14ac:dyDescent="0.2">
      <c r="A11" s="77">
        <v>2</v>
      </c>
      <c r="B11" s="348" t="s">
        <v>110</v>
      </c>
      <c r="C11" s="324">
        <f>0.003*Кутр</f>
        <v>3.3000000000000004E-3</v>
      </c>
      <c r="D11" s="324">
        <f>0.004*Кутр</f>
        <v>4.4000000000000003E-3</v>
      </c>
    </row>
    <row r="12" spans="1:9" ht="12.75" customHeight="1" x14ac:dyDescent="0.2">
      <c r="A12" s="77">
        <v>3</v>
      </c>
      <c r="B12" s="76" t="s">
        <v>372</v>
      </c>
      <c r="C12" s="321">
        <v>2.0000000000000001E-4</v>
      </c>
      <c r="D12" s="320">
        <v>2.4000000000000001E-4</v>
      </c>
      <c r="F12">
        <f>20/1.1</f>
        <v>18.18181818181818</v>
      </c>
      <c r="I12" t="s">
        <v>198</v>
      </c>
    </row>
    <row r="13" spans="1:9" x14ac:dyDescent="0.2">
      <c r="A13" s="77">
        <v>4</v>
      </c>
      <c r="B13" s="78" t="s">
        <v>66</v>
      </c>
      <c r="C13" s="324">
        <f>0.00182*Кутр</f>
        <v>2.0020000000000003E-3</v>
      </c>
      <c r="D13" s="325">
        <f>0.00182*Кутр</f>
        <v>2.0020000000000003E-3</v>
      </c>
    </row>
    <row r="14" spans="1:9" x14ac:dyDescent="0.2">
      <c r="A14" s="77">
        <v>5</v>
      </c>
      <c r="B14" s="76" t="s">
        <v>111</v>
      </c>
      <c r="C14" s="326">
        <f>0.006*Кутр</f>
        <v>6.6000000000000008E-3</v>
      </c>
      <c r="D14" s="325">
        <f>0.006*Кутр</f>
        <v>6.6000000000000008E-3</v>
      </c>
    </row>
    <row r="15" spans="1:9" x14ac:dyDescent="0.2">
      <c r="A15" s="77">
        <v>6</v>
      </c>
      <c r="B15" s="78" t="s">
        <v>112</v>
      </c>
      <c r="C15" s="324">
        <f>0.03*Кутр</f>
        <v>3.3000000000000002E-2</v>
      </c>
      <c r="D15" s="325">
        <f>0.03*Кутр</f>
        <v>3.3000000000000002E-2</v>
      </c>
    </row>
    <row r="16" spans="1:9" ht="12" customHeight="1" x14ac:dyDescent="0.2">
      <c r="A16" s="77">
        <v>7</v>
      </c>
      <c r="B16" s="79" t="s">
        <v>113</v>
      </c>
      <c r="C16" s="322">
        <f>0.006*Кутр</f>
        <v>6.6000000000000008E-3</v>
      </c>
      <c r="D16" s="323">
        <f>0.006*Кутр</f>
        <v>6.6000000000000008E-3</v>
      </c>
    </row>
    <row r="17" spans="1:9" x14ac:dyDescent="0.2">
      <c r="A17" s="77">
        <v>8</v>
      </c>
      <c r="B17" s="78" t="s">
        <v>67</v>
      </c>
      <c r="C17" s="324"/>
      <c r="D17" s="325"/>
    </row>
    <row r="18" spans="1:9" x14ac:dyDescent="0.2">
      <c r="A18" s="80" t="s">
        <v>406</v>
      </c>
      <c r="B18" s="78" t="s">
        <v>68</v>
      </c>
      <c r="C18" s="324">
        <f>0.008*Кутр</f>
        <v>8.8000000000000005E-3</v>
      </c>
      <c r="D18" s="324">
        <f>0.01*Кутр</f>
        <v>1.1000000000000001E-2</v>
      </c>
    </row>
    <row r="19" spans="1:9" x14ac:dyDescent="0.2">
      <c r="A19" s="77" t="s">
        <v>407</v>
      </c>
      <c r="B19" s="79" t="s">
        <v>69</v>
      </c>
      <c r="C19" s="324">
        <f>0.008*Кутр</f>
        <v>8.8000000000000005E-3</v>
      </c>
      <c r="D19" s="324">
        <f>0.01*Кутр</f>
        <v>1.1000000000000001E-2</v>
      </c>
    </row>
    <row r="20" spans="1:9" x14ac:dyDescent="0.2">
      <c r="A20" s="77" t="s">
        <v>408</v>
      </c>
      <c r="B20" s="78" t="s">
        <v>70</v>
      </c>
      <c r="C20" s="324">
        <f>0.008*Кутр</f>
        <v>8.8000000000000005E-3</v>
      </c>
      <c r="D20" s="324">
        <f>0.01*Кутр</f>
        <v>1.1000000000000001E-2</v>
      </c>
    </row>
    <row r="21" spans="1:9" x14ac:dyDescent="0.2">
      <c r="A21" s="77" t="s">
        <v>409</v>
      </c>
      <c r="B21" s="100" t="s">
        <v>114</v>
      </c>
      <c r="C21" s="324">
        <v>2E-3</v>
      </c>
      <c r="D21" s="324">
        <v>8.8000000000000005E-3</v>
      </c>
    </row>
    <row r="22" spans="1:9" ht="12.75" customHeight="1" x14ac:dyDescent="0.2">
      <c r="A22" s="77">
        <v>9</v>
      </c>
      <c r="B22" s="79" t="s">
        <v>115</v>
      </c>
      <c r="C22" s="322">
        <f>0.035*Кутр</f>
        <v>3.8500000000000006E-2</v>
      </c>
      <c r="D22" s="325">
        <v>3.85E-2</v>
      </c>
    </row>
    <row r="23" spans="1:9" x14ac:dyDescent="0.2">
      <c r="A23" s="77">
        <v>10</v>
      </c>
      <c r="B23" s="76" t="s">
        <v>116</v>
      </c>
      <c r="C23" s="326">
        <f>0.008*Кутр</f>
        <v>8.8000000000000005E-3</v>
      </c>
      <c r="D23" s="327">
        <f>0.008*Кутр</f>
        <v>8.8000000000000005E-3</v>
      </c>
    </row>
    <row r="24" spans="1:9" x14ac:dyDescent="0.2">
      <c r="A24" s="77">
        <v>11</v>
      </c>
      <c r="B24" s="78" t="s">
        <v>71</v>
      </c>
      <c r="C24" s="324">
        <f>0.006*Кутр</f>
        <v>6.6000000000000008E-3</v>
      </c>
      <c r="D24" s="325">
        <f>0.007*Кутр</f>
        <v>7.7000000000000011E-3</v>
      </c>
      <c r="I24" t="s">
        <v>199</v>
      </c>
    </row>
    <row r="25" spans="1:9" x14ac:dyDescent="0.2">
      <c r="A25" s="77">
        <v>12</v>
      </c>
      <c r="B25" s="76" t="s">
        <v>72</v>
      </c>
      <c r="C25" s="326">
        <f>0.017*Кутр</f>
        <v>1.8700000000000001E-2</v>
      </c>
      <c r="D25" s="327">
        <f>0.02*Кутр</f>
        <v>2.2000000000000002E-2</v>
      </c>
    </row>
    <row r="26" spans="1:9" x14ac:dyDescent="0.2">
      <c r="A26" s="77">
        <v>13</v>
      </c>
      <c r="B26" s="78" t="s">
        <v>73</v>
      </c>
      <c r="C26" s="324">
        <f>0.008*Кутр</f>
        <v>8.8000000000000005E-3</v>
      </c>
      <c r="D26" s="325">
        <f>0.01*Кутр</f>
        <v>1.1000000000000001E-2</v>
      </c>
    </row>
    <row r="27" spans="1:9" x14ac:dyDescent="0.2">
      <c r="A27" s="77">
        <v>14</v>
      </c>
      <c r="B27" s="78" t="s">
        <v>74</v>
      </c>
      <c r="C27" s="324">
        <f>0.004*Кутр</f>
        <v>4.4000000000000003E-3</v>
      </c>
      <c r="D27" s="325">
        <f>0.008*Кутр</f>
        <v>8.8000000000000005E-3</v>
      </c>
    </row>
    <row r="28" spans="1:9" x14ac:dyDescent="0.2">
      <c r="A28" s="77">
        <v>15</v>
      </c>
      <c r="B28" s="101" t="s">
        <v>117</v>
      </c>
      <c r="C28" s="326">
        <f>0.014*Кутр</f>
        <v>1.5400000000000002E-2</v>
      </c>
      <c r="D28" s="325">
        <f>0.017*Кутр</f>
        <v>1.8700000000000001E-2</v>
      </c>
    </row>
    <row r="29" spans="1:9" x14ac:dyDescent="0.2">
      <c r="A29" s="77">
        <v>16</v>
      </c>
      <c r="B29" s="102" t="s">
        <v>75</v>
      </c>
      <c r="C29" s="324">
        <f>0.004*Кутр</f>
        <v>4.4000000000000003E-3</v>
      </c>
      <c r="D29" s="325">
        <f>0.008*Кутр</f>
        <v>8.8000000000000005E-3</v>
      </c>
    </row>
    <row r="30" spans="1:9" x14ac:dyDescent="0.2">
      <c r="A30" s="77">
        <v>17</v>
      </c>
      <c r="B30" s="102" t="s">
        <v>76</v>
      </c>
      <c r="C30" s="324">
        <f>(0.006)*Кутр</f>
        <v>6.6000000000000008E-3</v>
      </c>
      <c r="D30" s="325">
        <f>0.012*Кутр</f>
        <v>1.3200000000000002E-2</v>
      </c>
      <c r="F30">
        <f>Электроконтроль/Sзаг/Сн/Кс/Кп/Квг</f>
        <v>0</v>
      </c>
    </row>
    <row r="31" spans="1:9" x14ac:dyDescent="0.2">
      <c r="A31" s="77">
        <v>18</v>
      </c>
      <c r="B31" s="102" t="s">
        <v>457</v>
      </c>
      <c r="C31" s="324">
        <f>Электроконтроль/Sзаг/Сн/Кс/Кп/Квг</f>
        <v>0</v>
      </c>
      <c r="D31" s="325">
        <f>Электроконтроль/Sзаг/Сн/Кс/Кп/Квг</f>
        <v>0</v>
      </c>
    </row>
    <row r="32" spans="1:9" x14ac:dyDescent="0.2">
      <c r="A32" s="77">
        <v>19</v>
      </c>
      <c r="B32" s="348" t="s">
        <v>118</v>
      </c>
      <c r="C32" s="324">
        <f>0.006*Кутр</f>
        <v>6.6000000000000008E-3</v>
      </c>
      <c r="D32" s="325">
        <f>0.007*Кутр</f>
        <v>7.7000000000000011E-3</v>
      </c>
    </row>
    <row r="33" spans="1:13" hidden="1" x14ac:dyDescent="0.2">
      <c r="A33" s="95"/>
      <c r="B33" s="96" t="s">
        <v>130</v>
      </c>
      <c r="C33" s="328">
        <f>SUM(C11:C32)-C12</f>
        <v>0.19870199999999996</v>
      </c>
      <c r="D33" s="329">
        <f>SUM(D11:D32)-D12</f>
        <v>0.23960200000000004</v>
      </c>
    </row>
    <row r="34" spans="1:13" x14ac:dyDescent="0.2">
      <c r="C34" s="246"/>
      <c r="D34" s="246"/>
    </row>
    <row r="35" spans="1:13" x14ac:dyDescent="0.2">
      <c r="B35" s="129" t="s">
        <v>186</v>
      </c>
      <c r="C35" s="246"/>
      <c r="D35" s="246"/>
    </row>
    <row r="36" spans="1:13" x14ac:dyDescent="0.2">
      <c r="A36" s="121">
        <v>1</v>
      </c>
      <c r="B36" s="50" t="s">
        <v>172</v>
      </c>
      <c r="C36" s="247"/>
      <c r="D36" s="290"/>
    </row>
    <row r="37" spans="1:13" x14ac:dyDescent="0.2">
      <c r="A37" s="18" t="s">
        <v>166</v>
      </c>
      <c r="B37" s="126" t="s">
        <v>395</v>
      </c>
      <c r="C37" s="334">
        <f>(1.2*0.1)*Кутр</f>
        <v>0.13200000000000001</v>
      </c>
      <c r="D37" s="334">
        <f>(1.2*0.1)*Кутр</f>
        <v>0.13200000000000001</v>
      </c>
    </row>
    <row r="38" spans="1:13" x14ac:dyDescent="0.2">
      <c r="A38" s="18" t="s">
        <v>167</v>
      </c>
      <c r="B38" s="127" t="s">
        <v>396</v>
      </c>
      <c r="C38" s="334">
        <f>1.2*0.07+1.2*0.012*Кутр</f>
        <v>9.9840000000000012E-2</v>
      </c>
      <c r="D38" s="334">
        <f>1.2*0.07+1.2*0.018*Кутр</f>
        <v>0.10776000000000001</v>
      </c>
      <c r="F38" t="s">
        <v>377</v>
      </c>
    </row>
    <row r="39" spans="1:13" x14ac:dyDescent="0.2">
      <c r="A39" s="18">
        <v>2</v>
      </c>
      <c r="B39" s="45" t="s">
        <v>183</v>
      </c>
      <c r="C39" s="330">
        <f>1.2*0.055+1.2*0.0125*IF(Слесобр&lt;&gt;2,n_малое,1)*Кутр</f>
        <v>9.9000000000000005E-2</v>
      </c>
      <c r="D39" s="330">
        <f>1.2*0.055+1.2*0.0125*IF(Слесобр&lt;&gt;2,n_малое,1)*Кутр</f>
        <v>9.9000000000000005E-2</v>
      </c>
    </row>
    <row r="40" spans="1:13" x14ac:dyDescent="0.2">
      <c r="A40" s="121">
        <v>3</v>
      </c>
      <c r="B40" s="12" t="s">
        <v>98</v>
      </c>
      <c r="C40" s="331"/>
      <c r="D40" s="332"/>
      <c r="F40" t="s">
        <v>379</v>
      </c>
      <c r="J40" t="s">
        <v>380</v>
      </c>
      <c r="L40" t="s">
        <v>451</v>
      </c>
    </row>
    <row r="41" spans="1:13" x14ac:dyDescent="0.2">
      <c r="A41" s="18" t="s">
        <v>168</v>
      </c>
      <c r="B41" s="40" t="s">
        <v>445</v>
      </c>
      <c r="C41" s="350">
        <f>0.121488*1.2*1.1/6*Кутр</f>
        <v>2.9400096000000004E-2</v>
      </c>
      <c r="D41" s="350">
        <f>0.121591*1.2*1.2/6*Кутр</f>
        <v>3.2100023999999998E-2</v>
      </c>
      <c r="F41" t="s">
        <v>379</v>
      </c>
      <c r="J41" t="s">
        <v>381</v>
      </c>
      <c r="L41" t="s">
        <v>451</v>
      </c>
    </row>
    <row r="42" spans="1:13" x14ac:dyDescent="0.2">
      <c r="A42" s="18" t="s">
        <v>169</v>
      </c>
      <c r="B42" s="24" t="s">
        <v>446</v>
      </c>
      <c r="C42" s="351">
        <f>0.141736*1.2*1.1/6*Кутр</f>
        <v>3.4300112000000008E-2</v>
      </c>
      <c r="D42" s="350">
        <f>0.14205*1.2*1.2/6*Кутр</f>
        <v>3.7501199999999998E-2</v>
      </c>
    </row>
    <row r="43" spans="1:13" x14ac:dyDescent="0.2">
      <c r="A43" s="18" t="s">
        <v>170</v>
      </c>
      <c r="B43" s="24" t="s">
        <v>447</v>
      </c>
      <c r="C43" s="334">
        <v>4.4999999999999998E-2</v>
      </c>
      <c r="D43" s="333">
        <v>0.05</v>
      </c>
      <c r="L43">
        <v>0</v>
      </c>
      <c r="M43">
        <f>L43/Кутр*6/1.1/1.2</f>
        <v>0</v>
      </c>
    </row>
    <row r="44" spans="1:13" x14ac:dyDescent="0.2">
      <c r="A44" s="18" t="s">
        <v>171</v>
      </c>
      <c r="B44" s="24" t="s">
        <v>448</v>
      </c>
      <c r="C44" s="334">
        <v>0.06</v>
      </c>
      <c r="D44" s="333">
        <v>6.6000000000000003E-2</v>
      </c>
      <c r="L44">
        <v>3.3599999999999998E-2</v>
      </c>
      <c r="M44">
        <f>L44/Кутр*6/1.1/1.2</f>
        <v>0.13884297520661154</v>
      </c>
    </row>
    <row r="45" spans="1:13" x14ac:dyDescent="0.2">
      <c r="A45" s="18">
        <v>4</v>
      </c>
      <c r="B45" s="122" t="s">
        <v>164</v>
      </c>
      <c r="C45" s="436">
        <f>0.05455*Кутр</f>
        <v>6.0005000000000003E-2</v>
      </c>
      <c r="D45" s="437"/>
      <c r="L45">
        <v>0.06</v>
      </c>
      <c r="M45">
        <f>L45/Кутр</f>
        <v>5.4545454545454536E-2</v>
      </c>
    </row>
    <row r="46" spans="1:13" x14ac:dyDescent="0.2">
      <c r="A46" s="121">
        <v>5</v>
      </c>
      <c r="B46" s="123" t="s">
        <v>343</v>
      </c>
      <c r="C46" s="331"/>
      <c r="D46" s="332"/>
      <c r="L46">
        <v>9.6000000000000002E-2</v>
      </c>
      <c r="M46">
        <f>L46/Кутр</f>
        <v>8.7272727272727266E-2</v>
      </c>
    </row>
    <row r="47" spans="1:13" x14ac:dyDescent="0.2">
      <c r="A47" s="18" t="s">
        <v>179</v>
      </c>
      <c r="B47" s="128" t="s">
        <v>449</v>
      </c>
      <c r="C47" s="334">
        <v>1.4999999999999999E-2</v>
      </c>
      <c r="D47" s="333">
        <v>1.4999999999999999E-2</v>
      </c>
    </row>
    <row r="48" spans="1:13" x14ac:dyDescent="0.2">
      <c r="A48" s="18" t="s">
        <v>180</v>
      </c>
      <c r="B48" s="116" t="s">
        <v>450</v>
      </c>
      <c r="C48" s="334">
        <v>2.5000000000000001E-2</v>
      </c>
      <c r="D48" s="333">
        <v>2.5000000000000001E-2</v>
      </c>
    </row>
    <row r="49" spans="1:10" x14ac:dyDescent="0.2">
      <c r="A49" s="121">
        <v>6</v>
      </c>
      <c r="B49" s="123" t="s">
        <v>173</v>
      </c>
      <c r="C49" s="331"/>
      <c r="D49" s="332"/>
    </row>
    <row r="50" spans="1:10" x14ac:dyDescent="0.2">
      <c r="A50" s="18" t="s">
        <v>344</v>
      </c>
      <c r="B50" s="128" t="s">
        <v>449</v>
      </c>
      <c r="C50" s="334">
        <v>4.4999999999999998E-2</v>
      </c>
      <c r="D50" s="333">
        <v>0.05</v>
      </c>
      <c r="J50">
        <f>0.03/Кутр</f>
        <v>2.7272727272727268E-2</v>
      </c>
    </row>
    <row r="51" spans="1:10" x14ac:dyDescent="0.2">
      <c r="A51" s="18" t="s">
        <v>345</v>
      </c>
      <c r="B51" s="116" t="s">
        <v>450</v>
      </c>
      <c r="C51" s="334">
        <v>0.06</v>
      </c>
      <c r="D51" s="333">
        <v>6.6000000000000003E-2</v>
      </c>
    </row>
    <row r="52" spans="1:10" x14ac:dyDescent="0.2">
      <c r="A52" s="18">
        <v>7</v>
      </c>
      <c r="B52" s="116" t="s">
        <v>165</v>
      </c>
      <c r="C52" s="436">
        <f>0.3*Кутр</f>
        <v>0.33</v>
      </c>
      <c r="D52" s="437"/>
    </row>
    <row r="55" spans="1:10" x14ac:dyDescent="0.2">
      <c r="A55" s="238" t="s">
        <v>411</v>
      </c>
      <c r="D55" s="240" t="s">
        <v>410</v>
      </c>
    </row>
  </sheetData>
  <mergeCells count="4">
    <mergeCell ref="C45:D45"/>
    <mergeCell ref="C52:D52"/>
    <mergeCell ref="A4:D4"/>
    <mergeCell ref="A5:D5"/>
  </mergeCells>
  <phoneticPr fontId="4" type="noConversion"/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157</vt:i4>
      </vt:variant>
    </vt:vector>
  </HeadingPairs>
  <TitlesOfParts>
    <vt:vector size="163" baseType="lpstr">
      <vt:lpstr>Расчет</vt:lpstr>
      <vt:lpstr>Коэф</vt:lpstr>
      <vt:lpstr>Калькуляция</vt:lpstr>
      <vt:lpstr>Материалы</vt:lpstr>
      <vt:lpstr>ФОТ</vt:lpstr>
      <vt:lpstr>Трудоемкости</vt:lpstr>
      <vt:lpstr>bigdrill</vt:lpstr>
      <vt:lpstr>blockname</vt:lpstr>
      <vt:lpstr>bsizex</vt:lpstr>
      <vt:lpstr>bsizey</vt:lpstr>
      <vt:lpstr>class</vt:lpstr>
      <vt:lpstr>constr</vt:lpstr>
      <vt:lpstr>first</vt:lpstr>
      <vt:lpstr>frez_factor</vt:lpstr>
      <vt:lpstr>frezcorner</vt:lpstr>
      <vt:lpstr>fullname</vt:lpstr>
      <vt:lpstr>gold</vt:lpstr>
      <vt:lpstr>lamel</vt:lpstr>
      <vt:lpstr>letter</vt:lpstr>
      <vt:lpstr>mark</vt:lpstr>
      <vt:lpstr>marktype</vt:lpstr>
      <vt:lpstr>mask</vt:lpstr>
      <vt:lpstr>N</vt:lpstr>
      <vt:lpstr>n_малое</vt:lpstr>
      <vt:lpstr>nib</vt:lpstr>
      <vt:lpstr>numbers</vt:lpstr>
      <vt:lpstr>nummask</vt:lpstr>
      <vt:lpstr>priem</vt:lpstr>
      <vt:lpstr>printarкраска</vt:lpstr>
      <vt:lpstr>psizex</vt:lpstr>
      <vt:lpstr>psizey</vt:lpstr>
      <vt:lpstr>razr</vt:lpstr>
      <vt:lpstr>rmark</vt:lpstr>
      <vt:lpstr>smalldrill</vt:lpstr>
      <vt:lpstr>srok</vt:lpstr>
      <vt:lpstr>Sзаг</vt:lpstr>
      <vt:lpstr>Sзагм2</vt:lpstr>
      <vt:lpstr>Sи</vt:lpstr>
      <vt:lpstr>Sпл</vt:lpstr>
      <vt:lpstr>template_check</vt:lpstr>
      <vt:lpstr>template_make</vt:lpstr>
      <vt:lpstr>thickness</vt:lpstr>
      <vt:lpstr>А</vt:lpstr>
      <vt:lpstr>А1</vt:lpstr>
      <vt:lpstr>базмат</vt:lpstr>
      <vt:lpstr>В</vt:lpstr>
      <vt:lpstr>В1</vt:lpstr>
      <vt:lpstr>Время_конструкторов</vt:lpstr>
      <vt:lpstr>Выбор_материалов</vt:lpstr>
      <vt:lpstr>Длина_ламелей</vt:lpstr>
      <vt:lpstr>жидкаямаска</vt:lpstr>
      <vt:lpstr>Заготовок_в_пакете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колво_ламелей</vt:lpstr>
      <vt:lpstr>Котрс</vt:lpstr>
      <vt:lpstr>Котрф</vt:lpstr>
      <vt:lpstr>Коэфвыхгод</vt:lpstr>
      <vt:lpstr>Коэфстоиостизолота</vt:lpstr>
      <vt:lpstr>Кп</vt:lpstr>
      <vt:lpstr>Кс</vt:lpstr>
      <vt:lpstr>Кср</vt:lpstr>
      <vt:lpstr>Кутр</vt:lpstr>
      <vt:lpstr>Кф</vt:lpstr>
      <vt:lpstr>ламели</vt:lpstr>
      <vt:lpstr>материалы</vt:lpstr>
      <vt:lpstr>Материалы_dropdownlist</vt:lpstr>
      <vt:lpstr>Материалы_всего</vt:lpstr>
      <vt:lpstr>материалыимер</vt:lpstr>
      <vt:lpstr>Наименование_платы</vt:lpstr>
      <vt:lpstr>наклрасх</vt:lpstr>
      <vt:lpstr>Нац_на_мат</vt:lpstr>
      <vt:lpstr>наценкаПКИ</vt:lpstr>
      <vt:lpstr>Калькуляция!Область_печати</vt:lpstr>
      <vt:lpstr>Коэф!Область_печати</vt:lpstr>
      <vt:lpstr>Материалы!Область_печати</vt:lpstr>
      <vt:lpstr>Расчет!Область_печати</vt:lpstr>
      <vt:lpstr>Трудоемкости!Область_печати</vt:lpstr>
      <vt:lpstr>ФОТ!Область_печати</vt:lpstr>
      <vt:lpstr>П</vt:lpstr>
      <vt:lpstr>Первичное_изготовление</vt:lpstr>
      <vt:lpstr>ПКИ</vt:lpstr>
      <vt:lpstr>плановнакопл</vt:lpstr>
      <vt:lpstr>пленка</vt:lpstr>
      <vt:lpstr>приемка</vt:lpstr>
      <vt:lpstr>Рз</vt:lpstr>
      <vt:lpstr>Рп</vt:lpstr>
      <vt:lpstr>Ручная_маркировка</vt:lpstr>
      <vt:lpstr>Сжм</vt:lpstr>
      <vt:lpstr>Сл3</vt:lpstr>
      <vt:lpstr>Сл4</vt:lpstr>
      <vt:lpstr>Слесобр</vt:lpstr>
      <vt:lpstr>СлоевМаски</vt:lpstr>
      <vt:lpstr>Сн</vt:lpstr>
      <vt:lpstr>Соцналог</vt:lpstr>
      <vt:lpstr>Срок_изготовления</vt:lpstr>
      <vt:lpstr>Ссм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</vt:lpstr>
      <vt:lpstr>СтоимостьМатериаловДляМаскиЖМ</vt:lpstr>
      <vt:lpstr>СтоимостьМатериаловДляМаскиКМ</vt:lpstr>
      <vt:lpstr>СтоимостьМатериаловДляФШ</vt:lpstr>
      <vt:lpstr>СтоимостьМатериаловПКИ</vt:lpstr>
      <vt:lpstr>СтоимостьОсновныхМатериалов</vt:lpstr>
      <vt:lpstr>сухаямаска</vt:lpstr>
      <vt:lpstr>Сф</vt:lpstr>
      <vt:lpstr>Таблица1</vt:lpstr>
      <vt:lpstr>Таблица2</vt:lpstr>
      <vt:lpstr>Таблица3</vt:lpstr>
      <vt:lpstr>Таблица4</vt:lpstr>
      <vt:lpstr>Таблица6</vt:lpstr>
      <vt:lpstr>Таблица7</vt:lpstr>
      <vt:lpstr>Таблица8</vt:lpstr>
      <vt:lpstr>Таблица9</vt:lpstr>
      <vt:lpstr>Тжм13</vt:lpstr>
      <vt:lpstr>Тжм14</vt:lpstr>
      <vt:lpstr>Тжм23</vt:lpstr>
      <vt:lpstr>Тжм24</vt:lpstr>
      <vt:lpstr>Тз</vt:lpstr>
      <vt:lpstr>типмаркировки</vt:lpstr>
      <vt:lpstr>ТипМаски</vt:lpstr>
      <vt:lpstr>типплаты</vt:lpstr>
      <vt:lpstr>Тмр13</vt:lpstr>
      <vt:lpstr>Тмр14</vt:lpstr>
      <vt:lpstr>Тмр23</vt:lpstr>
      <vt:lpstr>Тмр24</vt:lpstr>
      <vt:lpstr>Толщина</vt:lpstr>
      <vt:lpstr>Тр</vt:lpstr>
      <vt:lpstr>трудоём3</vt:lpstr>
      <vt:lpstr>трудоём4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Тсм13</vt:lpstr>
      <vt:lpstr>Тсм14</vt:lpstr>
      <vt:lpstr>Тсм23</vt:lpstr>
      <vt:lpstr>Тсм24</vt:lpstr>
      <vt:lpstr>ТТ</vt:lpstr>
      <vt:lpstr>Тф1</vt:lpstr>
      <vt:lpstr>Тф1пл</vt:lpstr>
      <vt:lpstr>Тф2</vt:lpstr>
      <vt:lpstr>Тф2пл</vt:lpstr>
      <vt:lpstr>Тфм13</vt:lpstr>
      <vt:lpstr>Тфм14</vt:lpstr>
      <vt:lpstr>Тфм23</vt:lpstr>
      <vt:lpstr>Тфм24</vt:lpstr>
      <vt:lpstr>Фкон</vt:lpstr>
      <vt:lpstr>фммаркировка</vt:lpstr>
      <vt:lpstr>ФОТ_всего</vt:lpstr>
      <vt:lpstr>ФОТнч</vt:lpstr>
      <vt:lpstr>ФШи</vt:lpstr>
      <vt:lpstr>ФШп</vt:lpstr>
      <vt:lpstr>Цена_За_штуку</vt:lpstr>
      <vt:lpstr>Чо1</vt:lpstr>
      <vt:lpstr>Чо2</vt:lpstr>
      <vt:lpstr>Ширина_ламелей</vt:lpstr>
      <vt:lpstr>Электроконтроль</vt:lpstr>
    </vt:vector>
  </TitlesOfParts>
  <Company>NOME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2015-12-21T12:11:09Z</cp:lastPrinted>
  <dcterms:created xsi:type="dcterms:W3CDTF">2001-01-09T20:00:21Z</dcterms:created>
  <dcterms:modified xsi:type="dcterms:W3CDTF">2018-09-14T06:56:14Z</dcterms:modified>
</cp:coreProperties>
</file>