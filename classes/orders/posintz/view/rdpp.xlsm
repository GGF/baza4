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11610" yWindow="-15" windowWidth="11445" windowHeight="9225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</sheets>
  <functionGroups builtInGroupCount="17"/>
  <externalReferences>
    <externalReference r:id="rId7"/>
  </externalReferences>
  <definedNames>
    <definedName name="bigdrill">Расчет!$G$12</definedName>
    <definedName name="blockname">Расчет!$C$7</definedName>
    <definedName name="bsizex">Расчет!$C$16</definedName>
    <definedName name="bsizey">Расчет!$C$17</definedName>
    <definedName name="class">Расчет!$C$12</definedName>
    <definedName name="constr">Расчет!$G$8</definedName>
    <definedName name="first">Расчет!$C$9</definedName>
    <definedName name="frez_factor">Расчет!$G$21</definedName>
    <definedName name="frezcorner">Расчет!$G$20</definedName>
    <definedName name="fullname">Расчет!$C$5</definedName>
    <definedName name="gold">Расчет!$G$23</definedName>
    <definedName name="lamel">Расчет!$G$22</definedName>
    <definedName name="letter">Расчет!$C$6</definedName>
    <definedName name="mark">Расчет!$G$17</definedName>
    <definedName name="marktype">Расчет!$G$17</definedName>
    <definedName name="mask">Расчет!$G$16</definedName>
    <definedName name="N" comment="Количество_заготовок__">Расчет!$C$19</definedName>
    <definedName name="n_малое" comment="количество плат на заготовке">Расчет!$C$18</definedName>
    <definedName name="nib">Расчет!$C$18</definedName>
    <definedName name="numbers">Расчет!$C$8</definedName>
    <definedName name="nummask">Расчет!$G$15</definedName>
    <definedName name="priem">Расчет!$C$13</definedName>
    <definedName name="printarкраска">Материалы!$I$100</definedName>
    <definedName name="psizex">Расчет!$C$14</definedName>
    <definedName name="psizey">Расчет!$C$15</definedName>
    <definedName name="razr">Расчет!$G$19</definedName>
    <definedName name="rmark">Расчет!$G$18</definedName>
    <definedName name="smalldrill">Расчет!$G$11</definedName>
    <definedName name="srok">Расчет!$C$10</definedName>
    <definedName name="Sзаг" comment="Площадь заготовок">Расчет!$C$31</definedName>
    <definedName name="Sзагм2" comment="Площадь заготовок в м2">Расчет!$D$31</definedName>
    <definedName name="Sи" comment="Площадь иммерсионного золочения">Расчет!$G$23</definedName>
    <definedName name="Sпл" comment="Площадь плат">Расчет!$C$30</definedName>
    <definedName name="template_check">Расчет!$G$10</definedName>
    <definedName name="template_make">Расчет!$G$9</definedName>
    <definedName name="thickness">Расчет!$G$14</definedName>
    <definedName name="А" comment="длина заготовки">Расчет!$C$16</definedName>
    <definedName name="А1" comment="длина платы">Расчет!$C$14</definedName>
    <definedName name="базмат">Расчет!$G$13</definedName>
    <definedName name="В" comment="ширина заготовки">Расчет!$C$17</definedName>
    <definedName name="В1" comment="ширина платы">Расчет!$C$15</definedName>
    <definedName name="Время_конструкторов">Расчет!$G$8</definedName>
    <definedName name="Выбор_материалов">Материалы!$L$2:$P$131</definedName>
    <definedName name="Длина_ламелей">Расчет!$O$22</definedName>
    <definedName name="жидкаямаска">Материалы!$I$94</definedName>
    <definedName name="Заготовок_в_пакете">Коэф!$I$18</definedName>
    <definedName name="калийдецианоауреат">Материалы!$H$128</definedName>
    <definedName name="КалькуляцияТаблица">Калькуляция!$A$12:$C$19</definedName>
    <definedName name="Квг">Расчет!$C$25</definedName>
    <definedName name="Класс_точности">Расчет!$C$12</definedName>
    <definedName name="Км" comment="Коэф. сложности маскирования">Расчет!$C$29</definedName>
    <definedName name="колво_ламелей">Расчет!$M$22</definedName>
    <definedName name="Котрс">Коэф!$L$17</definedName>
    <definedName name="Котрф" comment="коэф фрезеровки">Коэф!$L$36</definedName>
    <definedName name="Коэфвыхгод">Коэф!$K$40:$L$42</definedName>
    <definedName name="Коэфстоиостизолота">Расчет!$P$22</definedName>
    <definedName name="Кп" comment="Коэфф. плотности и сложности">Расчет!$C$20</definedName>
    <definedName name="Кс" comment="коэф серийности">Расчет!$C$26</definedName>
    <definedName name="Кср" comment="Коэфф срочности">Расчет!$C$27</definedName>
    <definedName name="Кутр">Трудоемкости!$E$5</definedName>
    <definedName name="Кф" comment="Коэф сложности фрезеровки">Расчет!$G$21</definedName>
    <definedName name="ламели">Расчет!$G$22</definedName>
    <definedName name="материалы">Материалы!$I$64</definedName>
    <definedName name="Материалы_dropdownlist">Материалы!$M$2:$M$88</definedName>
    <definedName name="Материалы_всего">Материалы!$I$131</definedName>
    <definedName name="материалыимер">Материалы!$I$130</definedName>
    <definedName name="Наименование_платы">Расчет!$C$7</definedName>
    <definedName name="наклрасх">Расчет!$G$29</definedName>
    <definedName name="Нац_на_мат">Расчет!$G$33</definedName>
    <definedName name="наценкаПКИ">Расчет!$G$31</definedName>
    <definedName name="_xlnm.Print_Area" localSheetId="2">Калькуляция!$A$1:$C$31</definedName>
    <definedName name="_xlnm.Print_Area" localSheetId="1">Коэф!$B$1:$L$47</definedName>
    <definedName name="_xlnm.Print_Area" localSheetId="3">Материалы!$B$1:$I$135</definedName>
    <definedName name="_xlnm.Print_Area" localSheetId="0">Расчет!$A$1:$G$72</definedName>
    <definedName name="_xlnm.Print_Area" localSheetId="5">Трудоемкости!$A$1:$D$55</definedName>
    <definedName name="_xlnm.Print_Area" localSheetId="4">ФОТ!$B$1:$F$50</definedName>
    <definedName name="П">Расчет!$C$8</definedName>
    <definedName name="Первичное_изготовление">Расчет!$C$9</definedName>
    <definedName name="ПКИ">Материалы!$I$110</definedName>
    <definedName name="плановнакопл">Расчет!$G$30</definedName>
    <definedName name="пленка">Материалы!$I$80</definedName>
    <definedName name="приемка">Расчет!$C$13</definedName>
    <definedName name="Рз" comment="периметр заготовки">Расчет!$C$33</definedName>
    <definedName name="Рп" comment="периметр платы">Расчет!$C$32</definedName>
    <definedName name="Ручная_маркировка">Расчет!$G$18</definedName>
    <definedName name="Сжм" comment="Слоев жидкой маски">Расчет!$K$16</definedName>
    <definedName name="Сл3">Трудоемкости!$C$39</definedName>
    <definedName name="Сл4">Трудоемкости!$D$39</definedName>
    <definedName name="Слесобр">Расчет!$G$19</definedName>
    <definedName name="СлоевМаски">Расчет!$G$15</definedName>
    <definedName name="Сн" comment="Полная стоимость нормочаса">Расчет!$G$32</definedName>
    <definedName name="Соцналог">Расчет!$G$28</definedName>
    <definedName name="Срок_изготовления">Расчет!$C$10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>Материалы!$I$91</definedName>
    <definedName name="Сф" comment="Слоев ФМ">Расчет!$K$17</definedName>
    <definedName name="Таблица1" comment="Коэфф. серийности">Коэф!$B$5:$C$43</definedName>
    <definedName name="Таблица2" comment="Коэф толщины текстолита">Коэф!$E$6:$F$11</definedName>
    <definedName name="Таблица3" comment="Коэфф срочности">Коэф!$E$19:$F$21</definedName>
    <definedName name="Таблица4" comment="Коэфф срочности повторного изготовления">Коэф!$E$28:$F$31</definedName>
    <definedName name="Таблица6">Коэф!$H$6:$L$9</definedName>
    <definedName name="Таблица7">Коэф!$H$13:$L$15</definedName>
    <definedName name="Таблица8" comment="Коэф от кличества фрезеруемых плат">Коэф!$H$23:$L$24</definedName>
    <definedName name="Таблица9" comment="коэф от толщины платы">Коэф!$H$28:$L$34</definedName>
    <definedName name="Тжм13">Трудоемкости!$C$43</definedName>
    <definedName name="Тжм14">Трудоемкости!$D$43</definedName>
    <definedName name="Тжм23">Трудоемкости!$C$44</definedName>
    <definedName name="Тжм24">Трудоемкости!$D$44</definedName>
    <definedName name="Тз">Трудоемкости!$C$52</definedName>
    <definedName name="типмаркировки">Расчет!$K$18</definedName>
    <definedName name="ТипМаски">Расчет!$G$16</definedName>
    <definedName name="типплаты">Расчет!$C$11</definedName>
    <definedName name="Тмр13">Трудоемкости!$C$47</definedName>
    <definedName name="Тмр14">Трудоемкости!$D$47</definedName>
    <definedName name="Тмр23">Трудоемкости!$C$48</definedName>
    <definedName name="Тмр24">Трудоемкости!$D$48</definedName>
    <definedName name="Толщина">Расчет!$G$14</definedName>
    <definedName name="Тр">Трудоемкости!$C$45</definedName>
    <definedName name="трудоём3">Трудоемкости!$C$33</definedName>
    <definedName name="трудоём4">Трудоемкости!$D$33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>Расчет!$Q$22</definedName>
    <definedName name="Тсм13">Трудоемкости!$C$41</definedName>
    <definedName name="Тсм14">Трудоемкости!$D$41</definedName>
    <definedName name="Тсм23">Трудоемкости!$C$42</definedName>
    <definedName name="Тсм24">Трудоемкости!$D$42</definedName>
    <definedName name="ТТ">Расчет!$C$28</definedName>
    <definedName name="Тф1">Трудоемкости!$C$37</definedName>
    <definedName name="Тф1пл">Трудоемкости!$G$59</definedName>
    <definedName name="Тф2">Трудоемкости!$C$38</definedName>
    <definedName name="Тф2пл">Трудоемкости!$G$60</definedName>
    <definedName name="Тфм13">Трудоемкости!$C$50</definedName>
    <definedName name="Тфм14">Трудоемкости!$D$50</definedName>
    <definedName name="Тфм23">Трудоемкости!$C$51</definedName>
    <definedName name="Тфм24">Трудоемкости!$D$51</definedName>
    <definedName name="Фкон" comment="Фрезеровка по контуру">Расчет!$G$20</definedName>
    <definedName name="фммаркировка">Материалы!$I$97</definedName>
    <definedName name="ФОТ_всего">ФОТ!$F$48</definedName>
    <definedName name="ФОТнч" comment="Стоимость нормочаса без дополнительных">Расчет!$G$27</definedName>
    <definedName name="ФШи" comment="Изготовить фотошаблонов">Расчет!$G$9</definedName>
    <definedName name="ФШп" comment="Проверить фотошаблонов">Расчет!$G$10</definedName>
    <definedName name="Цена_За_штуку">Расчет!$G$71</definedName>
    <definedName name="Чо1" comment="Отверстий меньше 0.6">Расчет!$G$11</definedName>
    <definedName name="Чо2" comment="отверстий больше 0.6">Расчет!$G$12</definedName>
    <definedName name="Ширина_ламелей">Расчет!$N$22</definedName>
    <definedName name="Электроконтроль">Расчет!$G$70</definedName>
  </definedNames>
  <calcPr calcId="145621" iterateCount="1"/>
</workbook>
</file>

<file path=xl/calcChain.xml><?xml version="1.0" encoding="utf-8"?>
<calcChain xmlns="http://schemas.openxmlformats.org/spreadsheetml/2006/main">
  <c r="G63" i="3" l="1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79" i="3"/>
  <c r="G78" i="3"/>
  <c r="G77" i="3"/>
  <c r="G90" i="3"/>
  <c r="G93" i="3"/>
  <c r="G96" i="3"/>
  <c r="G99" i="3"/>
  <c r="G109" i="3"/>
  <c r="G108" i="3"/>
  <c r="G128" i="3"/>
  <c r="G127" i="3"/>
  <c r="G126" i="3"/>
  <c r="G125" i="3"/>
  <c r="G124" i="3"/>
  <c r="G123" i="3"/>
  <c r="G122" i="3"/>
  <c r="G121" i="3"/>
  <c r="G120" i="3"/>
  <c r="G129" i="3"/>
  <c r="D30" i="4" l="1"/>
  <c r="C30" i="4"/>
  <c r="G70" i="1" l="1"/>
  <c r="L49" i="1"/>
  <c r="G66" i="1" l="1"/>
  <c r="H69" i="1"/>
  <c r="E53" i="1"/>
  <c r="C41" i="3" l="1"/>
  <c r="J50" i="4" l="1"/>
  <c r="D36" i="3"/>
  <c r="G36" i="3" s="1"/>
  <c r="O19" i="3"/>
  <c r="P19" i="3" s="1"/>
  <c r="O20" i="3"/>
  <c r="P20" i="3" s="1"/>
  <c r="H109" i="3"/>
  <c r="C109" i="3"/>
  <c r="H108" i="3"/>
  <c r="C108" i="3"/>
  <c r="G32" i="1"/>
  <c r="C79" i="3"/>
  <c r="C129" i="3"/>
  <c r="C128" i="3"/>
  <c r="C127" i="3"/>
  <c r="C126" i="3"/>
  <c r="C125" i="3"/>
  <c r="C124" i="3"/>
  <c r="C123" i="3"/>
  <c r="C122" i="3"/>
  <c r="C121" i="3"/>
  <c r="C120" i="3"/>
  <c r="C99" i="3"/>
  <c r="C96" i="3"/>
  <c r="C93" i="3"/>
  <c r="C90" i="3"/>
  <c r="C78" i="3"/>
  <c r="C77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0" i="3"/>
  <c r="C39" i="3"/>
  <c r="C38" i="3"/>
  <c r="C37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H129" i="3"/>
  <c r="H128" i="3"/>
  <c r="P22" i="1" s="1"/>
  <c r="H127" i="3"/>
  <c r="H126" i="3"/>
  <c r="H125" i="3"/>
  <c r="H124" i="3"/>
  <c r="H123" i="3"/>
  <c r="H122" i="3"/>
  <c r="H121" i="3"/>
  <c r="H120" i="3"/>
  <c r="H99" i="3"/>
  <c r="H96" i="3"/>
  <c r="H93" i="3"/>
  <c r="H90" i="3"/>
  <c r="H79" i="3"/>
  <c r="H78" i="3"/>
  <c r="H77" i="3"/>
  <c r="O65" i="3"/>
  <c r="P65" i="3" s="1"/>
  <c r="O64" i="3"/>
  <c r="P64" i="3" s="1"/>
  <c r="H63" i="3"/>
  <c r="O63" i="3"/>
  <c r="P63" i="3" s="1"/>
  <c r="H62" i="3"/>
  <c r="O62" i="3"/>
  <c r="P62" i="3" s="1"/>
  <c r="H61" i="3"/>
  <c r="O61" i="3"/>
  <c r="P61" i="3" s="1"/>
  <c r="H60" i="3"/>
  <c r="O60" i="3"/>
  <c r="P60" i="3" s="1"/>
  <c r="H59" i="3"/>
  <c r="O59" i="3"/>
  <c r="P59" i="3" s="1"/>
  <c r="H58" i="3"/>
  <c r="O58" i="3"/>
  <c r="P58" i="3" s="1"/>
  <c r="H57" i="3"/>
  <c r="O57" i="3"/>
  <c r="P57" i="3" s="1"/>
  <c r="H56" i="3"/>
  <c r="O56" i="3"/>
  <c r="P56" i="3" s="1"/>
  <c r="H55" i="3"/>
  <c r="O55" i="3"/>
  <c r="P55" i="3" s="1"/>
  <c r="H54" i="3"/>
  <c r="O54" i="3"/>
  <c r="P54" i="3" s="1"/>
  <c r="H53" i="3"/>
  <c r="O53" i="3"/>
  <c r="P53" i="3" s="1"/>
  <c r="H52" i="3"/>
  <c r="O52" i="3"/>
  <c r="P52" i="3" s="1"/>
  <c r="H51" i="3"/>
  <c r="O51" i="3"/>
  <c r="P51" i="3" s="1"/>
  <c r="H50" i="3"/>
  <c r="O50" i="3"/>
  <c r="P50" i="3" s="1"/>
  <c r="H49" i="3"/>
  <c r="O49" i="3"/>
  <c r="P49" i="3" s="1"/>
  <c r="H48" i="3"/>
  <c r="O48" i="3"/>
  <c r="P48" i="3" s="1"/>
  <c r="H47" i="3"/>
  <c r="O47" i="3"/>
  <c r="P47" i="3" s="1"/>
  <c r="H46" i="3"/>
  <c r="O46" i="3"/>
  <c r="P46" i="3" s="1"/>
  <c r="H45" i="3"/>
  <c r="O45" i="3"/>
  <c r="P45" i="3" s="1"/>
  <c r="H44" i="3"/>
  <c r="O44" i="3"/>
  <c r="P44" i="3" s="1"/>
  <c r="H43" i="3"/>
  <c r="O43" i="3"/>
  <c r="P43" i="3" s="1"/>
  <c r="H42" i="3"/>
  <c r="O42" i="3"/>
  <c r="P42" i="3" s="1"/>
  <c r="H41" i="3"/>
  <c r="O41" i="3"/>
  <c r="P41" i="3" s="1"/>
  <c r="H40" i="3"/>
  <c r="O40" i="3"/>
  <c r="P40" i="3" s="1"/>
  <c r="H39" i="3"/>
  <c r="O39" i="3"/>
  <c r="P39" i="3" s="1"/>
  <c r="H38" i="3"/>
  <c r="O38" i="3"/>
  <c r="P38" i="3" s="1"/>
  <c r="H37" i="3"/>
  <c r="O37" i="3"/>
  <c r="P37" i="3" s="1"/>
  <c r="O36" i="3"/>
  <c r="P36" i="3" s="1"/>
  <c r="H35" i="3"/>
  <c r="O35" i="3"/>
  <c r="P35" i="3" s="1"/>
  <c r="H34" i="3"/>
  <c r="O34" i="3"/>
  <c r="P34" i="3" s="1"/>
  <c r="H33" i="3"/>
  <c r="O33" i="3"/>
  <c r="P33" i="3" s="1"/>
  <c r="H32" i="3"/>
  <c r="O32" i="3"/>
  <c r="P32" i="3" s="1"/>
  <c r="H31" i="3"/>
  <c r="O31" i="3"/>
  <c r="P31" i="3" s="1"/>
  <c r="H30" i="3"/>
  <c r="O30" i="3"/>
  <c r="P30" i="3" s="1"/>
  <c r="H29" i="3"/>
  <c r="O29" i="3"/>
  <c r="P29" i="3" s="1"/>
  <c r="H28" i="3"/>
  <c r="O28" i="3"/>
  <c r="P28" i="3" s="1"/>
  <c r="H27" i="3"/>
  <c r="O27" i="3"/>
  <c r="P27" i="3" s="1"/>
  <c r="H26" i="3"/>
  <c r="O26" i="3"/>
  <c r="P26" i="3" s="1"/>
  <c r="H25" i="3"/>
  <c r="O25" i="3"/>
  <c r="P25" i="3" s="1"/>
  <c r="H24" i="3"/>
  <c r="O24" i="3"/>
  <c r="P24" i="3" s="1"/>
  <c r="H23" i="3"/>
  <c r="O23" i="3"/>
  <c r="P23" i="3" s="1"/>
  <c r="H22" i="3"/>
  <c r="O22" i="3"/>
  <c r="P22" i="3" s="1"/>
  <c r="H21" i="3"/>
  <c r="O21" i="3"/>
  <c r="P21" i="3" s="1"/>
  <c r="H20" i="3"/>
  <c r="H19" i="3"/>
  <c r="O18" i="3"/>
  <c r="P18" i="3" s="1"/>
  <c r="H18" i="3"/>
  <c r="O17" i="3"/>
  <c r="P17" i="3" s="1"/>
  <c r="H17" i="3"/>
  <c r="O16" i="3"/>
  <c r="P16" i="3" s="1"/>
  <c r="H16" i="3"/>
  <c r="O15" i="3"/>
  <c r="P15" i="3" s="1"/>
  <c r="O14" i="3"/>
  <c r="P14" i="3" s="1"/>
  <c r="O13" i="3"/>
  <c r="P13" i="3" s="1"/>
  <c r="O12" i="3"/>
  <c r="O11" i="3"/>
  <c r="P11" i="3" s="1"/>
  <c r="O10" i="3"/>
  <c r="P10" i="3" s="1"/>
  <c r="O9" i="3"/>
  <c r="P9" i="3" s="1"/>
  <c r="O8" i="3"/>
  <c r="O7" i="3"/>
  <c r="P7" i="3" s="1"/>
  <c r="O6" i="3"/>
  <c r="P6" i="3" s="1"/>
  <c r="O5" i="3"/>
  <c r="P5" i="3" s="1"/>
  <c r="O4" i="3"/>
  <c r="P4" i="3" s="1"/>
  <c r="O3" i="3"/>
  <c r="P3" i="3" s="1"/>
  <c r="E38" i="1"/>
  <c r="E37" i="1"/>
  <c r="G37" i="1" s="1"/>
  <c r="C45" i="4"/>
  <c r="E43" i="5" s="1"/>
  <c r="F43" i="5" s="1"/>
  <c r="C38" i="4"/>
  <c r="D42" i="4"/>
  <c r="C42" i="4"/>
  <c r="D41" i="4"/>
  <c r="C41" i="4"/>
  <c r="M44" i="4"/>
  <c r="M43" i="4"/>
  <c r="M46" i="4"/>
  <c r="M45" i="4"/>
  <c r="C29" i="1"/>
  <c r="D37" i="4"/>
  <c r="C37" i="4"/>
  <c r="D38" i="4"/>
  <c r="D11" i="4"/>
  <c r="C11" i="4"/>
  <c r="C39" i="4"/>
  <c r="E54" i="1" s="1"/>
  <c r="D39" i="4"/>
  <c r="D13" i="4"/>
  <c r="C13" i="4"/>
  <c r="F12" i="4"/>
  <c r="E51" i="1"/>
  <c r="C52" i="4"/>
  <c r="E64" i="1" s="1"/>
  <c r="D32" i="4"/>
  <c r="C32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C22" i="4"/>
  <c r="D20" i="4"/>
  <c r="C20" i="4"/>
  <c r="D19" i="4"/>
  <c r="C19" i="4"/>
  <c r="D18" i="4"/>
  <c r="C18" i="4"/>
  <c r="D16" i="4"/>
  <c r="C16" i="4"/>
  <c r="D15" i="4"/>
  <c r="C15" i="4"/>
  <c r="D14" i="4"/>
  <c r="C14" i="4"/>
  <c r="B17" i="6"/>
  <c r="C25" i="1"/>
  <c r="F77" i="3" s="1"/>
  <c r="I77" i="3" s="1"/>
  <c r="C19" i="1"/>
  <c r="C26" i="1"/>
  <c r="K15" i="1"/>
  <c r="L22" i="1"/>
  <c r="K22" i="1"/>
  <c r="J22" i="1"/>
  <c r="K18" i="1"/>
  <c r="E44" i="5" s="1"/>
  <c r="F44" i="5" s="1"/>
  <c r="K17" i="1"/>
  <c r="K16" i="1"/>
  <c r="E58" i="1" s="1"/>
  <c r="E11" i="5"/>
  <c r="A5" i="6"/>
  <c r="B14" i="6"/>
  <c r="B13" i="6"/>
  <c r="C32" i="1"/>
  <c r="E52" i="1" s="1"/>
  <c r="E7" i="5"/>
  <c r="L34" i="2"/>
  <c r="L33" i="2"/>
  <c r="L32" i="2"/>
  <c r="L31" i="2"/>
  <c r="L30" i="2"/>
  <c r="L29" i="2"/>
  <c r="L28" i="2"/>
  <c r="L36" i="2"/>
  <c r="G53" i="1" s="1"/>
  <c r="H53" i="1" s="1"/>
  <c r="L24" i="2"/>
  <c r="L23" i="2"/>
  <c r="C27" i="1"/>
  <c r="E45" i="5"/>
  <c r="F45" i="5" s="1"/>
  <c r="E12" i="5"/>
  <c r="F12" i="5" s="1"/>
  <c r="G41" i="1"/>
  <c r="G38" i="1"/>
  <c r="G43" i="1"/>
  <c r="G44" i="1"/>
  <c r="E10" i="5"/>
  <c r="F10" i="5" s="1"/>
  <c r="E36" i="1"/>
  <c r="I18" i="2"/>
  <c r="I19" i="2" s="1"/>
  <c r="C28" i="1"/>
  <c r="C33" i="1"/>
  <c r="C30" i="1"/>
  <c r="B5" i="3"/>
  <c r="B5" i="5"/>
  <c r="L15" i="2"/>
  <c r="J19" i="2"/>
  <c r="L17" i="2" s="1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H60" i="1"/>
  <c r="H55" i="1"/>
  <c r="C31" i="1"/>
  <c r="F78" i="3"/>
  <c r="E43" i="1"/>
  <c r="G36" i="1"/>
  <c r="O22" i="1"/>
  <c r="G40" i="1"/>
  <c r="Q22" i="1"/>
  <c r="E42" i="1"/>
  <c r="G42" i="1" s="1"/>
  <c r="E61" i="1"/>
  <c r="G61" i="1" s="1"/>
  <c r="H61" i="1" s="1"/>
  <c r="E27" i="5"/>
  <c r="F27" i="5" s="1"/>
  <c r="E19" i="5"/>
  <c r="F19" i="5" s="1"/>
  <c r="E42" i="5"/>
  <c r="F42" i="5" s="1"/>
  <c r="M22" i="1"/>
  <c r="E20" i="3"/>
  <c r="F11" i="5"/>
  <c r="E36" i="3" l="1"/>
  <c r="E56" i="1"/>
  <c r="E29" i="5"/>
  <c r="F29" i="5" s="1"/>
  <c r="E31" i="5"/>
  <c r="F31" i="5" s="1"/>
  <c r="E33" i="5"/>
  <c r="F33" i="5" s="1"/>
  <c r="E37" i="5"/>
  <c r="F37" i="5" s="1"/>
  <c r="G54" i="1"/>
  <c r="H54" i="1" s="1"/>
  <c r="I78" i="3"/>
  <c r="E21" i="3"/>
  <c r="E22" i="5"/>
  <c r="F22" i="5" s="1"/>
  <c r="E30" i="5"/>
  <c r="F30" i="5" s="1"/>
  <c r="D31" i="4"/>
  <c r="D33" i="4" s="1"/>
  <c r="C31" i="4"/>
  <c r="G52" i="1"/>
  <c r="F128" i="3"/>
  <c r="I128" i="3" s="1"/>
  <c r="E26" i="5"/>
  <c r="F26" i="5" s="1"/>
  <c r="E36" i="5"/>
  <c r="F36" i="5" s="1"/>
  <c r="I108" i="3"/>
  <c r="E62" i="1"/>
  <c r="G62" i="1" s="1"/>
  <c r="H62" i="1" s="1"/>
  <c r="E20" i="5"/>
  <c r="F20" i="5" s="1"/>
  <c r="E17" i="5"/>
  <c r="F17" i="5" s="1"/>
  <c r="G64" i="1"/>
  <c r="H64" i="1" s="1"/>
  <c r="E25" i="5"/>
  <c r="F25" i="5" s="1"/>
  <c r="E23" i="5"/>
  <c r="F23" i="5" s="1"/>
  <c r="F79" i="3"/>
  <c r="N22" i="1"/>
  <c r="F109" i="3"/>
  <c r="I109" i="3" s="1"/>
  <c r="I110" i="3" s="1"/>
  <c r="F108" i="3"/>
  <c r="E32" i="5"/>
  <c r="F32" i="5" s="1"/>
  <c r="J72" i="1"/>
  <c r="J73" i="1" s="1"/>
  <c r="J74" i="1" s="1"/>
  <c r="E41" i="5"/>
  <c r="F41" i="5" s="1"/>
  <c r="G58" i="1"/>
  <c r="H58" i="1" s="1"/>
  <c r="E13" i="5"/>
  <c r="F30" i="4"/>
  <c r="I79" i="3"/>
  <c r="I80" i="3" s="1"/>
  <c r="G39" i="1" s="1"/>
  <c r="G45" i="1" s="1"/>
  <c r="G56" i="1"/>
  <c r="H56" i="1" s="1"/>
  <c r="I22" i="1"/>
  <c r="E24" i="5"/>
  <c r="F24" i="5" s="1"/>
  <c r="E34" i="5"/>
  <c r="F34" i="5" s="1"/>
  <c r="E21" i="5"/>
  <c r="F21" i="5" s="1"/>
  <c r="E28" i="5"/>
  <c r="F28" i="5" s="1"/>
  <c r="D31" i="1"/>
  <c r="G51" i="1"/>
  <c r="E40" i="5"/>
  <c r="F40" i="5" s="1"/>
  <c r="H52" i="1"/>
  <c r="C36" i="3"/>
  <c r="H36" i="3"/>
  <c r="F36" i="3" l="1"/>
  <c r="E46" i="5"/>
  <c r="J82" i="1"/>
  <c r="J83" i="1" s="1"/>
  <c r="J84" i="1" s="1"/>
  <c r="E15" i="5"/>
  <c r="F13" i="5"/>
  <c r="F15" i="5" s="1"/>
  <c r="J75" i="1" s="1"/>
  <c r="K75" i="1" s="1"/>
  <c r="I58" i="1"/>
  <c r="I36" i="3"/>
  <c r="F46" i="5"/>
  <c r="J85" i="1" s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G59" i="1" s="1"/>
  <c r="F55" i="3"/>
  <c r="I55" i="3" s="1"/>
  <c r="F122" i="3"/>
  <c r="I122" i="3" s="1"/>
  <c r="F59" i="3"/>
  <c r="I59" i="3" s="1"/>
  <c r="F99" i="3"/>
  <c r="I99" i="3" s="1"/>
  <c r="I100" i="3" s="1"/>
  <c r="G63" i="1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G57" i="1" s="1"/>
  <c r="F58" i="3"/>
  <c r="I58" i="3" s="1"/>
  <c r="F50" i="3"/>
  <c r="I50" i="3" s="1"/>
  <c r="F30" i="3"/>
  <c r="I30" i="3" s="1"/>
  <c r="F46" i="3"/>
  <c r="I46" i="3" s="1"/>
  <c r="E35" i="5"/>
  <c r="F35" i="5" s="1"/>
  <c r="C33" i="4"/>
  <c r="E50" i="1" s="1"/>
  <c r="G50" i="1" s="1"/>
  <c r="H50" i="1" s="1"/>
  <c r="F21" i="3"/>
  <c r="I21" i="3" s="1"/>
  <c r="E18" i="5"/>
  <c r="F18" i="5" s="1"/>
  <c r="H51" i="1"/>
  <c r="I130" i="3" l="1"/>
  <c r="G65" i="1" s="1"/>
  <c r="H65" i="1" s="1"/>
  <c r="I64" i="3"/>
  <c r="F38" i="5"/>
  <c r="J80" i="1" s="1"/>
  <c r="E38" i="5"/>
  <c r="E48" i="5" s="1"/>
  <c r="K85" i="1"/>
  <c r="J66" i="1"/>
  <c r="J77" i="1"/>
  <c r="J78" i="1" s="1"/>
  <c r="J79" i="1" s="1"/>
  <c r="I131" i="3" l="1"/>
  <c r="C15" i="6" s="1"/>
  <c r="G49" i="1"/>
  <c r="L66" i="1" s="1"/>
  <c r="K80" i="1"/>
  <c r="F48" i="5"/>
  <c r="J70" i="1" s="1"/>
  <c r="L67" i="1" l="1"/>
  <c r="G67" i="1"/>
  <c r="G68" i="1" s="1"/>
  <c r="J67" i="1" s="1"/>
  <c r="J68" i="1" s="1"/>
  <c r="J69" i="1" s="1"/>
  <c r="K70" i="1" s="1"/>
  <c r="G15" i="6"/>
  <c r="E15" i="6" s="1"/>
  <c r="G12" i="6"/>
  <c r="G13" i="6" s="1"/>
  <c r="G69" i="1" l="1"/>
  <c r="G71" i="1" s="1"/>
  <c r="I5" i="1" s="1"/>
  <c r="G14" i="6"/>
  <c r="G16" i="6" s="1"/>
  <c r="G17" i="6" s="1"/>
  <c r="G18" i="6" s="1"/>
  <c r="C18" i="6" l="1"/>
  <c r="C17" i="6" s="1"/>
  <c r="C16" i="6" s="1"/>
  <c r="E16" i="6" s="1"/>
  <c r="G19" i="6"/>
  <c r="C19" i="6"/>
  <c r="C12" i="6" l="1"/>
  <c r="E12" i="6" s="1"/>
  <c r="E19" i="6"/>
  <c r="E17" i="6"/>
  <c r="E18" i="6"/>
  <c r="C13" i="6" l="1"/>
  <c r="E13" i="6" s="1"/>
  <c r="C14" i="6"/>
  <c r="E14" i="6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C25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E20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C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<sst xmlns="http://schemas.openxmlformats.org/spreadsheetml/2006/main" count="622" uniqueCount="462">
  <si>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</si>
  <si>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</si>
  <si>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</si>
  <si>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</si>
  <si>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</si>
  <si>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</si>
  <si>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</si>
  <si>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</si>
  <si>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</si>
  <si>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</si>
  <si>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</si>
  <si>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</si>
  <si>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</si>
  <si>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</si>
  <si>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</si>
  <si>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</si>
  <si>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</si>
  <si>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</si>
  <si>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</si>
  <si>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</si>
  <si>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</si>
  <si>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</si>
  <si>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</si>
  <si>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</si>
  <si>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</si>
  <si>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</si>
  <si>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</si>
  <si>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</si>
  <si>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</si>
  <si>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</si>
  <si>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</si>
  <si>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</si>
  <si>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</si>
  <si>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</si>
  <si>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</si>
  <si>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</si>
  <si>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</si>
  <si>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</si>
  <si>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</si>
  <si>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</si>
  <si>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</si>
  <si>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</si>
  <si>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</si>
  <si>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</si>
  <si>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</si>
  <si>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</si>
  <si>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</si>
  <si>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</si>
  <si>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</si>
  <si>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</si>
  <si>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</si>
  <si>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</si>
  <si>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</si>
  <si>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</si>
  <si>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</si>
  <si>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</si>
  <si>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</si>
  <si>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</si>
  <si>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</si>
  <si>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</si>
  <si>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</si>
  <si>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</si>
  <si>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</si>
  <si>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</si>
  <si>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</si>
  <si>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</si>
  <si>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</si>
  <si>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</si>
  <si>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</si>
  <si>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</si>
  <si>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</si>
  <si>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</si>
  <si>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</si>
  <si>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</si>
  <si>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</si>
  <si>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</si>
  <si>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</si>
  <si>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</si>
  <si>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</si>
  <si>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</si>
  <si>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</si>
  <si>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</si>
  <si>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</si>
  <si>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</si>
  <si>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</si>
  <si>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</si>
  <si>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</si>
  <si>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</si>
  <si>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</si>
  <si>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</si>
  <si>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</si>
  <si>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</si>
  <si>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</si>
  <si>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</si>
  <si>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</si>
  <si>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</si>
  <si>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</si>
  <si>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</si>
  <si>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</si>
  <si>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</si>
  <si>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</si>
  <si>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</si>
  <si>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</si>
  <si>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</si>
  <si>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</si>
  <si>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</si>
  <si>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</si>
  <si>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</si>
  <si>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</si>
  <si>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</si>
  <si>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</si>
  <si>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</si>
  <si>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</si>
  <si>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</si>
  <si>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</si>
  <si>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</si>
  <si>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</si>
  <si>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</si>
  <si>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</si>
  <si>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</si>
  <si>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</si>
  <si>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</si>
  <si>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</si>
  <si>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</si>
  <si>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</si>
  <si>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</si>
  <si>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</si>
  <si>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</si>
  <si>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</si>
  <si>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</si>
  <si>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</si>
  <si>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</si>
  <si>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</si>
  <si>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</si>
  <si>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</si>
  <si>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</si>
  <si>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</si>
  <si>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</si>
  <si>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</si>
  <si>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</si>
  <si>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</si>
  <si>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</si>
  <si>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</si>
  <si>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</si>
  <si>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</si>
  <si>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</si>
  <si>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</si>
  <si>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</si>
  <si>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</si>
  <si>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</si>
  <si>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</si>
  <si>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</si>
  <si>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</si>
  <si>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</si>
  <si>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</si>
  <si>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</si>
  <si>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</si>
  <si>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</si>
  <si>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</si>
  <si>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</si>
  <si>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</si>
  <si>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</si>
  <si>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</si>
  <si>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</si>
  <si>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</si>
  <si>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</si>
  <si>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</si>
  <si>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</si>
  <si>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</si>
  <si>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</si>
  <si>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</si>
  <si>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</si>
  <si>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</si>
  <si>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</si>
  <si>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</si>
  <si>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</si>
  <si>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</si>
  <si>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</si>
  <si>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</si>
  <si>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</si>
  <si>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</si>
  <si>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</si>
  <si>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</si>
  <si>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</si>
  <si>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</si>
  <si>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</si>
  <si>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</si>
  <si>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</si>
  <si>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</si>
  <si>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</si>
  <si>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</si>
  <si>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</si>
  <si>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</si>
  <si>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</si>
  <si>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</si>
  <si>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</si>
  <si>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</si>
  <si>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</si>
  <si>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</si>
  <si>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</si>
  <si>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</si>
  <si>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</si>
  <si>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</si>
  <si>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</si>
  <si>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</si>
  <si>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</si>
  <si>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</si>
  <si>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</si>
  <si>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</si>
  <si>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</si>
  <si>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</si>
  <si>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</si>
  <si>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</si>
  <si>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</si>
  <si>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</si>
  <si>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</si>
  <si>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</si>
  <si>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</si>
  <si>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</si>
  <si>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</si>
  <si>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</si>
  <si>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</si>
  <si>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</si>
  <si>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</si>
  <si>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</si>
  <si>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</si>
  <si>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</si>
  <si>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</si>
  <si>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</si>
  <si>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</si>
  <si>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</si>
  <si>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</si>
  <si>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</si>
  <si>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</si>
  <si>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</si>
  <si>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</si>
  <si>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</si>
  <si>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</si>
  <si>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</si>
  <si>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</si>
  <si>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</si>
  <si>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</si>
  <si>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</si>
  <si>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</si>
  <si>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</si>
  <si>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</si>
  <si>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</si>
  <si>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</si>
  <si>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</si>
  <si>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</si>
  <si>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</si>
  <si>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</si>
  <si>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</si>
  <si>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</si>
  <si>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</si>
  <si>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_____________________   Ильина О.С.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</si>
  <si>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</si>
  <si>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</si>
  <si>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</si>
  <si>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</si>
  <si>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</si>
  <si>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</si>
  <si>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</si>
  <si>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</si>
  <si>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</si>
  <si>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</si>
  <si>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</si>
  <si>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</si>
  <si>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</si>
  <si>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</si>
  <si>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</si>
  <si>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</si>
  <si>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</si>
  <si>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</si>
  <si>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</si>
  <si>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</si>
  <si>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</si>
  <si>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</si>
  <si>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</si>
  <si>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</si>
  <si>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</si>
  <si>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</si>
  <si>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</si>
  <si>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</si>
  <si>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</si>
  <si>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</si>
  <si>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</si>
  <si>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</si>
  <si>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</si>
  <si>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</si>
  <si>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</si>
  <si>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</si>
  <si>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</si>
  <si>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</si>
  <si>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</si>
  <si>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</si>
  <si>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</si>
  <si>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</si>
  <si>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</si>
  <si>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</si>
  <si>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</si>
  <si>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</si>
  <si>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</si>
  <si>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</si>
  <si>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</si>
  <si>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</si>
  <si>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</si>
  <si>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</si>
  <si>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</si>
  <si>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</si>
  <si>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</si>
  <si>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</si>
  <si>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</si>
  <si>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</si>
  <si>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</si>
  <si>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</si>
  <si>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</si>
  <si>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</si>
  <si>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</si>
  <si>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</si>
  <si>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</si>
  <si>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</si>
  <si>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</si>
  <si>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</si>
  <si>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</si>
  <si>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</si>
  <si>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</si>
  <si>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</si>
  <si>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</si>
  <si>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</si>
  <si>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</si>
  <si>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</si>
  <si>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</si>
  <si>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</si>
  <si>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</si>
  <si>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</si>
  <si>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</si>
  <si>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</si>
  <si>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</si>
  <si>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</si>
  <si>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</si>
  <si>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</si>
  <si>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</si>
  <si>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</si>
  <si>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</si>
  <si>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</si>
  <si>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</si>
  <si>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</si>
  <si>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</si>
  <si>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</si>
  <si>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</si>
  <si>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</si>
  <si>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</si>
  <si>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</si>
  <si>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</si>
  <si>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</si>
  <si>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</si>
  <si>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</si>
  <si>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</si>
  <si>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</si>
  <si>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</si>
  <si>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</si>
  <si>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</si>
  <si>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</si>
  <si>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</si>
  <si>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</si>
  <si>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</si>
  <si>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</si>
  <si>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</si>
  <si>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</si>
  <si>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</si>
  <si>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</si>
  <si>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</si>
  <si>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</si>
  <si>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</si>
  <si>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</si>
  <si>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</si>
  <si>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</si>
  <si>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</si>
  <si>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</si>
  <si>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</si>
  <si>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</si>
  <si>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</si>
  <si>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</si>
  <si>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</si>
  <si>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</si>
  <si>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</si>
  <si>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</si>
  <si>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</si>
  <si>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</si>
  <si>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</si>
  <si>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</si>
  <si>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</si>
  <si>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</si>
  <si>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</si>
  <si>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</si>
  <si>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</si>
  <si>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</si>
  <si>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</si>
  <si>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</si>
  <si>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</si>
  <si>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</si>
  <si>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</si>
  <si>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</si>
  <si>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</si>
  <si>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</si>
  <si>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</si>
  <si>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</si>
  <si>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</si>
  <si>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</si>
  <si>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</si>
  <si>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</si>
  <si>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</si>
  <si>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_____________ О.С. Ильина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</si>
  <si>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</si>
  <si>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</si>
  <si>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</si>
  <si>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</si>
  <si>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</si>
  <si>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</si>
  <si>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</si>
  <si>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</si>
  <si>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</si>
  <si>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</si>
  <si>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</si>
  <si>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</si>
  <si>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</si>
  <si>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</si>
  <si>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</si>
  <si>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</si>
  <si>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</si>
  <si>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</si>
  <si>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</si>
  <si>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</si>
  <si>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</si>
  <si>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</si>
  <si>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</si>
  <si>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</si>
  <si>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Для непробиваемых шаблонов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</si>
  <si>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</si>
  <si>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</si>
  <si>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</si>
  <si>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</si>
  <si>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</si>
  <si>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</si>
  <si>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</si>
  <si>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</si>
  <si>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</si>
  <si>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</si>
  <si>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</si>
  <si>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</si>
  <si>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</si>
  <si>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</si>
  <si>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</si>
  <si>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</si>
  <si>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</si>
  <si>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</si>
  <si>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</si>
  <si>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Экономические показатели ООО "МПП" на 2018 г., утвержденные 310 ВП МО РФ</t>
  </si>
  <si>
    <t>____ ____________ 2018 г.</t>
  </si>
  <si>
    <t>Утвержденная 310 ВП МО РФ стоимость 1 нормочаса в ООО "МПП" в 2018 г.</t>
  </si>
  <si>
    <t>Приложение к ведомости поставки №__________ от _______________2018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</si>
</sst>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</numFmts>
  <fonts count="2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26" xfId="0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2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3</xdr:row>
          <xdr:rowOff>57150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/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/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/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/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/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/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/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2540</v>
          </cell>
          <cell r="G23" t="str">
            <v>556 от 08.06.2018 (555)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79</v>
          </cell>
          <cell r="G43" t="str">
            <v>8508 от 15.05.2018(Без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160</v>
          </cell>
          <cell r="G46" t="str">
            <v>2024 от 18.02.2016(Без СФ)</v>
          </cell>
          <cell r="H46" t="str">
            <v>ООО "ППФ"Химпроект"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263.22000000000003</v>
          </cell>
          <cell r="G50" t="str">
            <v>ax465 от 14.05.2018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350</v>
          </cell>
          <cell r="G51" t="str">
            <v>3 от 16.01.2018 (3)</v>
          </cell>
          <cell r="H51" t="str">
            <v>ООО "ПЕТРОИЗОЛИТ"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590.16999999999996</v>
          </cell>
          <cell r="G54" t="str">
            <v>ax817 от 11.09.2017 (ax817)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1546.83</v>
          </cell>
          <cell r="G57" t="str">
            <v>ax465 от 14.05.2018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1012.31</v>
          </cell>
          <cell r="G60" t="str">
            <v>ax817 от 11.09.2017 (ax817)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1214.25</v>
          </cell>
          <cell r="G62" t="str">
            <v>spb018053101 от 31.05.2018 (spb0180531001)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2098.38</v>
          </cell>
          <cell r="G63" t="str">
            <v>spb018053101 от 31.05.2018 (spb0180531001)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2095.91</v>
          </cell>
          <cell r="G71" t="str">
            <v>spb017081602 от 16.08.2017 (spb0170816002 )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518.52</v>
          </cell>
          <cell r="G80" t="str">
            <v>ax465 от 14.05.2018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465.67</v>
          </cell>
          <cell r="G81" t="str">
            <v>ax220 от 17.03.2017 (ax220)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160</v>
          </cell>
          <cell r="G84" t="str">
            <v>8508 от 15.05.2018(Без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425.61</v>
          </cell>
          <cell r="G88" t="str">
            <v>ax817 от 11.09.2017 (ax817)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450.81</v>
          </cell>
          <cell r="G97" t="str">
            <v>16 от 16.01.2018 (16)</v>
          </cell>
          <cell r="H97" t="str">
            <v>ООО "БАЛТПРОМИЗОЛИТ"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39</v>
          </cell>
          <cell r="G103" t="str">
            <v>77 от 16.05.2018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6871.88</v>
          </cell>
          <cell r="G107" t="str">
            <v>4990060273 от 19.06.2018 (500009261)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249.74</v>
          </cell>
          <cell r="G108" t="str">
            <v>ax465 от 14.05.2018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2474.91</v>
          </cell>
          <cell r="G113" t="str">
            <v>108 от 08.06.2018 (116)</v>
          </cell>
          <cell r="H113" t="str">
            <v>ООО "Петроизолит"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2878.81</v>
          </cell>
          <cell r="G117" t="str">
            <v>77 от 25.04.2018 (85)</v>
          </cell>
          <cell r="H117" t="str">
            <v>ООО "Петроизолит"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373.04</v>
          </cell>
          <cell r="G155" t="str">
            <v>spb018042404 от 24.04.2018 (0180424004)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70</v>
          </cell>
          <cell r="G164" t="str">
            <v>664 от 09.11.2017 (664)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494.48</v>
          </cell>
          <cell r="G166" t="str">
            <v>4990059597 от 07.06.2018 (500008594)</v>
          </cell>
          <cell r="H166" t="str">
            <v>ООО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844.15</v>
          </cell>
          <cell r="G168" t="str">
            <v>spb018060701 от 07.06.2018 (spb0180607001)</v>
          </cell>
          <cell r="H168" t="str">
            <v>ООО "Петрокоммерц"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139.02</v>
          </cell>
          <cell r="G169" t="str">
            <v>spb018042404 от 24.04.2018 (spb0180424004)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174.65</v>
          </cell>
          <cell r="G170" t="str">
            <v>430 от 19.06.2018 (430)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Q85"/>
  <sheetViews>
    <sheetView tabSelected="1" zoomScaleNormal="100" workbookViewId="0">
      <selection activeCell="C8" sqref="C8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461</v>
      </c>
    </row>
    <row r="2" spans="1:11" ht="6.6" customHeight="1" x14ac:dyDescent="0.2"/>
    <row r="3" spans="1:11" ht="13.15" customHeight="1" x14ac:dyDescent="0.2">
      <c r="A3" s="403" t="s">
        <v>368</v>
      </c>
      <c r="B3" s="403"/>
      <c r="C3" s="403"/>
      <c r="D3" s="403"/>
      <c r="E3" s="403"/>
      <c r="F3" s="403"/>
      <c r="G3" s="403"/>
    </row>
    <row r="4" spans="1:11" ht="13.9" customHeight="1" thickBot="1" x14ac:dyDescent="0.25">
      <c r="A4" s="403"/>
      <c r="B4" s="403"/>
      <c r="C4" s="403"/>
      <c r="D4" s="403"/>
      <c r="E4" s="403"/>
      <c r="F4" s="403"/>
      <c r="G4" s="403"/>
    </row>
    <row r="5" spans="1:11" ht="15.75" customHeight="1" thickBot="1" x14ac:dyDescent="0.3">
      <c r="A5" s="387" t="s">
        <v>0</v>
      </c>
      <c r="B5" s="388"/>
      <c r="C5" s="407" t="s">
        <v>0</v>
      </c>
      <c r="D5" s="408"/>
      <c r="E5" s="408"/>
      <c r="F5" s="408"/>
      <c r="G5" s="409"/>
      <c r="I5" s="360">
        <f>Цена_За_штуку</f>
        <v>1864</v>
      </c>
    </row>
    <row r="6" spans="1:11" ht="13.5" thickBot="1" x14ac:dyDescent="0.25">
      <c r="A6" s="387" t="s">
        <v>80</v>
      </c>
      <c r="B6" s="388"/>
      <c r="C6" s="404" t="s">
        <v>393</v>
      </c>
      <c r="D6" s="405"/>
      <c r="E6" s="406"/>
      <c r="F6" s="68" t="s">
        <v>394</v>
      </c>
      <c r="G6" s="63"/>
    </row>
    <row r="7" spans="1:11" ht="13.5" thickBot="1" x14ac:dyDescent="0.25">
      <c r="A7" s="387" t="s">
        <v>1</v>
      </c>
      <c r="B7" s="388"/>
      <c r="C7" s="410" t="s">
        <v>360</v>
      </c>
      <c r="D7" s="410"/>
      <c r="E7" s="410"/>
      <c r="F7" s="410"/>
      <c r="G7" s="67"/>
    </row>
    <row r="8" spans="1:11" ht="13.5" thickBot="1" x14ac:dyDescent="0.25">
      <c r="A8" s="387" t="s">
        <v>5</v>
      </c>
      <c r="B8" s="388"/>
      <c r="C8" s="254">
        <v>41</v>
      </c>
      <c r="D8" s="59"/>
      <c r="E8" s="411" t="s">
        <v>85</v>
      </c>
      <c r="F8" s="412"/>
      <c r="G8" s="35">
        <v>3</v>
      </c>
    </row>
    <row r="9" spans="1:11" ht="13.5" thickBot="1" x14ac:dyDescent="0.25">
      <c r="A9" s="387" t="s">
        <v>21</v>
      </c>
      <c r="B9" s="388"/>
      <c r="C9" s="47">
        <v>1</v>
      </c>
      <c r="D9" s="59"/>
      <c r="E9" s="376" t="s">
        <v>79</v>
      </c>
      <c r="F9" s="377"/>
      <c r="G9" s="56">
        <v>2</v>
      </c>
    </row>
    <row r="10" spans="1:11" ht="13.5" thickBot="1" x14ac:dyDescent="0.25">
      <c r="A10" s="387" t="s">
        <v>22</v>
      </c>
      <c r="B10" s="388"/>
      <c r="C10" s="47">
        <v>18</v>
      </c>
      <c r="D10" s="59"/>
      <c r="E10" s="374" t="s">
        <v>82</v>
      </c>
      <c r="F10" s="375"/>
      <c r="G10" s="56">
        <v>2</v>
      </c>
    </row>
    <row r="11" spans="1:11" ht="13.5" thickBot="1" x14ac:dyDescent="0.25">
      <c r="A11" s="385" t="s">
        <v>314</v>
      </c>
      <c r="B11" s="386"/>
      <c r="C11" s="47" t="s">
        <v>313</v>
      </c>
      <c r="D11" s="59"/>
      <c r="E11" s="391" t="s">
        <v>205</v>
      </c>
      <c r="F11" s="392"/>
      <c r="G11" s="49">
        <v>500</v>
      </c>
    </row>
    <row r="12" spans="1:11" ht="13.5" thickBot="1" x14ac:dyDescent="0.25">
      <c r="A12" s="387" t="s">
        <v>4</v>
      </c>
      <c r="B12" s="388"/>
      <c r="C12" s="47">
        <v>3</v>
      </c>
      <c r="D12" s="7"/>
      <c r="E12" s="393" t="s">
        <v>206</v>
      </c>
      <c r="F12" s="394"/>
      <c r="G12" s="49">
        <v>500</v>
      </c>
    </row>
    <row r="13" spans="1:11" ht="15.6" customHeight="1" thickBot="1" x14ac:dyDescent="0.25">
      <c r="A13" s="387" t="s">
        <v>315</v>
      </c>
      <c r="B13" s="388"/>
      <c r="C13" s="47" t="s">
        <v>316</v>
      </c>
      <c r="D13" s="7"/>
      <c r="E13" s="398" t="s">
        <v>238</v>
      </c>
      <c r="F13" s="399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72" t="s">
        <v>320</v>
      </c>
      <c r="F14" s="373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389" t="s">
        <v>321</v>
      </c>
      <c r="F15" s="390"/>
      <c r="G15" s="56" t="s">
        <v>324</v>
      </c>
      <c r="I15" s="413" t="s">
        <v>77</v>
      </c>
      <c r="J15" s="413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381" t="s">
        <v>322</v>
      </c>
      <c r="F16" s="382"/>
      <c r="G16" s="56" t="s">
        <v>323</v>
      </c>
      <c r="I16" s="413" t="s">
        <v>78</v>
      </c>
      <c r="J16" s="413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383" t="s">
        <v>325</v>
      </c>
      <c r="F17" s="377"/>
      <c r="G17" s="314" t="s">
        <v>355</v>
      </c>
      <c r="I17" s="414" t="s">
        <v>326</v>
      </c>
      <c r="J17" s="414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376" t="s">
        <v>17</v>
      </c>
      <c r="F18" s="377"/>
      <c r="G18" s="34">
        <v>1</v>
      </c>
      <c r="I18" s="415" t="s">
        <v>327</v>
      </c>
      <c r="J18" s="415"/>
      <c r="K18" s="300">
        <f>IF(marktype=0,0,IF(NOT(ISERROR(SEARCH("pr",marktype))),2,IF(NOT(ISERROR(SEARCH("фм",marktype))),1,3)))</f>
        <v>2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378</v>
      </c>
      <c r="F19" s="5"/>
      <c r="G19" s="31">
        <v>1</v>
      </c>
    </row>
    <row r="20" spans="1:17" ht="13.5" thickBot="1" x14ac:dyDescent="0.25">
      <c r="A20" s="401" t="s">
        <v>19</v>
      </c>
      <c r="B20" s="402"/>
      <c r="C20" s="258">
        <v>2</v>
      </c>
      <c r="D20" s="52"/>
      <c r="E20" s="50" t="s">
        <v>297</v>
      </c>
      <c r="F20" s="55"/>
      <c r="G20" s="25">
        <v>2</v>
      </c>
      <c r="Q20" t="s">
        <v>373</v>
      </c>
    </row>
    <row r="21" spans="1:17" ht="13.5" thickBot="1" x14ac:dyDescent="0.25">
      <c r="D21" s="52"/>
      <c r="E21" s="395" t="s">
        <v>86</v>
      </c>
      <c r="F21" s="396"/>
      <c r="G21" s="26">
        <v>1</v>
      </c>
      <c r="I21" t="s">
        <v>328</v>
      </c>
      <c r="J21" t="s">
        <v>329</v>
      </c>
      <c r="K21" t="s">
        <v>330</v>
      </c>
      <c r="L21" t="s">
        <v>331</v>
      </c>
      <c r="M21" t="s">
        <v>332</v>
      </c>
      <c r="N21" t="s">
        <v>333</v>
      </c>
      <c r="O21" t="s">
        <v>329</v>
      </c>
      <c r="P21" t="s">
        <v>334</v>
      </c>
      <c r="Q21" t="s">
        <v>335</v>
      </c>
    </row>
    <row r="22" spans="1:17" ht="13.5" thickBot="1" x14ac:dyDescent="0.25">
      <c r="A22" s="301"/>
      <c r="B22" s="301"/>
      <c r="C22" s="301"/>
      <c r="D22" s="51"/>
      <c r="E22" s="378" t="s">
        <v>374</v>
      </c>
      <c r="F22" s="379"/>
      <c r="G22" s="336" t="s">
        <v>375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126.96457799999999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384"/>
      <c r="B24" s="384"/>
      <c r="C24" s="384"/>
      <c r="D24" s="384"/>
      <c r="E24" s="384"/>
      <c r="F24" s="384"/>
      <c r="G24" s="384"/>
    </row>
    <row r="25" spans="1:17" ht="13.15" customHeight="1" x14ac:dyDescent="0.2">
      <c r="A25" s="380" t="s">
        <v>351</v>
      </c>
      <c r="B25" s="380"/>
      <c r="C25" s="66">
        <f>VLOOKUP(Класс_точности,Коэфвыхгод,2)</f>
        <v>1.05</v>
      </c>
      <c r="D25" s="303"/>
      <c r="E25" s="400" t="s">
        <v>458</v>
      </c>
      <c r="F25" s="400"/>
      <c r="G25" s="400"/>
    </row>
    <row r="26" spans="1:17" ht="13.15" customHeight="1" x14ac:dyDescent="0.2">
      <c r="A26" s="380" t="s">
        <v>244</v>
      </c>
      <c r="B26" s="380"/>
      <c r="C26" s="66">
        <f>VLOOKUP(N,Таблица1,2)</f>
        <v>1</v>
      </c>
      <c r="E26" s="400"/>
      <c r="F26" s="400"/>
      <c r="G26" s="400"/>
      <c r="I26" s="58"/>
      <c r="J26" s="58"/>
      <c r="K26" s="59"/>
      <c r="N26" s="7"/>
    </row>
    <row r="27" spans="1:17" x14ac:dyDescent="0.2">
      <c r="A27" s="397" t="s">
        <v>245</v>
      </c>
      <c r="B27" s="397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397" t="s">
        <v>246</v>
      </c>
      <c r="B28" s="397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397" t="s">
        <v>247</v>
      </c>
      <c r="B29" s="397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397" t="s">
        <v>248</v>
      </c>
      <c r="B30" s="397"/>
      <c r="C30" s="17">
        <f>П*А1*В1</f>
        <v>22.96</v>
      </c>
      <c r="D30" s="3"/>
      <c r="E30" s="12" t="s">
        <v>108</v>
      </c>
      <c r="F30" s="29"/>
      <c r="G30" s="18">
        <v>15</v>
      </c>
    </row>
    <row r="31" spans="1:17" x14ac:dyDescent="0.2">
      <c r="A31" s="380" t="s">
        <v>249</v>
      </c>
      <c r="B31" s="380"/>
      <c r="C31" s="16">
        <f>А*В*N</f>
        <v>126</v>
      </c>
      <c r="D31" s="266">
        <f>Sзаг*0.01</f>
        <v>1.26</v>
      </c>
      <c r="E31" s="370" t="s">
        <v>441</v>
      </c>
      <c r="F31" s="371"/>
      <c r="G31" s="355">
        <v>1</v>
      </c>
    </row>
    <row r="32" spans="1:17" x14ac:dyDescent="0.2">
      <c r="A32" s="397" t="s">
        <v>250</v>
      </c>
      <c r="B32" s="397"/>
      <c r="C32" s="16">
        <f>(А1+В1)*2</f>
        <v>3.9000000000000004</v>
      </c>
      <c r="D32" s="3"/>
      <c r="E32" s="315" t="s">
        <v>440</v>
      </c>
      <c r="F32" s="41"/>
      <c r="G32" s="316">
        <f>CEILING((ФОТнч*(G28+G29)*0.01+ФОТнч)*(1+плановнакопл/100),0.01)</f>
        <v>692.66</v>
      </c>
    </row>
    <row r="33" spans="1:10" x14ac:dyDescent="0.2">
      <c r="A33" s="397" t="s">
        <v>251</v>
      </c>
      <c r="B33" s="397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2077.98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0.4</v>
      </c>
      <c r="F37" s="24" t="s">
        <v>127</v>
      </c>
      <c r="G37" s="16">
        <f>IF(Класс_точности=3,E37*Сн*ФШи,0)</f>
        <v>554.12800000000004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0.5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222.26022629999997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v>0.25</v>
      </c>
      <c r="F40" s="24" t="s">
        <v>127</v>
      </c>
      <c r="G40" s="16">
        <f>IF(Класс_точности=3,E40*ФШп*Сн,0)</f>
        <v>346.33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v>0.3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IF(N&gt;9,0.96,0)</f>
        <v>0.96</v>
      </c>
      <c r="F42" s="24" t="s">
        <v>124</v>
      </c>
      <c r="G42" s="16">
        <f>IF(Класс_точности=3,E42*Сн,0)</f>
        <v>664.95359999999994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IF(N&gt;9,1.15,0)</f>
        <v>1.1499999999999999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v>0.26400000000000001</v>
      </c>
      <c r="F44" s="90" t="s">
        <v>123</v>
      </c>
      <c r="G44" s="112">
        <f>E44*Сн</f>
        <v>182.86224000000001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4048.5140662999997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2" x14ac:dyDescent="0.2">
      <c r="A49" s="18">
        <v>1</v>
      </c>
      <c r="B49" s="353" t="s">
        <v>436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13396.125678641994</v>
      </c>
      <c r="L49" s="3" t="e">
        <f>SEARCH(fullname,"адар")</f>
        <v>#VALUE!</v>
      </c>
    </row>
    <row r="50" spans="1:12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0.19870199999999996</v>
      </c>
      <c r="F50" s="352" t="s">
        <v>421</v>
      </c>
      <c r="G50" s="16">
        <f>E50*Сн*Кс*Sзаг*Кп*Квг</f>
        <v>36417.672568871989</v>
      </c>
      <c r="H50" s="114">
        <f t="shared" ref="H50:H56" si="0">G50/Сн</f>
        <v>52.576549199999988</v>
      </c>
      <c r="J50" s="125"/>
    </row>
    <row r="51" spans="1:12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IF(Класс_точности=3,1.2*(0.065+Трудоемкости!C12*(Чо1+Чо2)),1.2*(0.07+Трудоемкости!D12*(Чо1+Чо2)))</f>
        <v>0.318</v>
      </c>
      <c r="F51" s="253" t="s">
        <v>422</v>
      </c>
      <c r="G51" s="16">
        <f>E51*Кс*N*Сн*Кп*ТТ*Котрс*Квг</f>
        <v>7261.0096677299989</v>
      </c>
      <c r="H51" s="114">
        <f t="shared" si="0"/>
        <v>10.482790499999998</v>
      </c>
    </row>
    <row r="52" spans="1:12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291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2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292</v>
      </c>
      <c r="G53" s="16">
        <f>E53*N*Сн*Кф*ТТ*Котрф*IF(Фкон=2,1,0)</f>
        <v>1344.3080169959999</v>
      </c>
      <c r="H53" s="114">
        <f t="shared" si="0"/>
        <v>1.9407905999999999</v>
      </c>
    </row>
    <row r="54" spans="1:12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293</v>
      </c>
      <c r="G54" s="16">
        <f>E54*N*Сн*Кп*ТТ*SIGN(Слесобр)</f>
        <v>3312.092322</v>
      </c>
      <c r="H54" s="114">
        <f t="shared" si="0"/>
        <v>4.7816999999999998</v>
      </c>
      <c r="J54" s="125"/>
    </row>
    <row r="55" spans="1:12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2" x14ac:dyDescent="0.2">
      <c r="A56" s="46"/>
      <c r="B56" s="97" t="s">
        <v>342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453</v>
      </c>
      <c r="G56" s="16">
        <f>Сн*E56*Sпл*Км</f>
        <v>600.04001823594774</v>
      </c>
      <c r="H56" s="114">
        <f t="shared" si="0"/>
        <v>0.86628362867200037</v>
      </c>
      <c r="J56" s="125"/>
    </row>
    <row r="57" spans="1:12" x14ac:dyDescent="0.2">
      <c r="A57" s="46"/>
      <c r="B57" s="30" t="s">
        <v>341</v>
      </c>
      <c r="C57" s="3"/>
      <c r="D57" s="43"/>
      <c r="E57" s="334" t="s">
        <v>97</v>
      </c>
      <c r="F57" s="62"/>
      <c r="G57" s="16">
        <f>сухаямаска*(1+плановнакопл/100)</f>
        <v>4433.8095899999998</v>
      </c>
      <c r="H57" s="114"/>
      <c r="I57" s="125"/>
    </row>
    <row r="58" spans="1:12" x14ac:dyDescent="0.2">
      <c r="A58" s="46"/>
      <c r="B58" s="97" t="s">
        <v>340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454</v>
      </c>
      <c r="G58" s="16">
        <f>Сн*E58*Sпл*Км</f>
        <v>1049.6292576000001</v>
      </c>
      <c r="H58" s="114">
        <f>G58/Сн</f>
        <v>1.5153600000000003</v>
      </c>
      <c r="I58" s="125">
        <f>H58+H56</f>
        <v>2.3816436286720006</v>
      </c>
      <c r="J58" s="125"/>
    </row>
    <row r="59" spans="1:12" x14ac:dyDescent="0.2">
      <c r="A59" s="42"/>
      <c r="B59" s="33" t="s">
        <v>339</v>
      </c>
      <c r="C59" s="15"/>
      <c r="D59" s="28"/>
      <c r="E59" s="334" t="s">
        <v>97</v>
      </c>
      <c r="F59" s="62"/>
      <c r="G59" s="16">
        <f>жидкаямаска*(1+плановнакопл/100)</f>
        <v>415.03543263</v>
      </c>
      <c r="H59" s="114"/>
      <c r="I59" s="125"/>
    </row>
    <row r="60" spans="1:12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2" x14ac:dyDescent="0.2">
      <c r="A61" s="37"/>
      <c r="B61" s="86" t="s">
        <v>338</v>
      </c>
      <c r="C61" s="5"/>
      <c r="D61" s="41"/>
      <c r="E61" s="334">
        <f>Тр</f>
        <v>6.0005000000000003E-2</v>
      </c>
      <c r="F61" s="29" t="s">
        <v>294</v>
      </c>
      <c r="G61" s="16">
        <f>E61*Сн*П*Ручная_маркировка</f>
        <v>1704.0855953</v>
      </c>
      <c r="H61" s="114">
        <f>G61/Сн</f>
        <v>2.4602050000000002</v>
      </c>
      <c r="J61" s="125"/>
    </row>
    <row r="62" spans="1:12" x14ac:dyDescent="0.2">
      <c r="A62" s="46"/>
      <c r="B62" s="86" t="s">
        <v>452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1.4999999999999999E-2</v>
      </c>
      <c r="F62" s="357" t="s">
        <v>439</v>
      </c>
      <c r="G62" s="16">
        <f>(E62*Sзаг*Сн)</f>
        <v>1309.1273999999999</v>
      </c>
      <c r="H62" s="114">
        <f>G62/Сн</f>
        <v>1.89</v>
      </c>
      <c r="J62" s="125"/>
    </row>
    <row r="63" spans="1:12" x14ac:dyDescent="0.2">
      <c r="A63" s="42"/>
      <c r="B63" s="98" t="s">
        <v>337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1119.895679385</v>
      </c>
      <c r="H63" s="114"/>
      <c r="I63" s="125"/>
    </row>
    <row r="64" spans="1:12" x14ac:dyDescent="0.2">
      <c r="A64" s="44">
        <v>8</v>
      </c>
      <c r="B64" s="86" t="s">
        <v>376</v>
      </c>
      <c r="C64" s="87"/>
      <c r="D64" s="88"/>
      <c r="E64" s="334">
        <f>Тз</f>
        <v>0.33</v>
      </c>
      <c r="F64" s="29" t="s">
        <v>310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298</v>
      </c>
      <c r="L65" s="3" t="s">
        <v>95</v>
      </c>
    </row>
    <row r="66" spans="1:12" x14ac:dyDescent="0.2">
      <c r="A66" s="18">
        <v>9</v>
      </c>
      <c r="B66" s="367" t="s">
        <v>456</v>
      </c>
      <c r="C66" s="368"/>
      <c r="D66" s="369"/>
      <c r="E66" s="18" t="s">
        <v>97</v>
      </c>
      <c r="F66" s="24"/>
      <c r="G66" s="16">
        <f>Электроконтроль</f>
        <v>0</v>
      </c>
      <c r="I66" s="125" t="s">
        <v>302</v>
      </c>
      <c r="J66" s="125">
        <f>SUM(G36:G38)+SUM(G40:G44)+G56+G58+G61+G62+G64+SUM(G50:G54)</f>
        <v>56824.218686733941</v>
      </c>
      <c r="K66" s="3" t="s">
        <v>302</v>
      </c>
      <c r="L66" s="125">
        <f>G39+G49+G57+G59+G65+G63</f>
        <v>19587.126606956997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72362.831227390925</v>
      </c>
      <c r="H67" s="114"/>
      <c r="I67" s="125" t="s">
        <v>299</v>
      </c>
      <c r="J67" s="125">
        <f>G68-L66</f>
        <v>56824.218686733933</v>
      </c>
      <c r="K67" s="3" t="s">
        <v>303</v>
      </c>
      <c r="L67" s="125">
        <f>Материалы_всего</f>
        <v>19588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76411.345293690931</v>
      </c>
      <c r="I68" s="3" t="s">
        <v>300</v>
      </c>
      <c r="J68" s="125">
        <f>J67/Сн</f>
        <v>82.03767892867198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G68*Кср</f>
        <v>76411.345293690931</v>
      </c>
      <c r="H69">
        <f>Электроконтроль</f>
        <v>0</v>
      </c>
      <c r="I69" s="291" t="s">
        <v>301</v>
      </c>
      <c r="J69" s="125">
        <f>J68*ФОТнч</f>
        <v>19908.08354562083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IF(IFERROR(SEARCH("адар",fullname),FALSE),240*N,0)</f>
        <v>0</v>
      </c>
      <c r="I70" s="125" t="s">
        <v>304</v>
      </c>
      <c r="J70" s="125">
        <f>ФОТ!F48</f>
        <v>19908.083545620837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1864</v>
      </c>
      <c r="J71" s="125"/>
    </row>
    <row r="72" spans="1:12" ht="24" customHeight="1" x14ac:dyDescent="0.2">
      <c r="B72" s="239" t="s">
        <v>369</v>
      </c>
      <c r="C72" s="264"/>
      <c r="D72" s="3"/>
      <c r="E72" s="3"/>
      <c r="G72" s="240" t="s">
        <v>255</v>
      </c>
      <c r="I72" s="291" t="s">
        <v>305</v>
      </c>
      <c r="J72" s="125">
        <f>G36+G37+G38+G40+G41+G42+G43+G44</f>
        <v>3826.2538399999999</v>
      </c>
    </row>
    <row r="73" spans="1:12" x14ac:dyDescent="0.2">
      <c r="I73" s="291" t="s">
        <v>300</v>
      </c>
      <c r="J73" s="125">
        <f>J72/Сн</f>
        <v>5.524</v>
      </c>
    </row>
    <row r="74" spans="1:12" x14ac:dyDescent="0.2">
      <c r="J74" s="125">
        <f>J73*ФОТнч</f>
        <v>1340.50908</v>
      </c>
    </row>
    <row r="75" spans="1:12" x14ac:dyDescent="0.2">
      <c r="I75" s="125" t="s">
        <v>304</v>
      </c>
      <c r="J75" s="125">
        <f>ФОТ!F15</f>
        <v>1340.5090799999998</v>
      </c>
      <c r="K75" s="125">
        <f>J75-J74</f>
        <v>0</v>
      </c>
    </row>
    <row r="76" spans="1:12" x14ac:dyDescent="0.2">
      <c r="J76" s="125"/>
    </row>
    <row r="77" spans="1:12" x14ac:dyDescent="0.2">
      <c r="I77" s="3" t="s">
        <v>306</v>
      </c>
      <c r="J77" s="125">
        <f>G50+G51</f>
        <v>43678.682236601991</v>
      </c>
    </row>
    <row r="78" spans="1:12" x14ac:dyDescent="0.2">
      <c r="J78" s="125">
        <f>J77/Сн</f>
        <v>63.059339699999988</v>
      </c>
    </row>
    <row r="79" spans="1:12" x14ac:dyDescent="0.2">
      <c r="J79" s="125">
        <f>J78*ФОТнч</f>
        <v>15302.609964998996</v>
      </c>
    </row>
    <row r="80" spans="1:12" x14ac:dyDescent="0.2">
      <c r="I80" s="125" t="s">
        <v>304</v>
      </c>
      <c r="J80" s="125">
        <f>ФОТ!F38</f>
        <v>15302.609964999001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307</v>
      </c>
      <c r="J82" s="125">
        <f>G52+G53+G54+G56+G58+G61+G62+G64</f>
        <v>9319.2826101319479</v>
      </c>
    </row>
    <row r="83" spans="9:11" x14ac:dyDescent="0.2">
      <c r="J83" s="125">
        <f>J82/Сн</f>
        <v>13.454339228672001</v>
      </c>
    </row>
    <row r="84" spans="9:11" x14ac:dyDescent="0.2">
      <c r="J84" s="125">
        <f>J83*ФОТнч</f>
        <v>3264.9645006218343</v>
      </c>
    </row>
    <row r="85" spans="9:11" x14ac:dyDescent="0.2">
      <c r="I85" s="125" t="s">
        <v>304</v>
      </c>
      <c r="J85" s="125">
        <f>ФОТ!F46</f>
        <v>3264.9645006218338</v>
      </c>
      <c r="K85" s="125">
        <f>J85-J84</f>
        <v>0</v>
      </c>
    </row>
  </sheetData>
  <dataConsolidate/>
  <mergeCells count="44">
    <mergeCell ref="I15:J15"/>
    <mergeCell ref="I16:J16"/>
    <mergeCell ref="I17:J17"/>
    <mergeCell ref="I18:J18"/>
    <mergeCell ref="E18:F18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A33:B33"/>
    <mergeCell ref="A20:B20"/>
    <mergeCell ref="A28:B28"/>
    <mergeCell ref="A29:B29"/>
    <mergeCell ref="A26:B26"/>
    <mergeCell ref="A30:B30"/>
    <mergeCell ref="A31:B31"/>
    <mergeCell ref="A32:B32"/>
    <mergeCell ref="A12:B12"/>
    <mergeCell ref="A9:B9"/>
    <mergeCell ref="E21:F21"/>
    <mergeCell ref="A27:B27"/>
    <mergeCell ref="E13:F13"/>
    <mergeCell ref="E25:G26"/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38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5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19" t="s">
        <v>278</v>
      </c>
      <c r="C3" s="420"/>
      <c r="D3" s="21"/>
      <c r="E3" s="419" t="s">
        <v>415</v>
      </c>
      <c r="F3" s="420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16" t="s">
        <v>259</v>
      </c>
      <c r="F4" s="421" t="s">
        <v>260</v>
      </c>
      <c r="I4" s="268"/>
      <c r="L4" s="21" t="s">
        <v>256</v>
      </c>
    </row>
    <row r="5" spans="1:12" ht="31.5" x14ac:dyDescent="0.2">
      <c r="A5" s="3"/>
      <c r="B5" s="242">
        <v>1</v>
      </c>
      <c r="C5" s="243">
        <v>1.8</v>
      </c>
      <c r="D5" s="6"/>
      <c r="E5" s="416"/>
      <c r="F5" s="421"/>
      <c r="H5" s="271" t="s">
        <v>261</v>
      </c>
      <c r="I5" s="272" t="s">
        <v>262</v>
      </c>
      <c r="J5" s="272" t="s">
        <v>263</v>
      </c>
      <c r="K5" s="272" t="s">
        <v>264</v>
      </c>
      <c r="L5" s="273" t="s">
        <v>265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266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267</v>
      </c>
      <c r="I12" s="272" t="s">
        <v>257</v>
      </c>
      <c r="J12" s="272" t="s">
        <v>268</v>
      </c>
      <c r="K12" s="272" t="s">
        <v>258</v>
      </c>
      <c r="L12" s="273" t="s">
        <v>269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22" t="s">
        <v>277</v>
      </c>
      <c r="F14" s="423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16"/>
      <c r="F15" s="424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16"/>
      <c r="F16" s="424"/>
    </row>
    <row r="17" spans="1:12" ht="37.15" customHeight="1" x14ac:dyDescent="0.2">
      <c r="A17" s="3"/>
      <c r="B17" s="242">
        <v>13</v>
      </c>
      <c r="C17" s="243">
        <v>1</v>
      </c>
      <c r="D17" s="6"/>
      <c r="E17" s="416" t="s">
        <v>274</v>
      </c>
      <c r="F17" s="418" t="s">
        <v>276</v>
      </c>
      <c r="H17" t="s">
        <v>270</v>
      </c>
      <c r="K17" s="21" t="s">
        <v>271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16"/>
      <c r="F18" s="418"/>
      <c r="H18" t="s">
        <v>272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273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279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280</v>
      </c>
      <c r="I22" s="272" t="s">
        <v>281</v>
      </c>
      <c r="J22" s="272" t="s">
        <v>282</v>
      </c>
      <c r="K22" s="272" t="s">
        <v>283</v>
      </c>
      <c r="L22" s="273" t="s">
        <v>284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25" t="s">
        <v>275</v>
      </c>
      <c r="F24" s="426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27"/>
      <c r="F25" s="428"/>
    </row>
    <row r="26" spans="1:12" ht="13.5" thickBot="1" x14ac:dyDescent="0.25">
      <c r="A26" s="3"/>
      <c r="B26" s="242">
        <v>30</v>
      </c>
      <c r="C26" s="243">
        <v>1</v>
      </c>
      <c r="D26" s="7"/>
      <c r="E26" s="416" t="s">
        <v>274</v>
      </c>
      <c r="F26" s="417" t="s">
        <v>276</v>
      </c>
      <c r="L26" s="21" t="s">
        <v>285</v>
      </c>
    </row>
    <row r="27" spans="1:12" ht="63" x14ac:dyDescent="0.2">
      <c r="A27" s="3"/>
      <c r="B27" s="242">
        <v>35</v>
      </c>
      <c r="C27" s="243">
        <v>1</v>
      </c>
      <c r="D27" s="7"/>
      <c r="E27" s="416"/>
      <c r="F27" s="417"/>
      <c r="H27" s="271" t="s">
        <v>261</v>
      </c>
      <c r="I27" s="272" t="s">
        <v>262</v>
      </c>
      <c r="J27" s="272" t="s">
        <v>286</v>
      </c>
      <c r="K27" s="272" t="s">
        <v>287</v>
      </c>
      <c r="L27" s="273" t="s">
        <v>288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290</v>
      </c>
      <c r="K36" s="21" t="s">
        <v>289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352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353</v>
      </c>
      <c r="L39" s="305" t="s">
        <v>354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369</v>
      </c>
    </row>
  </sheetData>
  <mergeCells count="10">
    <mergeCell ref="B3:C3"/>
    <mergeCell ref="E4:E5"/>
    <mergeCell ref="F4:F5"/>
    <mergeCell ref="E14:F16"/>
    <mergeCell ref="E24:F25"/>
    <mergeCell ref="E26:E27"/>
    <mergeCell ref="F26:F27"/>
    <mergeCell ref="E17:E18"/>
    <mergeCell ref="F17:F18"/>
    <mergeCell ref="E3:F3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2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398</v>
      </c>
      <c r="D1" s="133"/>
    </row>
    <row r="2" spans="1:7" x14ac:dyDescent="0.2">
      <c r="C2" s="241" t="s">
        <v>190</v>
      </c>
      <c r="D2" s="241"/>
    </row>
    <row r="4" spans="1:7" x14ac:dyDescent="0.2">
      <c r="A4" s="429" t="s">
        <v>399</v>
      </c>
      <c r="B4" s="429"/>
      <c r="C4" s="429"/>
      <c r="D4" s="343"/>
    </row>
    <row r="5" spans="1:7" x14ac:dyDescent="0.2">
      <c r="A5" s="429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29"/>
      <c r="C5" s="429"/>
      <c r="D5" s="343"/>
    </row>
    <row r="6" spans="1:7" x14ac:dyDescent="0.2">
      <c r="A6" s="429" t="str">
        <f>Расчет!$C$6</f>
        <v>Номер заказа от дата</v>
      </c>
      <c r="B6" s="429"/>
      <c r="C6" s="429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383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19912.02746732999</v>
      </c>
      <c r="D12" s="347"/>
      <c r="E12" s="114">
        <f t="shared" ref="E12:E19" si="0">G12-C12</f>
        <v>-3.9439217091530736</v>
      </c>
      <c r="G12">
        <f>ФОТ_всего</f>
        <v>19908.083545620837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6093.0804050029765</v>
      </c>
      <c r="D13" s="6"/>
      <c r="E13" s="114">
        <f t="shared" si="0"/>
        <v>-1.2068400429998292</v>
      </c>
      <c r="G13">
        <f>G12*Соцналог/100</f>
        <v>6091.8735649599766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23416.544301580067</v>
      </c>
      <c r="D14" s="6"/>
      <c r="E14" s="114">
        <f t="shared" si="0"/>
        <v>-4.6380519299636944</v>
      </c>
      <c r="G14">
        <f>G12*наклрасх/100</f>
        <v>23411.906249650103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17034</v>
      </c>
      <c r="D15" s="6"/>
      <c r="E15" s="114">
        <f t="shared" si="0"/>
        <v>-0.95652173912822036</v>
      </c>
      <c r="G15">
        <f>Материалы_всего/(1+плановнакопл/100)</f>
        <v>17033.043478260872</v>
      </c>
    </row>
    <row r="16" spans="1:7" x14ac:dyDescent="0.2">
      <c r="A16" s="242">
        <v>5</v>
      </c>
      <c r="B16" s="24" t="s">
        <v>178</v>
      </c>
      <c r="C16" s="243">
        <f>C18-C17</f>
        <v>66455.65217391304</v>
      </c>
      <c r="D16" s="6"/>
      <c r="E16" s="114">
        <f t="shared" si="0"/>
        <v>-10.745335421248456</v>
      </c>
      <c r="G16">
        <f>SUM(G12:G15)</f>
        <v>66444.906838491792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(15% от себестоимости)</v>
      </c>
      <c r="C17" s="243">
        <f>C18*(плановнакопл/100)/(1+(плановнакопл/100))</f>
        <v>9968.3478260869579</v>
      </c>
      <c r="D17" s="6"/>
      <c r="E17" s="114">
        <f t="shared" si="0"/>
        <v>-1.6118003131887235</v>
      </c>
      <c r="G17">
        <f>G16*(плановнакопл/100)</f>
        <v>9966.7360257737691</v>
      </c>
    </row>
    <row r="18" spans="1:7" x14ac:dyDescent="0.2">
      <c r="A18" s="242">
        <v>7</v>
      </c>
      <c r="B18" s="24" t="s">
        <v>208</v>
      </c>
      <c r="C18" s="243">
        <f>Цена_За_штуку*П</f>
        <v>76424</v>
      </c>
      <c r="D18" s="6"/>
      <c r="E18" s="114">
        <f t="shared" si="0"/>
        <v>-12.357135734433541</v>
      </c>
      <c r="G18">
        <f>SUM(G16:G17)</f>
        <v>76411.642864265566</v>
      </c>
    </row>
    <row r="19" spans="1:7" x14ac:dyDescent="0.2">
      <c r="A19" s="296">
        <v>8</v>
      </c>
      <c r="B19" s="293" t="s">
        <v>309</v>
      </c>
      <c r="C19" s="243">
        <f>Расчет!G71</f>
        <v>1864</v>
      </c>
      <c r="D19" s="6"/>
      <c r="E19" s="114">
        <f t="shared" si="0"/>
        <v>0</v>
      </c>
      <c r="G19">
        <f>Цена_За_штуку</f>
        <v>1864</v>
      </c>
    </row>
    <row r="20" spans="1:7" ht="13.5" thickBot="1" x14ac:dyDescent="0.25">
      <c r="A20" s="297"/>
      <c r="B20" s="90"/>
      <c r="C20" s="298"/>
      <c r="D20" s="3"/>
    </row>
    <row r="22" spans="1:7" x14ac:dyDescent="0.2">
      <c r="A22" s="21"/>
      <c r="B22" t="s">
        <v>400</v>
      </c>
    </row>
    <row r="23" spans="1:7" x14ac:dyDescent="0.2">
      <c r="B23" t="s">
        <v>402</v>
      </c>
    </row>
    <row r="24" spans="1:7" x14ac:dyDescent="0.2">
      <c r="B24" t="s">
        <v>401</v>
      </c>
    </row>
    <row r="25" spans="1:7" x14ac:dyDescent="0.2">
      <c r="B25" t="s">
        <v>412</v>
      </c>
    </row>
    <row r="27" spans="1:7" ht="20.45" customHeight="1" x14ac:dyDescent="0.2">
      <c r="A27" s="238" t="s">
        <v>370</v>
      </c>
      <c r="C27" s="240" t="s">
        <v>253</v>
      </c>
      <c r="D27" s="240"/>
    </row>
    <row r="28" spans="1:7" ht="31.15" customHeight="1" x14ac:dyDescent="0.2">
      <c r="C28" s="240" t="s">
        <v>459</v>
      </c>
      <c r="D28" s="240"/>
    </row>
    <row r="29" spans="1:7" ht="54" customHeight="1" x14ac:dyDescent="0.2">
      <c r="A29" s="239" t="s">
        <v>252</v>
      </c>
    </row>
    <row r="30" spans="1:7" ht="20.45" customHeight="1" x14ac:dyDescent="0.2">
      <c r="A30" s="239" t="s">
        <v>356</v>
      </c>
      <c r="C30" s="240" t="s">
        <v>367</v>
      </c>
      <c r="D30" s="240"/>
    </row>
    <row r="31" spans="1:7" ht="31.15" customHeight="1" x14ac:dyDescent="0.2">
      <c r="C31" s="240" t="s">
        <v>459</v>
      </c>
      <c r="D31" s="240"/>
    </row>
    <row r="32" spans="1:7" x14ac:dyDescent="0.2">
      <c r="C32"/>
      <c r="D32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1:T133"/>
  <sheetViews>
    <sheetView topLeftCell="A100" zoomScale="145" zoomScaleNormal="145" workbookViewId="0">
      <selection activeCell="F110" sqref="F110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403</v>
      </c>
      <c r="L2" s="106">
        <v>1</v>
      </c>
      <c r="M2" s="106" t="s">
        <v>317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362</v>
      </c>
      <c r="N3" s="106">
        <v>1</v>
      </c>
      <c r="O3" s="130">
        <f>VLOOKUP(M3,[1]!ПрайсНаМатериалы,3)</f>
        <v>2229</v>
      </c>
      <c r="P3" s="202">
        <f>O3/N3</f>
        <v>2229</v>
      </c>
    </row>
    <row r="4" spans="2:17" s="108" customFormat="1" ht="12" x14ac:dyDescent="0.2">
      <c r="B4" s="430" t="s">
        <v>142</v>
      </c>
      <c r="C4" s="430"/>
      <c r="D4" s="430"/>
      <c r="E4" s="430"/>
      <c r="F4" s="430"/>
      <c r="G4" s="430"/>
      <c r="H4" s="430"/>
      <c r="I4" s="430"/>
      <c r="L4" s="106">
        <v>3</v>
      </c>
      <c r="M4" s="106" t="s">
        <v>210</v>
      </c>
      <c r="N4" s="106">
        <v>1</v>
      </c>
      <c r="O4" s="130">
        <f>VLOOKUP(M4,[1]!ПрайсНаМатериалы,3)</f>
        <v>2474.91</v>
      </c>
      <c r="P4" s="202">
        <f t="shared" si="0"/>
        <v>2474.91</v>
      </c>
      <c r="Q4" s="106"/>
    </row>
    <row r="5" spans="2:17" s="108" customFormat="1" ht="12" x14ac:dyDescent="0.2">
      <c r="B5" s="430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30"/>
      <c r="D5" s="430"/>
      <c r="E5" s="430"/>
      <c r="F5" s="430"/>
      <c r="G5" s="430"/>
      <c r="H5" s="430"/>
      <c r="I5" s="430"/>
      <c r="L5" s="106">
        <v>4</v>
      </c>
      <c r="M5" s="106" t="s">
        <v>239</v>
      </c>
      <c r="N5" s="106">
        <v>1</v>
      </c>
      <c r="O5" s="130">
        <f>VLOOKUP(M5,[1]!ПрайсНаМатериалы,3)</f>
        <v>1790.57</v>
      </c>
      <c r="P5" s="202">
        <f t="shared" si="0"/>
        <v>1790.57</v>
      </c>
      <c r="Q5" s="106"/>
    </row>
    <row r="6" spans="2:17" customFormat="1" ht="12.75" x14ac:dyDescent="0.2">
      <c r="B6" s="429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29"/>
      <c r="D6" s="429"/>
      <c r="E6" s="429"/>
      <c r="F6" s="429"/>
      <c r="G6" s="429"/>
      <c r="H6" s="429"/>
      <c r="I6" s="429"/>
      <c r="L6" s="106">
        <v>5</v>
      </c>
      <c r="M6" s="106" t="s">
        <v>363</v>
      </c>
      <c r="N6" s="106">
        <v>1</v>
      </c>
      <c r="O6" s="130">
        <f>VLOOKUP(M6,[1]!ПрайсНаМатериалы,3)</f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308</v>
      </c>
      <c r="N7" s="106">
        <v>1</v>
      </c>
      <c r="O7" s="130">
        <f>VLOOKUP(M7,[1]!ПрайсНаМатериалы,3)</f>
        <v>3184</v>
      </c>
      <c r="P7" s="202">
        <f t="shared" si="0"/>
        <v>3184</v>
      </c>
      <c r="Q7" s="106"/>
    </row>
    <row r="8" spans="2:17" x14ac:dyDescent="0.2">
      <c r="D8" s="130" t="s">
        <v>423</v>
      </c>
      <c r="L8" s="106">
        <v>7</v>
      </c>
      <c r="M8" s="106" t="s">
        <v>240</v>
      </c>
      <c r="N8" s="106">
        <v>1</v>
      </c>
      <c r="O8" s="130">
        <f>VLOOKUP(M8,[1]!ПрайсНаМатериалы,3)</f>
        <v>2878.81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>
        <f>VLOOKUP(M9,[1]!ПрайсНаМатериалы,3)</f>
        <v>3770</v>
      </c>
      <c r="P9" s="202">
        <f t="shared" si="0"/>
        <v>3770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>VLOOKUP(M10,[1]!ПрайсНаМатериалы,3)</f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>VLOOKUP(M11,[1]!ПрайсНаМатериалы,3)</f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>VLOOKUP(M12,[1]!ПрайсНаМатериалы,3)</f>
        <v>4170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>VLOOKUP(M13,[1]!ПрайсНаМатериалы,3)</f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416</v>
      </c>
      <c r="N14" s="106">
        <v>1</v>
      </c>
      <c r="O14" s="130">
        <f>VLOOKUP(M14,[1]!ПрайсНаМатериалы,3)</f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358</v>
      </c>
      <c r="N15" s="106">
        <v>1</v>
      </c>
      <c r="O15" s="130">
        <f>VLOOKUP(M15,[1]!ПрайсНаМатериалы,3)</f>
        <v>1897</v>
      </c>
      <c r="P15" s="202">
        <f t="shared" si="0"/>
        <v>1897</v>
      </c>
    </row>
    <row r="16" spans="2:17" x14ac:dyDescent="0.2">
      <c r="B16" s="147">
        <v>1</v>
      </c>
      <c r="C16" s="341" t="str">
        <f>VLOOKUP(D16,[1]!Всё,3)</f>
        <v>Аммиак водный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>VLOOKUP(D16,[1]!ПрайсНаМатериалы,2)</f>
        <v>кг</v>
      </c>
      <c r="H16" s="150">
        <f>VLOOKUP(D16,[1]!ПрайсНаМатериалы,3)</f>
        <v>53</v>
      </c>
      <c r="I16" s="151">
        <f t="shared" ref="I16:I24" si="1">F16*H16</f>
        <v>155.66418000000002</v>
      </c>
      <c r="L16" s="106">
        <v>15</v>
      </c>
      <c r="M16" s="106" t="s">
        <v>366</v>
      </c>
      <c r="N16" s="106">
        <v>1</v>
      </c>
      <c r="O16" s="130">
        <f>VLOOKUP(M16,[1]!ПрайсНаМатериалы,3)</f>
        <v>2300</v>
      </c>
      <c r="P16" s="202">
        <f t="shared" si="0"/>
        <v>2300</v>
      </c>
    </row>
    <row r="17" spans="2:16" x14ac:dyDescent="0.2">
      <c r="B17" s="147">
        <v>2</v>
      </c>
      <c r="C17" s="341" t="str">
        <f>VLOOKUP(D17,[1]!Всё,3)</f>
        <v>Аммоний надсернокислый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>VLOOKUP(D17,[1]!ПрайсНаМатериалы,2)</f>
        <v>кг</v>
      </c>
      <c r="H17" s="150">
        <f>VLOOKUP(D17,[1]!ПрайсНаМатериалы,3)</f>
        <v>160</v>
      </c>
      <c r="I17" s="151">
        <f t="shared" si="1"/>
        <v>93.139200000000017</v>
      </c>
      <c r="K17" s="193"/>
      <c r="L17" s="106">
        <v>16</v>
      </c>
      <c r="M17" s="106" t="s">
        <v>213</v>
      </c>
      <c r="N17" s="106">
        <v>0.32</v>
      </c>
      <c r="O17" s="130">
        <f>VLOOKUP(M17,[1]!ПрайсНаМатериалы,3)</f>
        <v>435</v>
      </c>
      <c r="P17" s="202">
        <f t="shared" si="0"/>
        <v>1359.375</v>
      </c>
    </row>
    <row r="18" spans="2:16" x14ac:dyDescent="0.2">
      <c r="B18" s="147">
        <v>3</v>
      </c>
      <c r="C18" s="341" t="str">
        <f>VLOOKUP(D18,[1]!Всё,3)</f>
        <v>Аммоний хлористый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>VLOOKUP(D18,[1]!ПрайсНаМатериалы,2)</f>
        <v>кг</v>
      </c>
      <c r="H18" s="150">
        <f>VLOOKUP(D18,[1]!ПрайсНаМатериалы,3)</f>
        <v>79</v>
      </c>
      <c r="I18" s="151">
        <f t="shared" si="1"/>
        <v>83.613600000000005</v>
      </c>
      <c r="L18" s="106">
        <v>17</v>
      </c>
      <c r="M18" s="106" t="s">
        <v>318</v>
      </c>
      <c r="N18" s="106">
        <v>1</v>
      </c>
      <c r="O18" s="130">
        <f>VLOOKUP(M18,[1]!ПрайсНаМатериалы,3)</f>
        <v>485</v>
      </c>
      <c r="P18" s="202">
        <f t="shared" si="0"/>
        <v>485</v>
      </c>
    </row>
    <row r="19" spans="2:16" x14ac:dyDescent="0.2">
      <c r="B19" s="147">
        <v>4</v>
      </c>
      <c r="C19" s="341" t="str">
        <f>VLOOKUP(D19,[1]!Всё,3)</f>
        <v>Аноды медные АМФ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>VLOOKUP(D19,[1]!ПрайсНаМатериалы,2)</f>
        <v>кг</v>
      </c>
      <c r="H19" s="150">
        <f>VLOOKUP(D19,[1]!ПрайсНаМатериалы,3)</f>
        <v>818.62</v>
      </c>
      <c r="I19" s="151">
        <f t="shared" si="1"/>
        <v>324.91027800000001</v>
      </c>
      <c r="L19" s="106">
        <v>18</v>
      </c>
      <c r="M19" s="106" t="s">
        <v>444</v>
      </c>
      <c r="N19" s="106">
        <v>0.125</v>
      </c>
      <c r="O19" s="130">
        <f>VLOOKUP(M19,[1]!ПрайсНаМатериалы,3)</f>
        <v>1377</v>
      </c>
      <c r="P19" s="202">
        <f>O19/N19</f>
        <v>11016</v>
      </c>
    </row>
    <row r="20" spans="2:16" x14ac:dyDescent="0.2">
      <c r="B20" s="147">
        <v>5</v>
      </c>
      <c r="C20" s="341" t="str">
        <f>VLOOKUP(D20,[1]!Всё,3)</f>
        <v>Гетинакс -1 1.0мм</v>
      </c>
      <c r="D20" s="148" t="s">
        <v>418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>VLOOKUP(D20,[1]!ПрайсНаМатериалы,2)</f>
        <v>кг</v>
      </c>
      <c r="H20" s="150">
        <f>VLOOKUP(D20,[1]!ПрайсНаМатериалы,3)</f>
        <v>350</v>
      </c>
      <c r="I20" s="151">
        <f>F20*H20</f>
        <v>829.78560000000004</v>
      </c>
      <c r="L20" s="106">
        <v>19</v>
      </c>
      <c r="M20" s="106" t="s">
        <v>437</v>
      </c>
      <c r="N20" s="106">
        <v>0.125</v>
      </c>
      <c r="O20" s="130">
        <f>VLOOKUP(M20,[1]!ПрайсНаМатериалы,3)</f>
        <v>1377</v>
      </c>
      <c r="P20" s="202">
        <f t="shared" si="0"/>
        <v>11016</v>
      </c>
    </row>
    <row r="21" spans="2:16" x14ac:dyDescent="0.2">
      <c r="B21" s="147">
        <v>6</v>
      </c>
      <c r="C21" s="341" t="str">
        <f>VLOOKUP(D21,[1]!Всё,3)</f>
        <v>Гетинакс -1 1.5мм</v>
      </c>
      <c r="D21" s="148" t="s">
        <v>419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>VLOOKUP(D21,[1]!ПрайсНаМатериалы,2)</f>
        <v>кг</v>
      </c>
      <c r="H21" s="150">
        <f>VLOOKUP(D21,[1]!ПрайсНаМатериалы,3)</f>
        <v>328</v>
      </c>
      <c r="I21" s="151">
        <f t="shared" si="1"/>
        <v>599.88418560000002</v>
      </c>
      <c r="L21" s="106">
        <v>20</v>
      </c>
      <c r="M21" s="106" t="s">
        <v>214</v>
      </c>
      <c r="N21" s="106">
        <v>0.43478</v>
      </c>
      <c r="O21" s="130">
        <f>VLOOKUP(M21,[1]!ПрайсНаМатериалы,3)</f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tr">
        <f>VLOOKUP(D22,[1]!Всё,3)</f>
        <v>Кислота борфтористоводородная</v>
      </c>
      <c r="D22" s="155" t="s">
        <v>38</v>
      </c>
      <c r="E22" s="156">
        <v>360</v>
      </c>
      <c r="F22" s="365">
        <f t="shared" ref="F22:F32" si="2">E22*0.001*Sзагм2*2*Квг</f>
        <v>0.95256000000000007</v>
      </c>
      <c r="G22" s="150" t="str">
        <f>VLOOKUP(D22,[1]!ПрайсНаМатериалы,2)</f>
        <v>кг</v>
      </c>
      <c r="H22" s="150">
        <f>VLOOKUP(D22,[1]!ПрайсНаМатериалы,3)</f>
        <v>246</v>
      </c>
      <c r="I22" s="151">
        <f t="shared" si="1"/>
        <v>234.32976000000002</v>
      </c>
      <c r="J22" s="157"/>
      <c r="L22" s="106">
        <v>21</v>
      </c>
      <c r="M22" s="106" t="s">
        <v>215</v>
      </c>
      <c r="N22" s="106">
        <v>0.31947999999999999</v>
      </c>
      <c r="O22" s="130">
        <f>VLOOKUP(M22,[1]!ПрайсНаМатериалы,3)</f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tr">
        <f>VLOOKUP(D23,[1]!Всё,3)</f>
        <v>Кислота серная</v>
      </c>
      <c r="D23" s="148" t="s">
        <v>39</v>
      </c>
      <c r="E23" s="154">
        <v>1000</v>
      </c>
      <c r="F23" s="365">
        <f t="shared" si="2"/>
        <v>2.6460000000000004</v>
      </c>
      <c r="G23" s="150" t="str">
        <f>VLOOKUP(D23,[1]!ПрайсНаМатериалы,2)</f>
        <v>кг</v>
      </c>
      <c r="H23" s="150">
        <f>VLOOKUP(D23,[1]!ПрайсНаМатериалы,3)</f>
        <v>48</v>
      </c>
      <c r="I23" s="151">
        <f t="shared" si="1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>VLOOKUP(M23,[1]!ПрайсНаМатериалы,3)</f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tr">
        <f>VLOOKUP(D24,[1]!Всё,3)</f>
        <v>Кислота соляная</v>
      </c>
      <c r="D24" s="158" t="s">
        <v>40</v>
      </c>
      <c r="E24" s="159">
        <v>220</v>
      </c>
      <c r="F24" s="365">
        <f t="shared" si="2"/>
        <v>0.58212000000000008</v>
      </c>
      <c r="G24" s="150" t="str">
        <f>VLOOKUP(D24,[1]!ПрайсНаМатериалы,2)</f>
        <v>кг</v>
      </c>
      <c r="H24" s="150">
        <f>VLOOKUP(D24,[1]!ПрайсНаМатериалы,3)</f>
        <v>46</v>
      </c>
      <c r="I24" s="151">
        <f t="shared" si="1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>VLOOKUP(M24,[1]!ПрайсНаМатериалы,3)</f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tr">
        <f>VLOOKUP(D25,[1]!Всё,3)</f>
        <v>Медь сернокислая 5-водная</v>
      </c>
      <c r="D25" s="148" t="s">
        <v>41</v>
      </c>
      <c r="E25" s="154">
        <v>35</v>
      </c>
      <c r="F25" s="365">
        <f t="shared" si="2"/>
        <v>9.2610000000000026E-2</v>
      </c>
      <c r="G25" s="150" t="str">
        <f>VLOOKUP(D25,[1]!ПрайсНаМатериалы,2)</f>
        <v>кг</v>
      </c>
      <c r="H25" s="150">
        <f>VLOOKUP(D25,[1]!ПрайсНаМатериалы,3)</f>
        <v>320</v>
      </c>
      <c r="I25" s="151">
        <f t="shared" ref="I25:I63" si="3">F25*H25</f>
        <v>29.635200000000008</v>
      </c>
      <c r="J25" s="157"/>
      <c r="L25" s="106">
        <v>24</v>
      </c>
      <c r="M25" s="106" t="s">
        <v>350</v>
      </c>
      <c r="N25" s="106">
        <v>0.28699999999999998</v>
      </c>
      <c r="O25" s="130">
        <f>VLOOKUP(M25,[1]!ПрайсНаМатериалы,3)</f>
        <v>914</v>
      </c>
      <c r="P25" s="202">
        <f t="shared" si="0"/>
        <v>3184.6689895470386</v>
      </c>
    </row>
    <row r="26" spans="2:16" x14ac:dyDescent="0.2">
      <c r="B26" s="147">
        <v>11</v>
      </c>
      <c r="C26" s="341" t="str">
        <f>VLOOKUP(D26,[1]!Всё,3)</f>
        <v>Натрий надсернокислый</v>
      </c>
      <c r="D26" s="160" t="s">
        <v>42</v>
      </c>
      <c r="E26" s="141">
        <v>170</v>
      </c>
      <c r="F26" s="365">
        <f t="shared" si="2"/>
        <v>0.44982000000000005</v>
      </c>
      <c r="G26" s="150" t="str">
        <f>VLOOKUP(D26,[1]!ПрайсНаМатериалы,2)</f>
        <v>кг</v>
      </c>
      <c r="H26" s="150">
        <f>VLOOKUP(D26,[1]!ПрайсНаМатериалы,3)</f>
        <v>299</v>
      </c>
      <c r="I26" s="151">
        <f t="shared" si="3"/>
        <v>134.49618000000001</v>
      </c>
      <c r="J26" s="157"/>
      <c r="L26" s="106">
        <v>25</v>
      </c>
      <c r="M26" s="106" t="s">
        <v>218</v>
      </c>
      <c r="N26" s="106">
        <v>0.22700000000000001</v>
      </c>
      <c r="O26" s="130">
        <f>VLOOKUP(M26,[1]!ПрайсНаМатериалы,3)</f>
        <v>829</v>
      </c>
      <c r="P26" s="202">
        <f t="shared" si="0"/>
        <v>3651.9823788546255</v>
      </c>
    </row>
    <row r="27" spans="2:16" x14ac:dyDescent="0.2">
      <c r="B27" s="147">
        <v>12</v>
      </c>
      <c r="C27" s="341" t="str">
        <f>VLOOKUP(D27,[1]!Всё,3)</f>
        <v>Натрий углекислый</v>
      </c>
      <c r="D27" s="162" t="s">
        <v>43</v>
      </c>
      <c r="E27" s="147">
        <v>72</v>
      </c>
      <c r="F27" s="365">
        <f t="shared" si="2"/>
        <v>0.19051200000000001</v>
      </c>
      <c r="G27" s="150" t="str">
        <f>VLOOKUP(D27,[1]!ПрайсНаМатериалы,2)</f>
        <v>кг</v>
      </c>
      <c r="H27" s="150">
        <f>VLOOKUP(D27,[1]!ПрайсНаМатериалы,3)</f>
        <v>240</v>
      </c>
      <c r="I27" s="151">
        <f t="shared" si="3"/>
        <v>45.722880000000004</v>
      </c>
      <c r="J27" s="157"/>
      <c r="L27" s="106">
        <v>26</v>
      </c>
      <c r="M27" s="106" t="s">
        <v>219</v>
      </c>
      <c r="N27" s="106">
        <v>0.185</v>
      </c>
      <c r="O27" s="130">
        <f>VLOOKUP(M27,[1]!ПрайсНаМатериалы,3)</f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tr">
        <f>VLOOKUP(D28,[1]!Всё,3)</f>
        <v>Натрий гидроокись</v>
      </c>
      <c r="D28" s="162" t="s">
        <v>44</v>
      </c>
      <c r="E28" s="147">
        <v>150</v>
      </c>
      <c r="F28" s="365">
        <f t="shared" si="2"/>
        <v>0.39690000000000003</v>
      </c>
      <c r="G28" s="150" t="str">
        <f>VLOOKUP(D28,[1]!ПрайсНаМатериалы,2)</f>
        <v>кг</v>
      </c>
      <c r="H28" s="150">
        <f>VLOOKUP(D28,[1]!ПрайсНаМатериалы,3)</f>
        <v>160</v>
      </c>
      <c r="I28" s="151">
        <f t="shared" si="3"/>
        <v>63.504000000000005</v>
      </c>
      <c r="L28" s="106">
        <v>27</v>
      </c>
      <c r="M28" s="106" t="s">
        <v>220</v>
      </c>
      <c r="N28" s="106">
        <v>0.36099999999999999</v>
      </c>
      <c r="O28" s="130">
        <f>VLOOKUP(M28,[1]!ПрайсНаМатериалы,3)</f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tr">
        <f>VLOOKUP(D29,[1]!Всё,3)</f>
        <v>Олово металлическое (аноды оловянные)</v>
      </c>
      <c r="D29" s="163" t="s">
        <v>45</v>
      </c>
      <c r="E29" s="138">
        <v>40</v>
      </c>
      <c r="F29" s="365">
        <f t="shared" si="2"/>
        <v>0.10584</v>
      </c>
      <c r="G29" s="150" t="str">
        <f>VLOOKUP(D29,[1]!ПрайсНаМатериалы,2)</f>
        <v>кг</v>
      </c>
      <c r="H29" s="150">
        <f>VLOOKUP(D29,[1]!ПрайсНаМатериалы,3)</f>
        <v>1981</v>
      </c>
      <c r="I29" s="151">
        <f t="shared" si="3"/>
        <v>209.66904</v>
      </c>
      <c r="L29" s="106">
        <v>28</v>
      </c>
      <c r="M29" s="106" t="s">
        <v>221</v>
      </c>
      <c r="N29" s="106">
        <v>0.25</v>
      </c>
      <c r="O29" s="130">
        <f>VLOOKUP(M29,[1]!ПрайсНаМатериалы,3)</f>
        <v>951</v>
      </c>
      <c r="P29" s="202">
        <f t="shared" si="0"/>
        <v>3804</v>
      </c>
    </row>
    <row r="30" spans="2:16" x14ac:dyDescent="0.2">
      <c r="B30" s="147">
        <v>15</v>
      </c>
      <c r="C30" s="341" t="str">
        <f>VLOOKUP(D30,[1]!Всё,3)</f>
        <v>Олово сернокислое (олова сульфат)</v>
      </c>
      <c r="D30" s="162" t="s">
        <v>46</v>
      </c>
      <c r="E30" s="147">
        <v>3</v>
      </c>
      <c r="F30" s="365">
        <f t="shared" si="2"/>
        <v>7.9380000000000006E-3</v>
      </c>
      <c r="G30" s="150" t="str">
        <f>VLOOKUP(D30,[1]!ПрайсНаМатериалы,2)</f>
        <v>кг</v>
      </c>
      <c r="H30" s="150">
        <f>VLOOKUP(D30,[1]!ПрайсНаМатериалы,3)</f>
        <v>2312.69</v>
      </c>
      <c r="I30" s="151">
        <f t="shared" si="3"/>
        <v>18.358133220000003</v>
      </c>
      <c r="L30" s="106">
        <v>29</v>
      </c>
      <c r="M30" s="106" t="s">
        <v>222</v>
      </c>
      <c r="N30" s="106">
        <v>0.22</v>
      </c>
      <c r="O30" s="130">
        <f>VLOOKUP(M30,[1]!ПрайсНаМатериалы,3)</f>
        <v>896</v>
      </c>
      <c r="P30" s="202">
        <f t="shared" si="0"/>
        <v>4072.7272727272725</v>
      </c>
    </row>
    <row r="31" spans="2:16" x14ac:dyDescent="0.2">
      <c r="B31" s="147">
        <v>16</v>
      </c>
      <c r="C31" s="341" t="str">
        <f>VLOOKUP(D31,[1]!Всё,3)</f>
        <v>Пеногаситель</v>
      </c>
      <c r="D31" s="162" t="s">
        <v>47</v>
      </c>
      <c r="E31" s="147">
        <v>15</v>
      </c>
      <c r="F31" s="365">
        <f t="shared" si="2"/>
        <v>3.9690000000000003E-2</v>
      </c>
      <c r="G31" s="150" t="str">
        <f>VLOOKUP(D31,[1]!ПрайсНаМатериалы,2)</f>
        <v>кг</v>
      </c>
      <c r="H31" s="150">
        <f>VLOOKUP(D31,[1]!ПрайсНаМатериалы,3)</f>
        <v>1115.8900000000001</v>
      </c>
      <c r="I31" s="151">
        <f t="shared" si="3"/>
        <v>44.289674100000006</v>
      </c>
      <c r="L31" s="106">
        <v>30</v>
      </c>
      <c r="M31" s="106" t="s">
        <v>223</v>
      </c>
      <c r="N31" s="106">
        <v>1.8109999999999999</v>
      </c>
      <c r="O31" s="130">
        <f>VLOOKUP(M31,[1]!ПрайсНаМатериалы,3)</f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tr">
        <f>VLOOKUP(D32,[1]!Всё,3)</f>
        <v>Перекись водорода</v>
      </c>
      <c r="D32" s="162" t="s">
        <v>48</v>
      </c>
      <c r="E32" s="147">
        <v>300</v>
      </c>
      <c r="F32" s="365">
        <f t="shared" si="2"/>
        <v>0.79380000000000006</v>
      </c>
      <c r="G32" s="150" t="str">
        <f>VLOOKUP(D32,[1]!ПрайсНаМатериалы,2)</f>
        <v>кг</v>
      </c>
      <c r="H32" s="150">
        <f>VLOOKUP(D32,[1]!ПрайсНаМатериалы,3)</f>
        <v>82</v>
      </c>
      <c r="I32" s="151">
        <f t="shared" si="3"/>
        <v>65.0916</v>
      </c>
      <c r="L32" s="106">
        <v>31</v>
      </c>
      <c r="M32" s="106" t="s">
        <v>224</v>
      </c>
      <c r="N32" s="106">
        <v>1.46</v>
      </c>
      <c r="O32" s="130">
        <f>VLOOKUP(M32,[1]!ПрайсНаМатериалы,3)</f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tr">
        <f>VLOOKUP(D33,[1]!Всё,3)</f>
        <v>Припой ПОС-61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>VLOOKUP(D33,[1]!ПрайсНаМатериалы,2)</f>
        <v>кг</v>
      </c>
      <c r="H33" s="150">
        <f>VLOOKUP(D33,[1]!ПрайсНаМатериалы,3)</f>
        <v>1397</v>
      </c>
      <c r="I33" s="151">
        <f t="shared" si="3"/>
        <v>277.23465000000004</v>
      </c>
      <c r="L33" s="106">
        <v>32</v>
      </c>
      <c r="M33" s="106" t="s">
        <v>225</v>
      </c>
      <c r="N33" s="106">
        <v>1.8149999999999999</v>
      </c>
      <c r="O33" s="130">
        <f>VLOOKUP(M33,[1]!ПрайсНаМатериалы,3)</f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tr">
        <f>VLOOKUP(D34,[1]!Всё,3)</f>
        <v>Состав для удаления олова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>VLOOKUP(D34,[1]!ПрайсНаМатериалы,2)</f>
        <v>кг</v>
      </c>
      <c r="H34" s="150">
        <f>VLOOKUP(D34,[1]!ПрайсНаМатериалы,3)</f>
        <v>249.74</v>
      </c>
      <c r="I34" s="151">
        <f t="shared" si="3"/>
        <v>409.70346480000001</v>
      </c>
      <c r="L34" s="106">
        <v>33</v>
      </c>
      <c r="M34" s="106" t="s">
        <v>226</v>
      </c>
      <c r="N34" s="106">
        <v>1.8149999999999999</v>
      </c>
      <c r="O34" s="130">
        <f>VLOOKUP(M34,[1]!ПрайсНаМатериалы,3)</f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tr">
        <f>VLOOKUP(D35,[1]!Всё,3)</f>
        <v>Сода кальцинированная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>VLOOKUP(D35,[1]!ПрайсНаМатериалы,2)</f>
        <v>кг</v>
      </c>
      <c r="H35" s="150">
        <f>VLOOKUP(D35,[1]!ПрайсНаМатериалы,3)</f>
        <v>39</v>
      </c>
      <c r="I35" s="151">
        <f t="shared" si="3"/>
        <v>20.6388</v>
      </c>
      <c r="J35" s="139"/>
      <c r="L35" s="106">
        <v>34</v>
      </c>
      <c r="M35" s="106" t="s">
        <v>227</v>
      </c>
      <c r="N35" s="106">
        <v>1.462</v>
      </c>
      <c r="O35" s="130">
        <f>VLOOKUP(M35,[1]!ПрайсНаМатериалы,3)</f>
        <v>3038.92</v>
      </c>
      <c r="P35" s="202">
        <f t="shared" ref="P35:P88" si="4">O35/N35</f>
        <v>2078.604651162791</v>
      </c>
    </row>
    <row r="36" spans="2:20" x14ac:dyDescent="0.2">
      <c r="B36" s="147">
        <v>21</v>
      </c>
      <c r="C36" s="341" t="str">
        <f>VLOOKUP(D36,[1]!Всё,3)</f>
        <v>Стеклотекстолит фольгированный DE104 18/18-1.5</v>
      </c>
      <c r="D36" s="148" t="str">
        <f>VLOOKUP(базмат,Выбор_материалов,2)</f>
        <v>Стеклотекстолит фольг. DE 104 18/18-1.5</v>
      </c>
      <c r="E36" s="250">
        <f>IF(ISERROR(1.28/VLOOKUP(D36,[1]!ПрайсНаМатериалы,2)),1.28,1.28/VLOOKUP(D36,[1]!ПрайсНаМатериалы,2))</f>
        <v>1.28</v>
      </c>
      <c r="F36" s="365">
        <f>E36*Sзагм2*Квг</f>
        <v>1.6934400000000001</v>
      </c>
      <c r="G36" s="150" t="str">
        <f>VLOOKUP(D36,[1]!ПрайсНаМатериалы,2)</f>
        <v>м2</v>
      </c>
      <c r="H36" s="150">
        <f>VLOOKUP(D36,[1]!ПрайсНаМатериалы,3)</f>
        <v>2474.91</v>
      </c>
      <c r="I36" s="151">
        <f t="shared" si="3"/>
        <v>4191.1115903999998</v>
      </c>
      <c r="J36" s="139"/>
      <c r="L36" s="106">
        <v>35</v>
      </c>
      <c r="M36" s="106" t="s">
        <v>228</v>
      </c>
      <c r="N36" s="106">
        <v>1.462</v>
      </c>
      <c r="O36" s="130">
        <f>VLOOKUP(M36,[1]!ПрайсНаМатериалы,3)</f>
        <v>1815</v>
      </c>
      <c r="P36" s="202">
        <f t="shared" si="4"/>
        <v>1241.4500683994529</v>
      </c>
    </row>
    <row r="37" spans="2:20" ht="13.15" customHeight="1" x14ac:dyDescent="0.2">
      <c r="B37" s="147">
        <v>22</v>
      </c>
      <c r="C37" s="341" t="str">
        <f>VLOOKUP(D37,[1]!Всё,3)</f>
        <v>Тринатрийфосфат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>VLOOKUP(D37,[1]!ПрайсНаМатериалы,2)</f>
        <v>кг</v>
      </c>
      <c r="H37" s="150">
        <f>VLOOKUP(D37,[1]!ПрайсНаМатериалы,3)</f>
        <v>70</v>
      </c>
      <c r="I37" s="151">
        <f t="shared" si="3"/>
        <v>25.930800000000009</v>
      </c>
      <c r="J37" s="139"/>
      <c r="L37" s="106">
        <v>36</v>
      </c>
      <c r="M37" s="106" t="s">
        <v>319</v>
      </c>
      <c r="N37" s="106">
        <v>1</v>
      </c>
      <c r="O37" s="130">
        <f>VLOOKUP(M37,[1]!ПрайсНаМатериалы,3)</f>
        <v>1860</v>
      </c>
      <c r="P37" s="202">
        <f t="shared" si="4"/>
        <v>1860</v>
      </c>
      <c r="R37" s="431"/>
      <c r="S37" s="431"/>
      <c r="T37" s="431"/>
    </row>
    <row r="38" spans="2:20" ht="12" x14ac:dyDescent="0.2">
      <c r="B38" s="147">
        <v>23</v>
      </c>
      <c r="C38" s="341" t="str">
        <f>VLOOKUP(D38,[1]!Всё,3)</f>
        <v>Флюс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>VLOOKUP(D38,[1]!ПрайсНаМатериалы,2)</f>
        <v>кг</v>
      </c>
      <c r="H38" s="150">
        <f>VLOOKUP(D38,[1]!ПрайсНаМатериалы,3)</f>
        <v>494.48</v>
      </c>
      <c r="I38" s="151">
        <f t="shared" si="3"/>
        <v>65.419703999999996</v>
      </c>
      <c r="J38" s="139"/>
      <c r="L38" s="106">
        <v>37</v>
      </c>
      <c r="M38" s="106" t="s">
        <v>361</v>
      </c>
      <c r="N38" s="106">
        <v>1</v>
      </c>
      <c r="O38" s="130">
        <f>VLOOKUP(M38,[1]!ПрайсНаМатериалы,3)</f>
        <v>1840</v>
      </c>
      <c r="P38" s="202">
        <f t="shared" si="4"/>
        <v>1840</v>
      </c>
      <c r="R38" s="431"/>
      <c r="S38" s="431"/>
      <c r="T38" s="431"/>
    </row>
    <row r="39" spans="2:20" x14ac:dyDescent="0.2">
      <c r="B39" s="147">
        <v>24</v>
      </c>
      <c r="C39" s="341" t="str">
        <f>VLOOKUP(D39,[1]!Всё,3)</f>
        <v>Фоторезист сухой пленочный 50 мкм</v>
      </c>
      <c r="D39" s="168" t="s">
        <v>414</v>
      </c>
      <c r="E39" s="134">
        <v>1.25</v>
      </c>
      <c r="F39" s="365">
        <f>E39*Sзагм2*2*Квг</f>
        <v>3.3075000000000001</v>
      </c>
      <c r="G39" s="150" t="str">
        <f>VLOOKUP(D39,[1]!ПрайсНаМатериалы,2)</f>
        <v>м2</v>
      </c>
      <c r="H39" s="150">
        <f>VLOOKUP(D39,[1]!ПрайсНаМатериалы,3)</f>
        <v>174.65</v>
      </c>
      <c r="I39" s="151">
        <f t="shared" si="3"/>
        <v>577.65487500000006</v>
      </c>
      <c r="L39" s="106">
        <v>38</v>
      </c>
      <c r="M39" s="106" t="s">
        <v>229</v>
      </c>
      <c r="N39" s="106">
        <v>1.167</v>
      </c>
      <c r="O39" s="130">
        <f>VLOOKUP(M39,[1]!ПрайсНаМатериалы,3)</f>
        <v>2690</v>
      </c>
      <c r="P39" s="202">
        <f t="shared" si="4"/>
        <v>2305.0556983718939</v>
      </c>
      <c r="R39" s="431"/>
      <c r="S39" s="431"/>
      <c r="T39" s="431"/>
    </row>
    <row r="40" spans="2:20" x14ac:dyDescent="0.2">
      <c r="B40" s="147">
        <v>25</v>
      </c>
      <c r="C40" s="341" t="str">
        <f>VLOOKUP(D40,[1]!Всё,3)</f>
        <v>Добавка NOVIGANTH HC ADDITIVE</v>
      </c>
      <c r="D40" s="194" t="s">
        <v>53</v>
      </c>
      <c r="E40" s="154">
        <v>175</v>
      </c>
      <c r="F40" s="365">
        <f t="shared" ref="F40:F51" si="5">E40*0.001*Sзагм2*2*Квг</f>
        <v>0.46305000000000007</v>
      </c>
      <c r="G40" s="150" t="str">
        <f>VLOOKUP(D40,[1]!ПрайсНаМатериалы,2)</f>
        <v>кг</v>
      </c>
      <c r="H40" s="150">
        <f>VLOOKUP(D40,[1]!ПрайсНаМатериалы,3)</f>
        <v>1546.83</v>
      </c>
      <c r="I40" s="151">
        <f t="shared" si="3"/>
        <v>716.25963150000007</v>
      </c>
      <c r="L40" s="106">
        <v>39</v>
      </c>
      <c r="M40" s="106" t="s">
        <v>230</v>
      </c>
      <c r="N40" s="106">
        <v>1.462</v>
      </c>
      <c r="O40" s="130">
        <f>VLOOKUP(M40,[1]!ПрайсНаМатериалы,3)</f>
        <v>2000</v>
      </c>
      <c r="P40" s="202">
        <f t="shared" si="4"/>
        <v>1367.9890560875513</v>
      </c>
    </row>
    <row r="41" spans="2:20" x14ac:dyDescent="0.2">
      <c r="B41" s="147">
        <v>26</v>
      </c>
      <c r="C41" s="341" t="str">
        <f>VLOOKUP(D41,[1]!Всё,3)</f>
        <v>Очиститель SECURIGANTH 902 CLEANER</v>
      </c>
      <c r="D41" s="191" t="s">
        <v>455</v>
      </c>
      <c r="E41" s="169">
        <v>45</v>
      </c>
      <c r="F41" s="365">
        <f t="shared" si="5"/>
        <v>0.11907000000000001</v>
      </c>
      <c r="G41" s="150" t="str">
        <f>VLOOKUP(D41,[1]!ПрайсНаМатериалы,2)</f>
        <v>кг</v>
      </c>
      <c r="H41" s="150">
        <f>VLOOKUP(D41,[1]!ПрайсНаМатериалы,3)</f>
        <v>1131.17</v>
      </c>
      <c r="I41" s="151">
        <f t="shared" si="3"/>
        <v>134.68841190000001</v>
      </c>
      <c r="L41" s="106">
        <v>40</v>
      </c>
      <c r="M41" s="106" t="s">
        <v>231</v>
      </c>
      <c r="N41" s="106">
        <v>1.462</v>
      </c>
      <c r="O41" s="130">
        <f>VLOOKUP(M41,[1]!ПрайсНаМатериалы,3)</f>
        <v>1114</v>
      </c>
      <c r="P41" s="202">
        <f t="shared" si="4"/>
        <v>761.96990424076614</v>
      </c>
    </row>
    <row r="42" spans="2:20" x14ac:dyDescent="0.2">
      <c r="B42" s="147">
        <v>27</v>
      </c>
      <c r="C42" s="341" t="str">
        <f>VLOOKUP(D42,[1]!Всё,3)</f>
        <v>Восстановитель меди CU-REDUCTION SOLUTION</v>
      </c>
      <c r="D42" s="168" t="s">
        <v>54</v>
      </c>
      <c r="E42" s="154">
        <v>190</v>
      </c>
      <c r="F42" s="365">
        <f t="shared" si="5"/>
        <v>0.50274000000000008</v>
      </c>
      <c r="G42" s="150" t="str">
        <f>VLOOKUP(D42,[1]!ПрайсНаМатериалы,2)</f>
        <v>кг</v>
      </c>
      <c r="H42" s="150">
        <f>VLOOKUP(D42,[1]!ПрайсНаМатериалы,3)</f>
        <v>263.22000000000003</v>
      </c>
      <c r="I42" s="151">
        <f t="shared" si="3"/>
        <v>132.33122280000003</v>
      </c>
      <c r="L42" s="106">
        <v>41</v>
      </c>
      <c r="M42" s="106" t="s">
        <v>232</v>
      </c>
      <c r="N42" s="106">
        <v>0.187</v>
      </c>
      <c r="O42" s="130">
        <f>VLOOKUP(M42,[1]!ПрайсНаМатериалы,3)</f>
        <v>435</v>
      </c>
      <c r="P42" s="202">
        <f t="shared" si="4"/>
        <v>2326.2032085561495</v>
      </c>
    </row>
    <row r="43" spans="2:20" x14ac:dyDescent="0.2">
      <c r="B43" s="147">
        <v>28</v>
      </c>
      <c r="C43" s="341" t="str">
        <f>VLOOKUP(D43,[1]!Всё,3)</f>
        <v>Стабилизатор NOVIGANTH HC STABILIZER</v>
      </c>
      <c r="D43" s="168" t="s">
        <v>55</v>
      </c>
      <c r="E43" s="170">
        <v>5</v>
      </c>
      <c r="F43" s="365">
        <f t="shared" si="5"/>
        <v>1.323E-2</v>
      </c>
      <c r="G43" s="150" t="str">
        <f>VLOOKUP(D43,[1]!ПрайсНаМатериалы,2)</f>
        <v>кг</v>
      </c>
      <c r="H43" s="150">
        <f>VLOOKUP(D43,[1]!ПрайсНаМатериалы,3)</f>
        <v>2499.88</v>
      </c>
      <c r="I43" s="151">
        <f t="shared" si="3"/>
        <v>33.073412400000002</v>
      </c>
      <c r="L43" s="106">
        <v>42</v>
      </c>
      <c r="M43" s="106" t="s">
        <v>233</v>
      </c>
      <c r="N43" s="106">
        <v>0.158</v>
      </c>
      <c r="O43" s="130">
        <f>VLOOKUP(M43,[1]!ПрайсНаМатериалы,3)</f>
        <v>398</v>
      </c>
      <c r="P43" s="202">
        <f t="shared" si="4"/>
        <v>2518.9873417721519</v>
      </c>
    </row>
    <row r="44" spans="2:20" x14ac:dyDescent="0.2">
      <c r="B44" s="147">
        <v>29</v>
      </c>
      <c r="C44" s="341" t="str">
        <f>VLOOKUP(D44,[1]!Всё,3)</f>
        <v>Состав для приготовления NOVIGANTH HC MAKE-UP</v>
      </c>
      <c r="D44" s="168" t="s">
        <v>56</v>
      </c>
      <c r="E44" s="170">
        <v>7</v>
      </c>
      <c r="F44" s="365">
        <f t="shared" si="5"/>
        <v>1.8522E-2</v>
      </c>
      <c r="G44" s="150" t="str">
        <f>VLOOKUP(D44,[1]!ПрайсНаМатериалы,2)</f>
        <v>кг</v>
      </c>
      <c r="H44" s="150">
        <f>VLOOKUP(D44,[1]!ПрайсНаМатериалы,3)</f>
        <v>1121.22</v>
      </c>
      <c r="I44" s="151">
        <f t="shared" si="3"/>
        <v>20.767236840000002</v>
      </c>
      <c r="L44" s="106">
        <v>43</v>
      </c>
      <c r="M44" s="106" t="s">
        <v>234</v>
      </c>
      <c r="N44" s="106">
        <v>0.214</v>
      </c>
      <c r="O44" s="130">
        <f>VLOOKUP(M44,[1]!ПрайсНаМатериалы,3)</f>
        <v>413</v>
      </c>
      <c r="P44" s="202">
        <f t="shared" si="4"/>
        <v>1929.9065420560748</v>
      </c>
    </row>
    <row r="45" spans="2:20" x14ac:dyDescent="0.2">
      <c r="B45" s="147">
        <v>30</v>
      </c>
      <c r="C45" s="341" t="str">
        <f>VLOOKUP(D45,[1]!Всё,3)</f>
        <v>Предактиватор NEOGANTH LS PRE DIP</v>
      </c>
      <c r="D45" s="168" t="s">
        <v>357</v>
      </c>
      <c r="E45" s="170">
        <v>7</v>
      </c>
      <c r="F45" s="365">
        <f t="shared" si="5"/>
        <v>1.8522E-2</v>
      </c>
      <c r="G45" s="150" t="str">
        <f>VLOOKUP(D45,[1]!ПрайсНаМатериалы,2)</f>
        <v>кг</v>
      </c>
      <c r="H45" s="150">
        <f>VLOOKUP(D45,[1]!ПрайсНаМатериалы,3)</f>
        <v>367</v>
      </c>
      <c r="I45" s="151">
        <f t="shared" si="3"/>
        <v>6.797574</v>
      </c>
      <c r="L45" s="106">
        <v>44</v>
      </c>
      <c r="M45" s="106" t="s">
        <v>235</v>
      </c>
      <c r="N45" s="106">
        <v>1</v>
      </c>
      <c r="O45" s="130">
        <f>VLOOKUP(M45,[1]!ПрайсНаМатериалы,3)</f>
        <v>449</v>
      </c>
      <c r="P45" s="202">
        <f t="shared" si="4"/>
        <v>449</v>
      </c>
    </row>
    <row r="46" spans="2:20" x14ac:dyDescent="0.2">
      <c r="B46" s="147">
        <v>31</v>
      </c>
      <c r="C46" s="341" t="str">
        <f>VLOOKUP(D46,[1]!Всё,3)</f>
        <v>Активатор NEOGANTH LS ACTIVATOR PLUS</v>
      </c>
      <c r="D46" s="168" t="s">
        <v>347</v>
      </c>
      <c r="E46" s="170">
        <v>16</v>
      </c>
      <c r="F46" s="365">
        <f t="shared" si="5"/>
        <v>4.2336000000000006E-2</v>
      </c>
      <c r="G46" s="150" t="str">
        <f>VLOOKUP(D46,[1]!ПрайсНаМатериалы,2)</f>
        <v>кг</v>
      </c>
      <c r="H46" s="150">
        <f>VLOOKUP(D46,[1]!ПрайсНаМатериалы,3)</f>
        <v>6372.89</v>
      </c>
      <c r="I46" s="151">
        <f t="shared" si="3"/>
        <v>269.80267104000006</v>
      </c>
      <c r="L46" s="106">
        <v>45</v>
      </c>
      <c r="M46" s="106" t="s">
        <v>365</v>
      </c>
      <c r="N46" s="106">
        <v>1</v>
      </c>
      <c r="O46" s="130">
        <f>VLOOKUP(M46,[1]!ПрайсНаМатериалы,3)</f>
        <v>45430</v>
      </c>
      <c r="P46" s="202">
        <f t="shared" si="4"/>
        <v>45430</v>
      </c>
    </row>
    <row r="47" spans="2:20" x14ac:dyDescent="0.2">
      <c r="B47" s="147">
        <v>32</v>
      </c>
      <c r="C47" s="341" t="str">
        <f>VLOOKUP(D47,[1]!Всё,3)</f>
        <v>Восстановитель NEOGANTH LS REDUCER</v>
      </c>
      <c r="D47" s="168" t="s">
        <v>349</v>
      </c>
      <c r="E47" s="170">
        <v>18</v>
      </c>
      <c r="F47" s="365">
        <f t="shared" si="5"/>
        <v>4.7628000000000004E-2</v>
      </c>
      <c r="G47" s="150" t="str">
        <f>VLOOKUP(D47,[1]!ПрайсНаМатериалы,2)</f>
        <v>кг</v>
      </c>
      <c r="H47" s="150">
        <f>VLOOKUP(D47,[1]!ПрайсНаМатериалы,3)</f>
        <v>3129.96</v>
      </c>
      <c r="I47" s="151">
        <f t="shared" si="3"/>
        <v>149.07373488000002</v>
      </c>
      <c r="L47" s="106">
        <v>46</v>
      </c>
      <c r="N47" s="106">
        <v>1</v>
      </c>
      <c r="O47" s="130" t="e">
        <f>VLOOKUP(M47,[1]!ПрайсНаМатериалы,3)</f>
        <v>#N/A</v>
      </c>
      <c r="P47" s="202" t="e">
        <f t="shared" si="4"/>
        <v>#N/A</v>
      </c>
    </row>
    <row r="48" spans="2:20" x14ac:dyDescent="0.2">
      <c r="B48" s="147">
        <v>33</v>
      </c>
      <c r="C48" s="341" t="str">
        <f>VLOOKUP(D48,[1]!Всё,3)</f>
        <v>Кислота борная</v>
      </c>
      <c r="D48" s="168" t="s">
        <v>348</v>
      </c>
      <c r="E48" s="170">
        <v>8</v>
      </c>
      <c r="F48" s="365">
        <f t="shared" si="5"/>
        <v>2.1168000000000003E-2</v>
      </c>
      <c r="G48" s="150" t="str">
        <f>VLOOKUP(D48,[1]!ПрайсНаМатериалы,2)</f>
        <v>кг</v>
      </c>
      <c r="H48" s="150">
        <f>VLOOKUP(D48,[1]!ПрайсНаМатериалы,3)</f>
        <v>160</v>
      </c>
      <c r="I48" s="151">
        <f t="shared" si="3"/>
        <v>3.3868800000000006</v>
      </c>
      <c r="L48" s="106">
        <v>47</v>
      </c>
      <c r="N48" s="106">
        <v>1</v>
      </c>
      <c r="O48" s="130" t="e">
        <f>VLOOKUP(M48,[1]!ПрайсНаМатериалы,3)</f>
        <v>#N/A</v>
      </c>
      <c r="P48" s="202" t="e">
        <f t="shared" si="4"/>
        <v>#N/A</v>
      </c>
    </row>
    <row r="49" spans="2:16" x14ac:dyDescent="0.2">
      <c r="B49" s="147">
        <v>34</v>
      </c>
      <c r="C49" s="341" t="str">
        <f>VLOOKUP(D49,[1]!Всё,3)</f>
        <v>Состав для гальванизации CUPROSTAR LP-1</v>
      </c>
      <c r="D49" s="168" t="s">
        <v>57</v>
      </c>
      <c r="E49" s="154">
        <v>23</v>
      </c>
      <c r="F49" s="365">
        <f t="shared" si="5"/>
        <v>6.0858000000000002E-2</v>
      </c>
      <c r="G49" s="150" t="str">
        <f>VLOOKUP(D49,[1]!ПрайсНаМатериалы,2)</f>
        <v>кг</v>
      </c>
      <c r="H49" s="150">
        <f>VLOOKUP(D49,[1]!ПрайсНаМатериалы,3)</f>
        <v>6871.88</v>
      </c>
      <c r="I49" s="151">
        <f t="shared" si="3"/>
        <v>418.20887304000001</v>
      </c>
      <c r="L49" s="106">
        <v>48</v>
      </c>
      <c r="N49" s="106">
        <v>1</v>
      </c>
      <c r="O49" s="130" t="e">
        <f>VLOOKUP(M49,[1]!ПрайсНаМатериалы,3)</f>
        <v>#N/A</v>
      </c>
      <c r="P49" s="202" t="e">
        <f t="shared" si="4"/>
        <v>#N/A</v>
      </c>
    </row>
    <row r="50" spans="2:16" x14ac:dyDescent="0.2">
      <c r="B50" s="147">
        <v>35</v>
      </c>
      <c r="C50" s="341" t="str">
        <f>VLOOKUP(D50,[1]!Всё,3)</f>
        <v>Добавка STH ADDITIVE</v>
      </c>
      <c r="D50" s="299" t="s">
        <v>311</v>
      </c>
      <c r="E50" s="154">
        <v>2</v>
      </c>
      <c r="F50" s="365">
        <f t="shared" si="5"/>
        <v>5.2920000000000007E-3</v>
      </c>
      <c r="G50" s="150" t="str">
        <f>VLOOKUP(D50,[1]!ПрайсНаМатериалы,2)</f>
        <v>кг</v>
      </c>
      <c r="H50" s="150">
        <f>VLOOKUP(D50,[1]!ПрайсНаМатериалы,3)</f>
        <v>984.12</v>
      </c>
      <c r="I50" s="151">
        <f>F50*H50</f>
        <v>5.207963040000001</v>
      </c>
      <c r="L50" s="106">
        <v>49</v>
      </c>
      <c r="N50" s="106">
        <v>1</v>
      </c>
      <c r="O50" s="130" t="e">
        <f>VLOOKUP(M50,[1]!ПрайсНаМатериалы,3)</f>
        <v>#N/A</v>
      </c>
      <c r="P50" s="202" t="e">
        <f t="shared" si="4"/>
        <v>#N/A</v>
      </c>
    </row>
    <row r="51" spans="2:16" x14ac:dyDescent="0.2">
      <c r="B51" s="147">
        <v>36</v>
      </c>
      <c r="C51" s="341" t="str">
        <f>VLOOKUP(D51,[1]!Всё,3)</f>
        <v>Добавка SULFOTECH SP ADDITIVE</v>
      </c>
      <c r="D51" s="299" t="s">
        <v>312</v>
      </c>
      <c r="E51" s="154">
        <v>3</v>
      </c>
      <c r="F51" s="365">
        <f t="shared" si="5"/>
        <v>7.9380000000000006E-3</v>
      </c>
      <c r="G51" s="150" t="str">
        <f>VLOOKUP(D51,[1]!ПрайсНаМатериалы,2)</f>
        <v>кг</v>
      </c>
      <c r="H51" s="150">
        <f>VLOOKUP(D51,[1]!ПрайсНаМатериалы,3)</f>
        <v>947.74</v>
      </c>
      <c r="I51" s="151">
        <f t="shared" si="3"/>
        <v>7.5231601200000009</v>
      </c>
      <c r="L51" s="106">
        <v>50</v>
      </c>
      <c r="N51" s="106">
        <v>1</v>
      </c>
      <c r="O51" s="130" t="e">
        <f>VLOOKUP(M51,[1]!ПрайсНаМатериалы,3)</f>
        <v>#N/A</v>
      </c>
      <c r="P51" s="202" t="e">
        <f t="shared" si="4"/>
        <v>#N/A</v>
      </c>
    </row>
    <row r="52" spans="2:16" x14ac:dyDescent="0.2">
      <c r="B52" s="147">
        <v>37</v>
      </c>
      <c r="C52" s="341" t="str">
        <f>VLOOKUP(D52,[1]!Всё,3)</f>
        <v>ткань х/б Батист отбеленный</v>
      </c>
      <c r="D52" s="299" t="s">
        <v>424</v>
      </c>
      <c r="E52" s="134">
        <v>0.05</v>
      </c>
      <c r="F52" s="365">
        <f>E52*Sзагм2*2*Квг</f>
        <v>0.1323</v>
      </c>
      <c r="G52" s="150" t="str">
        <f>VLOOKUP(D52,[1]!ПрайсНаМатериалы,2)</f>
        <v>м2</v>
      </c>
      <c r="H52" s="150">
        <f>VLOOKUP(D52,[1]!ПрайсНаМатериалы,3)</f>
        <v>147.62</v>
      </c>
      <c r="I52" s="151">
        <f t="shared" si="3"/>
        <v>19.530125999999999</v>
      </c>
      <c r="L52" s="106">
        <v>51</v>
      </c>
      <c r="N52" s="106">
        <v>1</v>
      </c>
      <c r="O52" s="130" t="e">
        <f>VLOOKUP(M52,[1]!ПрайсНаМатериалы,3)</f>
        <v>#N/A</v>
      </c>
      <c r="P52" s="202" t="e">
        <f t="shared" si="4"/>
        <v>#N/A</v>
      </c>
    </row>
    <row r="53" spans="2:16" x14ac:dyDescent="0.2">
      <c r="B53" s="147">
        <v>38</v>
      </c>
      <c r="C53" s="341" t="str">
        <f>VLOOKUP(D53,[1]!Всё,3)</f>
        <v>бумага д/очистки валика (уп 5х50л 238х330мм)</v>
      </c>
      <c r="D53" s="299" t="s">
        <v>425</v>
      </c>
      <c r="E53" s="354">
        <v>8.0000000000000002E-3</v>
      </c>
      <c r="F53" s="365">
        <f>E53*Sзагм2*2*Квг</f>
        <v>2.1168000000000003E-2</v>
      </c>
      <c r="G53" s="150" t="str">
        <f>VLOOKUP(D53,[1]!ПрайсНаМатериалы,2)</f>
        <v>м2</v>
      </c>
      <c r="H53" s="150">
        <f>VLOOKUP(D53,[1]!ПрайсНаМатериалы,3)</f>
        <v>872</v>
      </c>
      <c r="I53" s="151">
        <f t="shared" si="3"/>
        <v>18.458496000000004</v>
      </c>
      <c r="L53" s="106">
        <v>52</v>
      </c>
      <c r="N53" s="106">
        <v>1</v>
      </c>
      <c r="O53" s="130" t="e">
        <f>VLOOKUP(M53,[1]!ПрайсНаМатериалы,3)</f>
        <v>#N/A</v>
      </c>
      <c r="P53" s="202" t="e">
        <f t="shared" si="4"/>
        <v>#N/A</v>
      </c>
    </row>
    <row r="54" spans="2:16" x14ac:dyDescent="0.2">
      <c r="B54" s="147">
        <v>39</v>
      </c>
      <c r="C54" s="341" t="str">
        <f>VLOOKUP(D54,[1]!Всё,3)</f>
        <v>Ткань х/б бязевой группы</v>
      </c>
      <c r="D54" s="299" t="s">
        <v>426</v>
      </c>
      <c r="E54" s="134">
        <v>0.12</v>
      </c>
      <c r="F54" s="365">
        <f>E54*Sзагм2*2*Квг</f>
        <v>0.31752000000000002</v>
      </c>
      <c r="G54" s="150" t="str">
        <f>VLOOKUP(D54,[1]!ПрайсНаМатериалы,2)</f>
        <v>м2</v>
      </c>
      <c r="H54" s="150">
        <f>VLOOKUP(D54,[1]!ПрайсНаМатериалы,3)</f>
        <v>45.23</v>
      </c>
      <c r="I54" s="151">
        <f t="shared" si="3"/>
        <v>14.361429599999999</v>
      </c>
      <c r="L54" s="106">
        <v>53</v>
      </c>
      <c r="N54" s="106">
        <v>1</v>
      </c>
      <c r="O54" s="130" t="e">
        <f>VLOOKUP(M54,[1]!ПрайсНаМатериалы,3)</f>
        <v>#N/A</v>
      </c>
      <c r="P54" s="202" t="e">
        <f t="shared" si="4"/>
        <v>#N/A</v>
      </c>
    </row>
    <row r="55" spans="2:16" x14ac:dyDescent="0.2">
      <c r="B55" s="147">
        <v>40</v>
      </c>
      <c r="C55" s="341" t="str">
        <f>VLOOKUP(D55,[1]!Всё,3)</f>
        <v>Лента Креп</v>
      </c>
      <c r="D55" s="299" t="s">
        <v>427</v>
      </c>
      <c r="E55" s="134">
        <v>0.12</v>
      </c>
      <c r="F55" s="365">
        <f>E55*Sзагм2*2*Квг</f>
        <v>0.31752000000000002</v>
      </c>
      <c r="G55" s="150" t="str">
        <f>VLOOKUP(D55,[1]!ПрайсНаМатериалы,2)</f>
        <v>шт</v>
      </c>
      <c r="H55" s="150">
        <f>VLOOKUP(D55,[1]!ПрайсНаМатериалы,3)</f>
        <v>36.86</v>
      </c>
      <c r="I55" s="151">
        <f t="shared" si="3"/>
        <v>11.703787200000001</v>
      </c>
      <c r="L55" s="106">
        <v>54</v>
      </c>
      <c r="N55" s="106">
        <v>1</v>
      </c>
      <c r="O55" s="130" t="e">
        <f>VLOOKUP(M55,[1]!ПрайсНаМатериалы,3)</f>
        <v>#N/A</v>
      </c>
      <c r="P55" s="202" t="e">
        <f t="shared" si="4"/>
        <v>#N/A</v>
      </c>
    </row>
    <row r="56" spans="2:16" x14ac:dyDescent="0.2">
      <c r="B56" s="147">
        <v>41</v>
      </c>
      <c r="C56" s="341" t="str">
        <f>VLOOKUP(D56,[1]!Всё,3)</f>
        <v>лента малярная S</v>
      </c>
      <c r="D56" s="299" t="s">
        <v>428</v>
      </c>
      <c r="E56" s="134">
        <v>0.04</v>
      </c>
      <c r="F56" s="365">
        <f>E56*Sзагм2*2*Квг</f>
        <v>0.10584</v>
      </c>
      <c r="G56" s="150" t="str">
        <f>VLOOKUP(D56,[1]!ПрайсНаМатериалы,2)</f>
        <v>шт</v>
      </c>
      <c r="H56" s="150">
        <f>VLOOKUP(D56,[1]!ПрайсНаМатериалы,3)</f>
        <v>149</v>
      </c>
      <c r="I56" s="151">
        <f t="shared" si="3"/>
        <v>15.770160000000001</v>
      </c>
      <c r="L56" s="106">
        <v>55</v>
      </c>
      <c r="N56" s="106">
        <v>1</v>
      </c>
      <c r="O56" s="130" t="e">
        <f>VLOOKUP(M56,[1]!ПрайсНаМатериалы,3)</f>
        <v>#N/A</v>
      </c>
      <c r="P56" s="202" t="e">
        <f>O56/N56</f>
        <v>#N/A</v>
      </c>
    </row>
    <row r="57" spans="2:16" x14ac:dyDescent="0.2">
      <c r="B57" s="147">
        <v>42</v>
      </c>
      <c r="C57" s="341" t="str">
        <f>VLOOKUP(D57,[1]!Всё,3)</f>
        <v>Медь двухлористая 2-водная</v>
      </c>
      <c r="D57" s="299" t="s">
        <v>429</v>
      </c>
      <c r="E57" s="134">
        <v>2</v>
      </c>
      <c r="F57" s="365">
        <f>E57*0.001*Sзагм2*2*Квг</f>
        <v>5.2920000000000007E-3</v>
      </c>
      <c r="G57" s="150" t="str">
        <f>VLOOKUP(D57,[1]!ПрайсНаМатериалы,2)</f>
        <v>кг</v>
      </c>
      <c r="H57" s="150">
        <f>VLOOKUP(D57,[1]!ПрайсНаМатериалы,3)</f>
        <v>500</v>
      </c>
      <c r="I57" s="151">
        <f t="shared" si="3"/>
        <v>2.6460000000000004</v>
      </c>
      <c r="L57" s="106">
        <v>56</v>
      </c>
      <c r="N57" s="106">
        <v>1</v>
      </c>
      <c r="O57" s="130" t="e">
        <f>VLOOKUP(M57,[1]!ПрайсНаМатериалы,3)</f>
        <v>#N/A</v>
      </c>
      <c r="P57" s="202" t="e">
        <f>O57/N57</f>
        <v>#N/A</v>
      </c>
    </row>
    <row r="58" spans="2:16" x14ac:dyDescent="0.2">
      <c r="B58" s="147">
        <v>43</v>
      </c>
      <c r="C58" s="341" t="str">
        <f>VLOOKUP(D58,[1]!Всё,3)</f>
        <v>Очиститель Screen opener K2</v>
      </c>
      <c r="D58" s="299" t="s">
        <v>430</v>
      </c>
      <c r="E58" s="134">
        <v>20</v>
      </c>
      <c r="F58" s="365">
        <f>E58*0.001*Sзагм2*2*Квг</f>
        <v>5.2920000000000002E-2</v>
      </c>
      <c r="G58" s="150" t="str">
        <f>VLOOKUP(D58,[1]!ПрайсНаМатериалы,2)</f>
        <v>кг</v>
      </c>
      <c r="H58" s="150">
        <f>VLOOKUP(D58,[1]!ПрайсНаМатериалы,3)</f>
        <v>373.21</v>
      </c>
      <c r="I58" s="151">
        <f t="shared" si="3"/>
        <v>19.750273199999999</v>
      </c>
      <c r="L58" s="106">
        <v>57</v>
      </c>
      <c r="N58" s="106">
        <v>1</v>
      </c>
      <c r="O58" s="130" t="e">
        <f>VLOOKUP(M58,[1]!ПрайсНаМатериалы,3)</f>
        <v>#N/A</v>
      </c>
      <c r="P58" s="202" t="e">
        <f>O58/N58</f>
        <v>#N/A</v>
      </c>
    </row>
    <row r="59" spans="2:16" x14ac:dyDescent="0.2">
      <c r="B59" s="147">
        <v>44</v>
      </c>
      <c r="C59" s="341" t="str">
        <f>VLOOKUP(D59,[1]!Всё,3)</f>
        <v>Пакет с защелкой полиэтиленовый</v>
      </c>
      <c r="D59" s="299" t="s">
        <v>431</v>
      </c>
      <c r="E59" s="134">
        <v>6</v>
      </c>
      <c r="F59" s="365">
        <f>E59*Sзагм2*2*Квг</f>
        <v>15.876000000000001</v>
      </c>
      <c r="G59" s="150" t="str">
        <f>VLOOKUP(D59,[1]!ПрайсНаМатериалы,2)</f>
        <v>шт</v>
      </c>
      <c r="H59" s="150">
        <f>VLOOKUP(D59,[1]!ПрайсНаМатериалы,3)</f>
        <v>1.6</v>
      </c>
      <c r="I59" s="151">
        <f t="shared" si="3"/>
        <v>25.401600000000002</v>
      </c>
      <c r="L59" s="106">
        <v>58</v>
      </c>
      <c r="N59" s="106">
        <v>1</v>
      </c>
      <c r="O59" s="130" t="e">
        <f>VLOOKUP(M59,[1]!ПрайсНаМатериалы,3)</f>
        <v>#N/A</v>
      </c>
      <c r="P59" s="202" t="e">
        <f t="shared" si="4"/>
        <v>#N/A</v>
      </c>
    </row>
    <row r="60" spans="2:16" x14ac:dyDescent="0.2">
      <c r="B60" s="147">
        <v>45</v>
      </c>
      <c r="C60" s="341" t="str">
        <f>VLOOKUP(D60,[1]!Всё,3)</f>
        <v>пленка упаковочная 50см/17мк (120) упаковочная</v>
      </c>
      <c r="D60" s="299" t="s">
        <v>432</v>
      </c>
      <c r="E60" s="134">
        <v>0.05</v>
      </c>
      <c r="F60" s="365">
        <f>E60*Sзагм2*2*Квг</f>
        <v>0.1323</v>
      </c>
      <c r="G60" s="150" t="str">
        <f>VLOOKUP(D60,[1]!ПрайсНаМатериалы,2)</f>
        <v>шт</v>
      </c>
      <c r="H60" s="150">
        <f>VLOOKUP(D60,[1]!ПрайсНаМатериалы,3)</f>
        <v>185.59</v>
      </c>
      <c r="I60" s="151">
        <f t="shared" si="3"/>
        <v>24.553557000000001</v>
      </c>
      <c r="L60" s="106">
        <v>59</v>
      </c>
      <c r="N60" s="106">
        <v>1</v>
      </c>
      <c r="O60" s="130" t="e">
        <f>VLOOKUP(M60,[1]!ПрайсНаМатериалы,3)</f>
        <v>#N/A</v>
      </c>
      <c r="P60" s="202" t="e">
        <f t="shared" si="4"/>
        <v>#N/A</v>
      </c>
    </row>
    <row r="61" spans="2:16" ht="22.5" x14ac:dyDescent="0.2">
      <c r="B61" s="147">
        <v>46</v>
      </c>
      <c r="C61" s="341" t="str">
        <f>VLOOKUP(D61,[1]!Всё,3)</f>
        <v>Разбавитель XZ 101 (для защитной маски XV 501T)</v>
      </c>
      <c r="D61" s="299" t="s">
        <v>433</v>
      </c>
      <c r="E61" s="134">
        <v>5</v>
      </c>
      <c r="F61" s="365">
        <f>E61*0.001*Sзагм2*2*Квг</f>
        <v>1.323E-2</v>
      </c>
      <c r="G61" s="150" t="str">
        <f>VLOOKUP(D61,[1]!ПрайсНаМатериалы,2)</f>
        <v>кг</v>
      </c>
      <c r="H61" s="150">
        <f>VLOOKUP(D61,[1]!ПрайсНаМатериалы,3)</f>
        <v>834.98</v>
      </c>
      <c r="I61" s="151">
        <f t="shared" si="3"/>
        <v>11.046785400000001</v>
      </c>
      <c r="L61" s="106">
        <v>60</v>
      </c>
      <c r="N61" s="106">
        <v>1</v>
      </c>
      <c r="O61" s="130" t="e">
        <f>VLOOKUP(M61,[1]!ПрайсНаМатериалы,3)</f>
        <v>#N/A</v>
      </c>
      <c r="P61" s="202" t="e">
        <f t="shared" si="4"/>
        <v>#N/A</v>
      </c>
    </row>
    <row r="62" spans="2:16" ht="22.5" x14ac:dyDescent="0.2">
      <c r="B62" s="147">
        <v>47</v>
      </c>
      <c r="C62" s="341" t="str">
        <f>VLOOKUP(D62,[1]!Всё,3)</f>
        <v>Разбавитель XZ 107 (для защитной маски XV 501T-4)</v>
      </c>
      <c r="D62" s="299" t="s">
        <v>434</v>
      </c>
      <c r="E62" s="134">
        <v>5</v>
      </c>
      <c r="F62" s="365">
        <f>E62*0.001*Sзагм2*2*Квг</f>
        <v>1.323E-2</v>
      </c>
      <c r="G62" s="150" t="str">
        <f>VLOOKUP(D62,[1]!ПрайсНаМатериалы,2)</f>
        <v>кг</v>
      </c>
      <c r="H62" s="150">
        <f>VLOOKUP(D62,[1]!ПрайсНаМатериалы,3)</f>
        <v>780</v>
      </c>
      <c r="I62" s="151">
        <f t="shared" si="3"/>
        <v>10.3194</v>
      </c>
      <c r="L62" s="106">
        <v>61</v>
      </c>
      <c r="N62" s="106">
        <v>1</v>
      </c>
      <c r="O62" s="130" t="e">
        <f>VLOOKUP(M62,[1]!ПрайсНаМатериалы,3)</f>
        <v>#N/A</v>
      </c>
      <c r="P62" s="202" t="e">
        <f t="shared" si="4"/>
        <v>#N/A</v>
      </c>
    </row>
    <row r="63" spans="2:16" ht="12" thickBot="1" x14ac:dyDescent="0.25">
      <c r="B63" s="147">
        <v>48</v>
      </c>
      <c r="C63" s="341" t="str">
        <f>VLOOKUP(D63,[1]!Всё,3)</f>
        <v>Сумка ПНД</v>
      </c>
      <c r="D63" s="299" t="s">
        <v>435</v>
      </c>
      <c r="E63" s="134">
        <v>1.2</v>
      </c>
      <c r="F63" s="365">
        <f>E63*Sзагм2*2*Квг</f>
        <v>3.1752000000000002</v>
      </c>
      <c r="G63" s="150" t="str">
        <f>VLOOKUP(D63,[1]!ПрайсНаМатериалы,2)</f>
        <v>шт</v>
      </c>
      <c r="H63" s="150">
        <f>VLOOKUP(D63,[1]!ПрайсНаМатериалы,3)</f>
        <v>3.38</v>
      </c>
      <c r="I63" s="151">
        <f t="shared" si="3"/>
        <v>10.732176000000001</v>
      </c>
      <c r="L63" s="106">
        <v>62</v>
      </c>
      <c r="N63" s="106">
        <v>1</v>
      </c>
      <c r="O63" s="130" t="e">
        <f>VLOOKUP(M63,[1]!ПрайсНаМатериалы,3)</f>
        <v>#N/A</v>
      </c>
      <c r="P63" s="202" t="e">
        <f t="shared" si="4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10734.967477079996</v>
      </c>
      <c r="L64" s="106">
        <v>63</v>
      </c>
      <c r="N64" s="106">
        <v>1</v>
      </c>
      <c r="O64" s="130" t="e">
        <f>VLOOKUP(M64,[1]!ПрайсНаМатериалы,3)</f>
        <v>#N/A</v>
      </c>
      <c r="P64" s="202" t="e">
        <f t="shared" si="4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>VLOOKUP(M65,[1]!ПрайсНаМатериалы,3)</f>
        <v>#N/A</v>
      </c>
      <c r="P65" s="202" t="e">
        <f t="shared" si="4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4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4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4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4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4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4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4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4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4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4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4"/>
        <v>#DIV/0!</v>
      </c>
    </row>
    <row r="77" spans="2:16" x14ac:dyDescent="0.2">
      <c r="B77" s="178">
        <v>1</v>
      </c>
      <c r="C77" s="341" t="str">
        <f>VLOOKUP(D77,[1]!Всё,3)</f>
        <v>Фотопленка KODAK APR-7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VLOOKUP(D77,[1]!ПрайсНаМатериалы,2)</f>
        <v>м2</v>
      </c>
      <c r="H77" s="150">
        <f>VLOOKUP(D77,[1]!ПрайсНаМатериалы,3)</f>
        <v>844.15</v>
      </c>
      <c r="I77" s="134">
        <f>F77*H77</f>
        <v>148.90806000000001</v>
      </c>
      <c r="L77" s="106">
        <v>76</v>
      </c>
      <c r="O77" s="130">
        <v>0</v>
      </c>
      <c r="P77" s="202" t="e">
        <f t="shared" si="4"/>
        <v>#DIV/0!</v>
      </c>
    </row>
    <row r="78" spans="2:16" x14ac:dyDescent="0.2">
      <c r="B78" s="180">
        <v>2</v>
      </c>
      <c r="C78" s="341" t="str">
        <f>VLOOKUP(D78,[1]!Всё,3)</f>
        <v>Проявитель KODAK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VLOOKUP(D78,[1]!ПрайсНаМатериалы,2)</f>
        <v>кг</v>
      </c>
      <c r="H78" s="150">
        <f>VLOOKUP(D78,[1]!ПрайсНаМатериалы,3)</f>
        <v>450.81</v>
      </c>
      <c r="I78" s="134">
        <f>F78*H78</f>
        <v>34.081235999999997</v>
      </c>
      <c r="J78" s="139"/>
      <c r="L78" s="106">
        <v>77</v>
      </c>
      <c r="O78" s="130">
        <v>0</v>
      </c>
      <c r="P78" s="202" t="e">
        <f t="shared" si="4"/>
        <v>#DIV/0!</v>
      </c>
    </row>
    <row r="79" spans="2:16" ht="12" thickBot="1" x14ac:dyDescent="0.25">
      <c r="B79" s="178">
        <v>3</v>
      </c>
      <c r="C79" s="341" t="str">
        <f>VLOOKUP(D79,[1]!Всё,3)</f>
        <v>Фиксаж KODAK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VLOOKUP(D79,[1]!ПрайсНаМатериалы,2)</f>
        <v>кг</v>
      </c>
      <c r="H79" s="150">
        <f>VLOOKUP(D79,[1]!ПрайсНаМатериалы,3)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4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193.26976199999999</v>
      </c>
      <c r="J80" s="139"/>
      <c r="L80" s="106">
        <v>79</v>
      </c>
      <c r="O80" s="130">
        <v>0</v>
      </c>
      <c r="P80" s="202" t="e">
        <f t="shared" si="4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4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4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4"/>
        <v>#DIV/0!</v>
      </c>
    </row>
    <row r="84" spans="2:16" ht="13.15" customHeight="1" x14ac:dyDescent="0.2">
      <c r="B84" s="136"/>
      <c r="C84" s="432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4"/>
        <v>#DIV/0!</v>
      </c>
    </row>
    <row r="85" spans="2:16" x14ac:dyDescent="0.2">
      <c r="B85" s="140"/>
      <c r="C85" s="433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4"/>
        <v>#DIV/0!</v>
      </c>
    </row>
    <row r="86" spans="2:16" x14ac:dyDescent="0.2">
      <c r="B86" s="141" t="s">
        <v>25</v>
      </c>
      <c r="C86" s="433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4"/>
        <v>#DIV/0!</v>
      </c>
    </row>
    <row r="87" spans="2:16" x14ac:dyDescent="0.2">
      <c r="B87" s="141" t="s">
        <v>29</v>
      </c>
      <c r="C87" s="433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4"/>
        <v>#DIV/0!</v>
      </c>
    </row>
    <row r="88" spans="2:16" x14ac:dyDescent="0.2">
      <c r="B88" s="140"/>
      <c r="C88" s="434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4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tr">
        <f>VLOOKUP(D90,[1]!Всё,3)</f>
        <v>Защитная паяльная маска Dynamask 5030 (сухая)</v>
      </c>
      <c r="D90" s="186" t="s">
        <v>397</v>
      </c>
      <c r="E90" s="147">
        <v>1.2</v>
      </c>
      <c r="F90" s="365">
        <f>E90*Sзагм2*Ссм*Квг</f>
        <v>3.1752000000000002</v>
      </c>
      <c r="G90" s="150" t="str">
        <f>VLOOKUP(D90,[1]!ПрайсНаМатериалы,2)</f>
        <v>м2</v>
      </c>
      <c r="H90" s="150">
        <f>VLOOKUP(D90,[1]!ПрайсНаМатериалы,3)</f>
        <v>1214.25</v>
      </c>
      <c r="I90" s="134">
        <f>F90*H90</f>
        <v>3855.4866000000002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3855.4866000000002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tr">
        <f>VLOOKUP(D93,[1]!Всё,3)</f>
        <v>Защитная паяльная маска XV501 T-4 Green (жидкая).</v>
      </c>
      <c r="D93" s="339" t="s">
        <v>382</v>
      </c>
      <c r="E93" s="147">
        <v>65</v>
      </c>
      <c r="F93" s="365">
        <f>E93*0.001*Sзагм2*Сжм*Квг</f>
        <v>0.17199</v>
      </c>
      <c r="G93" s="150" t="str">
        <f>VLOOKUP(D93,[1]!ПрайсНаМатериалы,2)</f>
        <v>кг</v>
      </c>
      <c r="H93" s="150">
        <f>VLOOKUP(D93,[1]!ПрайсНаМатериалы,3)</f>
        <v>2098.38</v>
      </c>
      <c r="I93" s="134">
        <f>F93*H93</f>
        <v>360.90037620000004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360.90037620000004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tr">
        <f>VLOOKUP(D96,[1]!Всё,3)</f>
        <v>Маркировочная краска XV501 T-4 SM White (жидкая)</v>
      </c>
      <c r="D96" s="190" t="s">
        <v>417</v>
      </c>
      <c r="E96" s="147">
        <v>40</v>
      </c>
      <c r="F96" s="134">
        <f>E96*0.001*Sзагм2*Сф*IF(типмаркировки=1,1,0)*Квг</f>
        <v>0</v>
      </c>
      <c r="G96" s="150" t="str">
        <f>VLOOKUP(D96,[1]!ПрайсНаМатериалы,2)</f>
        <v>кг</v>
      </c>
      <c r="H96" s="150">
        <f>VLOOKUP(D96,[1]!ПрайсНаМатериалы,3)</f>
        <v>2095.91</v>
      </c>
      <c r="I96" s="134">
        <f>F96*H96</f>
        <v>0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0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tr">
        <f>VLOOKUP(D99,[1]!Всё,3)</f>
        <v>Краска белая термоотверждаемая Mark 3.1</v>
      </c>
      <c r="D99" s="190" t="s">
        <v>336</v>
      </c>
      <c r="E99" s="147">
        <v>45</v>
      </c>
      <c r="F99" s="365">
        <f>E99*0.001*Sзагм2*Сф*IF(типмаркировки=2,1,0)*Квг</f>
        <v>5.9535000000000005E-2</v>
      </c>
      <c r="G99" s="150" t="str">
        <f>VLOOKUP(D99,[1]!ПрайсНаМатериалы,2)</f>
        <v>кг</v>
      </c>
      <c r="H99" s="150" t="str">
        <f>VLOOKUP(D99,[1]!ПрайсНаМатериалы,3)</f>
        <v>16357.14</v>
      </c>
      <c r="I99" s="134">
        <f>F99*H99</f>
        <v>973.8223299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973.8223299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tr">
        <f>VLOOKUP(D108,[1]!Всё,3)</f>
        <v>Сверло твердосплавное, отв/шт</v>
      </c>
      <c r="D108" s="191" t="s">
        <v>442</v>
      </c>
      <c r="E108" s="147">
        <v>2000</v>
      </c>
      <c r="F108" s="366">
        <f>(smalldrill+bigdrill)/E108*N</f>
        <v>10.5</v>
      </c>
      <c r="G108" s="150" t="str">
        <f>VLOOKUP(D108,[1]!ПрайсНаМатериалы,2)</f>
        <v>шт</v>
      </c>
      <c r="H108" s="150">
        <f>VLOOKUP(D108,[1]!ПрайсНаМатериалы,3)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tr">
        <f>VLOOKUP(D109,[1]!Всё,3)</f>
        <v>Фреза твердосплавная, м/шт</v>
      </c>
      <c r="D109" s="191" t="s">
        <v>443</v>
      </c>
      <c r="E109" s="147">
        <v>20</v>
      </c>
      <c r="F109" s="366">
        <f>IF(frezcorner=2,n_малое*0.128/E109,n_малое*Рп/E109*frezcorner)*N</f>
        <v>0.26880000000000004</v>
      </c>
      <c r="G109" s="150" t="str">
        <f>VLOOKUP(D109,[1]!ПрайсНаМатериалы,2)</f>
        <v>шт</v>
      </c>
      <c r="H109" s="150">
        <f>VLOOKUP(D109,[1]!ПрайсНаМатериалы,3)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420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tr">
        <f>VLOOKUP(D120,[1]!Всё,3)</f>
        <v>Очиститель AUNIC CLEANER</v>
      </c>
      <c r="D120" s="191" t="s">
        <v>131</v>
      </c>
      <c r="E120" s="147">
        <v>36</v>
      </c>
      <c r="F120" s="366">
        <f t="shared" ref="F120:F129" si="6">Sзагм2*E120/1000*Квг*IF(Sи&gt;0,1,0)</f>
        <v>0</v>
      </c>
      <c r="G120" s="150" t="str">
        <f>VLOOKUP(D120,[1]!ПрайсНаМатериалы,2)</f>
        <v>кг</v>
      </c>
      <c r="H120" s="150">
        <f>VLOOKUP(D120,[1]!ПрайсНаМатериалы,3)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tr">
        <f>VLOOKUP(D121,[1]!Всё,3)</f>
        <v>Микротравитель MICROTECH SF</v>
      </c>
      <c r="D121" s="191" t="s">
        <v>132</v>
      </c>
      <c r="E121" s="147">
        <v>86</v>
      </c>
      <c r="F121" s="366">
        <f t="shared" si="6"/>
        <v>0</v>
      </c>
      <c r="G121" s="150" t="str">
        <f>VLOOKUP(D121,[1]!ПрайсНаМатериалы,2)</f>
        <v>кг</v>
      </c>
      <c r="H121" s="150">
        <f>VLOOKUP(D121,[1]!ПрайсНаМатериалы,3)</f>
        <v>466.4</v>
      </c>
      <c r="I121" s="134">
        <f t="shared" ref="I121:I129" si="7">F121*H121</f>
        <v>0</v>
      </c>
    </row>
    <row r="122" spans="2:10" hidden="1" x14ac:dyDescent="0.2">
      <c r="B122" s="147">
        <v>3</v>
      </c>
      <c r="C122" s="341" t="str">
        <f>VLOOKUP(D122,[1]!Всё,3)</f>
        <v>Активатор AUNIC ACTIVATOR</v>
      </c>
      <c r="D122" s="191" t="s">
        <v>133</v>
      </c>
      <c r="E122" s="147">
        <v>8</v>
      </c>
      <c r="F122" s="366">
        <f t="shared" si="6"/>
        <v>0</v>
      </c>
      <c r="G122" s="150" t="str">
        <f>VLOOKUP(D122,[1]!ПрайсНаМатериалы,2)</f>
        <v>кг</v>
      </c>
      <c r="H122" s="150">
        <f>VLOOKUP(D122,[1]!ПрайсНаМатериалы,3)</f>
        <v>3500</v>
      </c>
      <c r="I122" s="134">
        <f t="shared" si="7"/>
        <v>0</v>
      </c>
      <c r="J122" s="139"/>
    </row>
    <row r="123" spans="2:10" x14ac:dyDescent="0.2">
      <c r="B123" s="147">
        <v>4</v>
      </c>
      <c r="C123" s="341" t="str">
        <f>VLOOKUP(D123,[1]!Всё,3)</f>
        <v>Добавка AUNIC EN "A"</v>
      </c>
      <c r="D123" s="191" t="s">
        <v>134</v>
      </c>
      <c r="E123" s="147">
        <v>350</v>
      </c>
      <c r="F123" s="366">
        <f t="shared" si="6"/>
        <v>0</v>
      </c>
      <c r="G123" s="150" t="str">
        <f>VLOOKUP(D123,[1]!ПрайсНаМатериалы,2)</f>
        <v>кг</v>
      </c>
      <c r="H123" s="150">
        <f>VLOOKUP(D123,[1]!ПрайсНаМатериалы,3)</f>
        <v>590.16999999999996</v>
      </c>
      <c r="I123" s="134">
        <f t="shared" si="7"/>
        <v>0</v>
      </c>
      <c r="J123" s="139"/>
    </row>
    <row r="124" spans="2:10" x14ac:dyDescent="0.2">
      <c r="B124" s="147">
        <v>5</v>
      </c>
      <c r="C124" s="341" t="str">
        <f>VLOOKUP(D124,[1]!Всё,3)</f>
        <v>Добавка AUNIC EN "B"</v>
      </c>
      <c r="D124" s="191" t="s">
        <v>135</v>
      </c>
      <c r="E124" s="147">
        <v>245</v>
      </c>
      <c r="F124" s="366">
        <f t="shared" si="6"/>
        <v>0</v>
      </c>
      <c r="G124" s="150" t="str">
        <f>VLOOKUP(D124,[1]!ПрайсНаМатериалы,2)</f>
        <v>кг</v>
      </c>
      <c r="H124" s="150">
        <f>VLOOKUP(D124,[1]!ПрайсНаМатериалы,3)</f>
        <v>633.91</v>
      </c>
      <c r="I124" s="134">
        <f t="shared" si="7"/>
        <v>0</v>
      </c>
      <c r="J124" s="139"/>
    </row>
    <row r="125" spans="2:10" x14ac:dyDescent="0.2">
      <c r="B125" s="147">
        <v>6</v>
      </c>
      <c r="C125" s="341" t="str">
        <f>VLOOKUP(D125,[1]!Всё,3)</f>
        <v>Добавка AUNIC IG "A"</v>
      </c>
      <c r="D125" s="191" t="s">
        <v>136</v>
      </c>
      <c r="E125" s="147">
        <v>22</v>
      </c>
      <c r="F125" s="366">
        <f t="shared" si="6"/>
        <v>0</v>
      </c>
      <c r="G125" s="150" t="str">
        <f>VLOOKUP(D125,[1]!ПрайсНаМатериалы,2)</f>
        <v>кг</v>
      </c>
      <c r="H125" s="150">
        <f>VLOOKUP(D125,[1]!ПрайсНаМатериалы,3)</f>
        <v>1015</v>
      </c>
      <c r="I125" s="134">
        <f t="shared" si="7"/>
        <v>0</v>
      </c>
      <c r="J125" s="139"/>
    </row>
    <row r="126" spans="2:10" x14ac:dyDescent="0.2">
      <c r="B126" s="147">
        <v>7</v>
      </c>
      <c r="C126" s="341" t="str">
        <f>VLOOKUP(D126,[1]!Всё,3)</f>
        <v>Состав для приготовления AUNIC MAKE-UP</v>
      </c>
      <c r="D126" s="191" t="s">
        <v>137</v>
      </c>
      <c r="E126" s="147">
        <v>195</v>
      </c>
      <c r="F126" s="366">
        <f t="shared" si="6"/>
        <v>0</v>
      </c>
      <c r="G126" s="150" t="str">
        <f>VLOOKUP(D126,[1]!ПрайсНаМатериалы,2)</f>
        <v>кг</v>
      </c>
      <c r="H126" s="150">
        <f>VLOOKUP(D126,[1]!ПрайсНаМатериалы,3)</f>
        <v>679.04</v>
      </c>
      <c r="I126" s="134">
        <f t="shared" si="7"/>
        <v>0</v>
      </c>
      <c r="J126" s="139"/>
    </row>
    <row r="127" spans="2:10" x14ac:dyDescent="0.2">
      <c r="B127" s="147">
        <v>8</v>
      </c>
      <c r="C127" s="341" t="str">
        <f>VLOOKUP(D127,[1]!Всё,3)</f>
        <v>Кислота азотная</v>
      </c>
      <c r="D127" s="191" t="s">
        <v>138</v>
      </c>
      <c r="E127" s="164">
        <v>10</v>
      </c>
      <c r="F127" s="366">
        <f t="shared" si="6"/>
        <v>0</v>
      </c>
      <c r="G127" s="150" t="str">
        <f>VLOOKUP(D127,[1]!ПрайсНаМатериалы,2)</f>
        <v>кг</v>
      </c>
      <c r="H127" s="150">
        <f>VLOOKUP(D127,[1]!ПрайсНаМатериалы,3)</f>
        <v>74</v>
      </c>
      <c r="I127" s="134">
        <f t="shared" si="7"/>
        <v>0</v>
      </c>
      <c r="J127" s="139"/>
    </row>
    <row r="128" spans="2:10" x14ac:dyDescent="0.2">
      <c r="B128" s="147">
        <v>9</v>
      </c>
      <c r="C128" s="341" t="str">
        <f>VLOOKUP(D128,[1]!Всё,3)</f>
        <v>Калий дицианоаурат (I) (68,23%) чда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>VLOOKUP(D128,[1]!ПрайсНаМатериалы,2)</f>
        <v>г</v>
      </c>
      <c r="H128" s="150">
        <f>VLOOKUP(D128,[1]!ПрайсНаМатериалы,3)</f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tr">
        <f>VLOOKUP(D129,[1]!Всё,3)</f>
        <v>Добавка AUNIC EN "C"</v>
      </c>
      <c r="D129" s="191" t="s">
        <v>359</v>
      </c>
      <c r="E129" s="147">
        <v>9</v>
      </c>
      <c r="F129" s="366">
        <f t="shared" si="6"/>
        <v>0</v>
      </c>
      <c r="G129" s="150" t="str">
        <f>VLOOKUP(D129,[1]!ПрайсНаМатериалы,2)</f>
        <v>кг</v>
      </c>
      <c r="H129" s="150">
        <f>VLOOKUP(D129,[1]!ПрайсНаМатериалы,3)</f>
        <v>958.34</v>
      </c>
      <c r="I129" s="134">
        <f t="shared" si="7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364</v>
      </c>
      <c r="D131" s="195" t="s">
        <v>364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19588</v>
      </c>
    </row>
    <row r="133" spans="2:9" ht="12.75" x14ac:dyDescent="0.2">
      <c r="B133" s="238" t="s">
        <v>369</v>
      </c>
      <c r="C133" s="238"/>
      <c r="D133"/>
      <c r="E133"/>
      <c r="G133" s="263"/>
      <c r="H133" s="263"/>
      <c r="I133" s="240" t="s">
        <v>413</v>
      </c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59"/>
  <sheetViews>
    <sheetView topLeftCell="A4" zoomScaleNormal="100" workbookViewId="0">
      <selection activeCell="B7" sqref="B7:C7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295</v>
      </c>
    </row>
    <row r="2" spans="2:11" x14ac:dyDescent="0.2">
      <c r="E2" s="131"/>
      <c r="F2" s="241" t="s">
        <v>403</v>
      </c>
    </row>
    <row r="3" spans="2:11" x14ac:dyDescent="0.2">
      <c r="F3" s="132" t="s">
        <v>148</v>
      </c>
    </row>
    <row r="4" spans="2:11" s="108" customFormat="1" ht="13.15" customHeight="1" x14ac:dyDescent="0.2">
      <c r="B4" s="430" t="s">
        <v>142</v>
      </c>
      <c r="C4" s="430"/>
      <c r="D4" s="430"/>
      <c r="E4" s="430"/>
      <c r="F4" s="430"/>
      <c r="G4" s="111"/>
    </row>
    <row r="5" spans="2:11" s="108" customFormat="1" ht="13.15" customHeight="1" x14ac:dyDescent="0.2">
      <c r="B5" s="430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30"/>
      <c r="D5" s="430"/>
      <c r="E5" s="430"/>
      <c r="F5" s="430"/>
      <c r="I5" s="108" t="s">
        <v>203</v>
      </c>
    </row>
    <row r="6" spans="2:11" s="108" customFormat="1" ht="12" x14ac:dyDescent="0.2">
      <c r="B6" s="430"/>
      <c r="C6" s="430"/>
      <c r="D6" s="430"/>
      <c r="E6" s="430"/>
      <c r="F6" s="430"/>
      <c r="K6" s="110"/>
    </row>
    <row r="7" spans="2:11" s="108" customFormat="1" ht="24" customHeight="1" x14ac:dyDescent="0.2">
      <c r="B7" s="435" t="s">
        <v>460</v>
      </c>
      <c r="C7" s="435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0.8</v>
      </c>
      <c r="F11" s="134">
        <f>E11*ФОТнч</f>
        <v>194.136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0.5</v>
      </c>
      <c r="F12" s="134">
        <f>E12*ФОТнч</f>
        <v>121.33499999999999</v>
      </c>
    </row>
    <row r="13" spans="2:11" x14ac:dyDescent="0.2">
      <c r="B13" s="210">
        <v>4</v>
      </c>
      <c r="C13" s="211" t="s">
        <v>392</v>
      </c>
      <c r="D13" s="139"/>
      <c r="E13" s="209">
        <f>IF(Класс_точности=3,Расчет!E42,Расчет!E43)</f>
        <v>0.96</v>
      </c>
      <c r="F13" s="134">
        <f>E13*ФОТнч</f>
        <v>232.96319999999997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0.26400000000000001</v>
      </c>
      <c r="F14" s="134">
        <f>E14*ФОТнч</f>
        <v>64.064880000000002</v>
      </c>
    </row>
    <row r="15" spans="2:11" x14ac:dyDescent="0.2">
      <c r="B15" s="213"/>
      <c r="C15" s="214" t="s">
        <v>162</v>
      </c>
      <c r="D15" s="188"/>
      <c r="E15" s="215">
        <f>SUM(E10:E14)</f>
        <v>5.524</v>
      </c>
      <c r="F15" s="199">
        <f>SUM(F10:F14)</f>
        <v>1340.5090799999998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390</v>
      </c>
      <c r="D17" s="218"/>
      <c r="E17" s="209">
        <f>(IF(Класс_точности=3,Трудоемкости!C11,Трудоемкости!D11))*Кп*Кс*Sзаг*Квг</f>
        <v>0.87318000000000018</v>
      </c>
      <c r="F17" s="134">
        <f t="shared" ref="F17:F37" si="0">E17*ФОТнч</f>
        <v>211.89459060000004</v>
      </c>
    </row>
    <row r="18" spans="2:6" x14ac:dyDescent="0.2">
      <c r="B18" s="216">
        <v>2</v>
      </c>
      <c r="C18" s="219" t="s">
        <v>385</v>
      </c>
      <c r="D18" s="173"/>
      <c r="E18" s="209">
        <f>Расчет!G51/Сн</f>
        <v>10.482790499999998</v>
      </c>
      <c r="F18" s="134">
        <f t="shared" si="0"/>
        <v>2543.8587706349995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(IF(Класс_точности=3,Трудоемкости!C13,Трудоемкости!D13))*Кп*Кс*Sзаг*Квг</f>
        <v>0.52972920000000012</v>
      </c>
      <c r="F19" s="134">
        <f t="shared" si="0"/>
        <v>128.54938496400001</v>
      </c>
    </row>
    <row r="20" spans="2:6" x14ac:dyDescent="0.2">
      <c r="B20" s="216">
        <v>4</v>
      </c>
      <c r="C20" s="219" t="s">
        <v>391</v>
      </c>
      <c r="D20" s="173"/>
      <c r="E20" s="209">
        <f>(IF(Класс_точности=3,Трудоемкости!C14,Трудоемкости!D14))*Кп*Кс*Sзаг*Квг</f>
        <v>1.7463600000000004</v>
      </c>
      <c r="F20" s="134">
        <f t="shared" si="0"/>
        <v>423.78918120000009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(IF(Класс_точности=3,Трудоемкости!C15,Трудоемкости!D15))*Кп*Кс*Sзаг*Квг</f>
        <v>8.7318000000000016</v>
      </c>
      <c r="F21" s="134">
        <f t="shared" si="0"/>
        <v>2118.9459060000004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(IF(Класс_точности=3,Трудоемкости!C16,Трудоемкости!D16))*Кп*Кс*Sзаг*Квг</f>
        <v>1.7463600000000004</v>
      </c>
      <c r="F22" s="134">
        <f t="shared" si="0"/>
        <v>423.78918120000009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(IF(Класс_точности=3,Трудоемкости!C18,Трудоемкости!D18))*Кп*Кс*Sзаг*Квг</f>
        <v>2.3284800000000003</v>
      </c>
      <c r="F23" s="134">
        <f t="shared" si="0"/>
        <v>565.0522416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(IF(Класс_точности=3,Трудоемкости!C19,Трудоемкости!D19))*Кп*Кс*Sзаг*Квг</f>
        <v>2.3284800000000003</v>
      </c>
      <c r="F24" s="134">
        <f t="shared" si="0"/>
        <v>565.0522416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(IF(Класс_точности=3,Трудоемкости!C20,Трудоемкости!D20))*Кп*Кс*Sзаг*Квг</f>
        <v>2.3284800000000003</v>
      </c>
      <c r="F25" s="134">
        <f t="shared" si="0"/>
        <v>565.0522416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(IF(Класс_точности=3,Трудоемкости!C21,Трудоемкости!D21))*Кп*Кс*Sзаг*Квг</f>
        <v>0.5292</v>
      </c>
      <c r="F26" s="134">
        <f t="shared" si="0"/>
        <v>128.420964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(IF(Класс_точности=3,Трудоемкости!C22,Трудоемкости!D22))*Кп*Кс*Sзаг*Квг</f>
        <v>10.187100000000003</v>
      </c>
      <c r="F27" s="134">
        <f t="shared" si="0"/>
        <v>2472.1035570000004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(IF(Класс_точности=3,Трудоемкости!C23,Трудоемкости!D23))*Кп*Кс*Sзаг*Квг</f>
        <v>2.3284800000000003</v>
      </c>
      <c r="F28" s="134">
        <f t="shared" si="0"/>
        <v>565.0522416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(IF(Класс_точности=3,Трудоемкости!C24,Трудоемкости!D24))*Кп*Кс*Sзаг*Квг</f>
        <v>1.7463600000000004</v>
      </c>
      <c r="F29" s="134">
        <f t="shared" si="0"/>
        <v>423.78918120000009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(IF(Класс_точности=3,Трудоемкости!C25,Трудоемкости!D25))*Кп*Кс*Sзаг*Квг</f>
        <v>4.9480200000000005</v>
      </c>
      <c r="F30" s="134">
        <f t="shared" si="0"/>
        <v>1200.7360134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(IF(Класс_точности=3,Трудоемкости!C26,Трудоемкости!D26))*Кп*Кс*Sзаг*Квг</f>
        <v>2.3284800000000003</v>
      </c>
      <c r="F31" s="134">
        <f t="shared" si="0"/>
        <v>565.0522416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(IF(Класс_точности=3,Трудоемкости!C27,Трудоемкости!D27))*Кп*Кс*Sзаг*Квг</f>
        <v>1.1642400000000002</v>
      </c>
      <c r="F32" s="134">
        <f t="shared" si="0"/>
        <v>282.5261208</v>
      </c>
    </row>
    <row r="33" spans="2:8" x14ac:dyDescent="0.2">
      <c r="B33" s="216">
        <v>17</v>
      </c>
      <c r="C33" s="219" t="s">
        <v>389</v>
      </c>
      <c r="D33" s="173"/>
      <c r="E33" s="209">
        <f>(IF(Класс_точности=3,Трудоемкости!C28,Трудоемкости!D28))*Кп*Кс*Sзаг*Квг</f>
        <v>4.0748400000000009</v>
      </c>
      <c r="F33" s="134">
        <f t="shared" si="0"/>
        <v>988.84142280000015</v>
      </c>
    </row>
    <row r="34" spans="2:8" x14ac:dyDescent="0.2">
      <c r="B34" s="216">
        <v>18</v>
      </c>
      <c r="C34" s="220" t="s">
        <v>388</v>
      </c>
      <c r="E34" s="209">
        <f>(IF(Класс_точности=3,Трудоемкости!C29,Трудоемкости!D29))*Кп*Кс*Sзаг*Квг</f>
        <v>1.1642400000000002</v>
      </c>
      <c r="F34" s="134">
        <f t="shared" si="0"/>
        <v>282.5261208</v>
      </c>
    </row>
    <row r="35" spans="2:8" x14ac:dyDescent="0.2">
      <c r="B35" s="216">
        <v>19</v>
      </c>
      <c r="C35" s="221" t="s">
        <v>387</v>
      </c>
      <c r="D35" s="173"/>
      <c r="E35" s="209">
        <f>(IF(Класс_точности=3,Трудоемкости!C30,Трудоемкости!D30))*Кп*Кс*Sзаг*Квг</f>
        <v>1.7463600000000004</v>
      </c>
      <c r="F35" s="134">
        <f t="shared" si="0"/>
        <v>423.78918120000009</v>
      </c>
    </row>
    <row r="36" spans="2:8" x14ac:dyDescent="0.2">
      <c r="B36" s="216">
        <v>20</v>
      </c>
      <c r="C36" s="222" t="s">
        <v>457</v>
      </c>
      <c r="D36" s="188"/>
      <c r="E36" s="209">
        <f>(IF(Класс_точности=3,Трудоемкости!C31,Трудоемкости!D31))*Кп*Кс*Sзаг*Квг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386</v>
      </c>
      <c r="D37" s="188"/>
      <c r="E37" s="209">
        <f>(IF(Класс_точности=3,Трудоемкости!C32,Трудоемкости!D32))*Кп*Кс*Sзаг*Квг</f>
        <v>1.7463600000000004</v>
      </c>
      <c r="F37" s="134">
        <f t="shared" si="0"/>
        <v>423.78918120000009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63.059339700000002</v>
      </c>
      <c r="F38" s="199">
        <f>SUM(F17:F37)</f>
        <v>15302.609964999001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4.7816999999999998</v>
      </c>
      <c r="F41" s="134">
        <f t="shared" si="2"/>
        <v>1160.375139</v>
      </c>
      <c r="H41" s="202"/>
    </row>
    <row r="42" spans="2:8" x14ac:dyDescent="0.2">
      <c r="B42" s="226">
        <v>1</v>
      </c>
      <c r="C42" s="167" t="s">
        <v>384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Трудоемкости!C45*П*Ручная_маркировка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346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1.89</v>
      </c>
      <c r="F44" s="134">
        <f t="shared" si="2"/>
        <v>458.64629999999994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IF(Sи&gt;0,Трудоемкости!C52*N,0)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13.454339228672</v>
      </c>
      <c r="F46" s="199">
        <f>SUM(F40:F45)</f>
        <v>3264.9645006218338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82.037678928671994</v>
      </c>
      <c r="F48" s="199">
        <f>F15+F38+F46</f>
        <v>19908.083545620837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369</v>
      </c>
      <c r="C50"/>
      <c r="D50"/>
      <c r="F50" s="240" t="s">
        <v>413</v>
      </c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10" zoomScale="85" zoomScaleNormal="85" workbookViewId="0">
      <selection activeCell="L41" sqref="L41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296</v>
      </c>
    </row>
    <row r="2" spans="1:9" s="106" customFormat="1" ht="11.25" x14ac:dyDescent="0.2">
      <c r="C2" s="131"/>
      <c r="D2" s="241" t="s">
        <v>403</v>
      </c>
    </row>
    <row r="3" spans="1:9" s="106" customFormat="1" ht="11.25" x14ac:dyDescent="0.2">
      <c r="D3" s="132" t="s">
        <v>148</v>
      </c>
    </row>
    <row r="4" spans="1:9" ht="15.75" x14ac:dyDescent="0.25">
      <c r="A4" s="438" t="s">
        <v>404</v>
      </c>
      <c r="B4" s="438"/>
      <c r="C4" s="438"/>
      <c r="D4" s="438"/>
      <c r="E4" s="319" t="s">
        <v>371</v>
      </c>
    </row>
    <row r="5" spans="1:9" ht="15.75" x14ac:dyDescent="0.25">
      <c r="A5" s="438" t="s">
        <v>405</v>
      </c>
      <c r="B5" s="438"/>
      <c r="C5" s="438"/>
      <c r="D5" s="438"/>
      <c r="E5" s="319">
        <v>1.1000000000000001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v>0.4</v>
      </c>
      <c r="D10" s="324">
        <v>0.5</v>
      </c>
      <c r="E10" s="324">
        <v>0.3</v>
      </c>
      <c r="F10" s="324">
        <v>0.4</v>
      </c>
      <c r="G10" t="s">
        <v>438</v>
      </c>
    </row>
    <row r="11" spans="1:9" x14ac:dyDescent="0.2">
      <c r="A11" s="77">
        <v>2</v>
      </c>
      <c r="B11" s="348" t="s">
        <v>110</v>
      </c>
      <c r="C11" s="324">
        <f>0.003*Кутр</f>
        <v>3.3000000000000004E-3</v>
      </c>
      <c r="D11" s="324">
        <f>0.004*Кутр</f>
        <v>4.4000000000000003E-3</v>
      </c>
    </row>
    <row r="12" spans="1:9" ht="12.75" customHeight="1" x14ac:dyDescent="0.2">
      <c r="A12" s="77">
        <v>3</v>
      </c>
      <c r="B12" s="76" t="s">
        <v>372</v>
      </c>
      <c r="C12" s="321">
        <v>2.0000000000000001E-4</v>
      </c>
      <c r="D12" s="320">
        <v>2.4000000000000001E-4</v>
      </c>
      <c r="F12">
        <f>20/1.1</f>
        <v>18.18181818181818</v>
      </c>
      <c r="I12" t="s">
        <v>198</v>
      </c>
    </row>
    <row r="13" spans="1:9" x14ac:dyDescent="0.2">
      <c r="A13" s="77">
        <v>4</v>
      </c>
      <c r="B13" s="78" t="s">
        <v>66</v>
      </c>
      <c r="C13" s="324">
        <f>0.00182*Кутр</f>
        <v>2.0020000000000003E-3</v>
      </c>
      <c r="D13" s="325">
        <f>0.00182*Кутр</f>
        <v>2.0020000000000003E-3</v>
      </c>
    </row>
    <row r="14" spans="1:9" x14ac:dyDescent="0.2">
      <c r="A14" s="77">
        <v>5</v>
      </c>
      <c r="B14" s="76" t="s">
        <v>111</v>
      </c>
      <c r="C14" s="326">
        <f>0.006*Кутр</f>
        <v>6.6000000000000008E-3</v>
      </c>
      <c r="D14" s="325">
        <f>0.006*Кутр</f>
        <v>6.6000000000000008E-3</v>
      </c>
    </row>
    <row r="15" spans="1:9" x14ac:dyDescent="0.2">
      <c r="A15" s="77">
        <v>6</v>
      </c>
      <c r="B15" s="78" t="s">
        <v>112</v>
      </c>
      <c r="C15" s="324">
        <f>0.03*Кутр</f>
        <v>3.3000000000000002E-2</v>
      </c>
      <c r="D15" s="325">
        <f>0.03*Кутр</f>
        <v>3.3000000000000002E-2</v>
      </c>
    </row>
    <row r="16" spans="1:9" ht="12" customHeight="1" x14ac:dyDescent="0.2">
      <c r="A16" s="77">
        <v>7</v>
      </c>
      <c r="B16" s="79" t="s">
        <v>113</v>
      </c>
      <c r="C16" s="322">
        <f>0.006*Кутр</f>
        <v>6.6000000000000008E-3</v>
      </c>
      <c r="D16" s="323">
        <f>0.006*Кутр</f>
        <v>6.6000000000000008E-3</v>
      </c>
    </row>
    <row r="17" spans="1:9" x14ac:dyDescent="0.2">
      <c r="A17" s="77">
        <v>8</v>
      </c>
      <c r="B17" s="78" t="s">
        <v>67</v>
      </c>
      <c r="C17" s="324"/>
      <c r="D17" s="325"/>
    </row>
    <row r="18" spans="1:9" x14ac:dyDescent="0.2">
      <c r="A18" s="80" t="s">
        <v>406</v>
      </c>
      <c r="B18" s="78" t="s">
        <v>68</v>
      </c>
      <c r="C18" s="324">
        <f>0.008*Кутр</f>
        <v>8.8000000000000005E-3</v>
      </c>
      <c r="D18" s="324">
        <f>0.01*Кутр</f>
        <v>1.1000000000000001E-2</v>
      </c>
    </row>
    <row r="19" spans="1:9" x14ac:dyDescent="0.2">
      <c r="A19" s="77" t="s">
        <v>407</v>
      </c>
      <c r="B19" s="79" t="s">
        <v>69</v>
      </c>
      <c r="C19" s="324">
        <f>0.008*Кутр</f>
        <v>8.8000000000000005E-3</v>
      </c>
      <c r="D19" s="324">
        <f>0.01*Кутр</f>
        <v>1.1000000000000001E-2</v>
      </c>
    </row>
    <row r="20" spans="1:9" x14ac:dyDescent="0.2">
      <c r="A20" s="77" t="s">
        <v>408</v>
      </c>
      <c r="B20" s="78" t="s">
        <v>70</v>
      </c>
      <c r="C20" s="324">
        <f>0.008*Кутр</f>
        <v>8.8000000000000005E-3</v>
      </c>
      <c r="D20" s="324">
        <f>0.01*Кутр</f>
        <v>1.1000000000000001E-2</v>
      </c>
    </row>
    <row r="21" spans="1:9" x14ac:dyDescent="0.2">
      <c r="A21" s="77" t="s">
        <v>409</v>
      </c>
      <c r="B21" s="100" t="s">
        <v>114</v>
      </c>
      <c r="C21" s="324">
        <v>2E-3</v>
      </c>
      <c r="D21" s="324">
        <v>8.8000000000000005E-3</v>
      </c>
    </row>
    <row r="22" spans="1:9" ht="12.75" customHeight="1" x14ac:dyDescent="0.2">
      <c r="A22" s="77">
        <v>9</v>
      </c>
      <c r="B22" s="79" t="s">
        <v>115</v>
      </c>
      <c r="C22" s="322">
        <f>0.035*Кутр</f>
        <v>3.8500000000000006E-2</v>
      </c>
      <c r="D22" s="325">
        <v>3.85E-2</v>
      </c>
    </row>
    <row r="23" spans="1:9" x14ac:dyDescent="0.2">
      <c r="A23" s="77">
        <v>10</v>
      </c>
      <c r="B23" s="76" t="s">
        <v>116</v>
      </c>
      <c r="C23" s="326">
        <f>0.008*Кутр</f>
        <v>8.8000000000000005E-3</v>
      </c>
      <c r="D23" s="327">
        <f>0.008*Кутр</f>
        <v>8.8000000000000005E-3</v>
      </c>
    </row>
    <row r="24" spans="1:9" x14ac:dyDescent="0.2">
      <c r="A24" s="77">
        <v>11</v>
      </c>
      <c r="B24" s="78" t="s">
        <v>71</v>
      </c>
      <c r="C24" s="324">
        <f>0.006*Кутр</f>
        <v>6.6000000000000008E-3</v>
      </c>
      <c r="D24" s="325">
        <f>0.007*Кутр</f>
        <v>7.7000000000000011E-3</v>
      </c>
      <c r="I24" t="s">
        <v>199</v>
      </c>
    </row>
    <row r="25" spans="1:9" x14ac:dyDescent="0.2">
      <c r="A25" s="77">
        <v>12</v>
      </c>
      <c r="B25" s="76" t="s">
        <v>72</v>
      </c>
      <c r="C25" s="326">
        <f>0.017*Кутр</f>
        <v>1.8700000000000001E-2</v>
      </c>
      <c r="D25" s="327">
        <f>0.02*Кутр</f>
        <v>2.2000000000000002E-2</v>
      </c>
    </row>
    <row r="26" spans="1:9" x14ac:dyDescent="0.2">
      <c r="A26" s="77">
        <v>13</v>
      </c>
      <c r="B26" s="78" t="s">
        <v>73</v>
      </c>
      <c r="C26" s="324">
        <f>0.008*Кутр</f>
        <v>8.8000000000000005E-3</v>
      </c>
      <c r="D26" s="325">
        <f>0.01*Кутр</f>
        <v>1.1000000000000001E-2</v>
      </c>
    </row>
    <row r="27" spans="1:9" x14ac:dyDescent="0.2">
      <c r="A27" s="77">
        <v>14</v>
      </c>
      <c r="B27" s="78" t="s">
        <v>74</v>
      </c>
      <c r="C27" s="324">
        <f>0.004*Кутр</f>
        <v>4.4000000000000003E-3</v>
      </c>
      <c r="D27" s="325">
        <f>0.008*Кутр</f>
        <v>8.8000000000000005E-3</v>
      </c>
    </row>
    <row r="28" spans="1:9" x14ac:dyDescent="0.2">
      <c r="A28" s="77">
        <v>15</v>
      </c>
      <c r="B28" s="101" t="s">
        <v>117</v>
      </c>
      <c r="C28" s="326">
        <f>0.014*Кутр</f>
        <v>1.5400000000000002E-2</v>
      </c>
      <c r="D28" s="325">
        <f>0.017*Кутр</f>
        <v>1.8700000000000001E-2</v>
      </c>
    </row>
    <row r="29" spans="1:9" x14ac:dyDescent="0.2">
      <c r="A29" s="77">
        <v>16</v>
      </c>
      <c r="B29" s="102" t="s">
        <v>75</v>
      </c>
      <c r="C29" s="324">
        <f>0.004*Кутр</f>
        <v>4.4000000000000003E-3</v>
      </c>
      <c r="D29" s="325">
        <f>0.008*Кутр</f>
        <v>8.8000000000000005E-3</v>
      </c>
    </row>
    <row r="30" spans="1:9" x14ac:dyDescent="0.2">
      <c r="A30" s="77">
        <v>17</v>
      </c>
      <c r="B30" s="102" t="s">
        <v>76</v>
      </c>
      <c r="C30" s="324">
        <f>(0.006)*Кутр</f>
        <v>6.6000000000000008E-3</v>
      </c>
      <c r="D30" s="325">
        <f>0.012*Кутр</f>
        <v>1.3200000000000002E-2</v>
      </c>
      <c r="F30">
        <f>Электроконтроль/Sзаг/Сн/Кс/Кп/Квг</f>
        <v>0</v>
      </c>
    </row>
    <row r="31" spans="1:9" x14ac:dyDescent="0.2">
      <c r="A31" s="77">
        <v>18</v>
      </c>
      <c r="B31" s="102" t="s">
        <v>457</v>
      </c>
      <c r="C31" s="324">
        <f>Электроконтроль/Sзаг/Сн/Кс/Кп/Квг</f>
        <v>0</v>
      </c>
      <c r="D31" s="325">
        <f>Электроконтроль/Sзаг/Сн/Кс/Кп/Квг</f>
        <v>0</v>
      </c>
    </row>
    <row r="32" spans="1:9" x14ac:dyDescent="0.2">
      <c r="A32" s="77">
        <v>19</v>
      </c>
      <c r="B32" s="348" t="s">
        <v>118</v>
      </c>
      <c r="C32" s="324">
        <f>0.006*Кутр</f>
        <v>6.6000000000000008E-3</v>
      </c>
      <c r="D32" s="325">
        <f>0.007*Кутр</f>
        <v>7.7000000000000011E-3</v>
      </c>
    </row>
    <row r="33" spans="1:13" hidden="1" x14ac:dyDescent="0.2">
      <c r="A33" s="95"/>
      <c r="B33" s="96" t="s">
        <v>130</v>
      </c>
      <c r="C33" s="328">
        <f>SUM(C11:C32)-C12</f>
        <v>0.19870199999999996</v>
      </c>
      <c r="D33" s="329">
        <f>SUM(D11:D32)-D12</f>
        <v>0.23960200000000004</v>
      </c>
    </row>
    <row r="34" spans="1:13" x14ac:dyDescent="0.2">
      <c r="C34" s="246"/>
      <c r="D34" s="246"/>
    </row>
    <row r="35" spans="1:13" x14ac:dyDescent="0.2">
      <c r="B35" s="129" t="s">
        <v>186</v>
      </c>
      <c r="C35" s="246"/>
      <c r="D35" s="246"/>
    </row>
    <row r="36" spans="1:13" x14ac:dyDescent="0.2">
      <c r="A36" s="121">
        <v>1</v>
      </c>
      <c r="B36" s="50" t="s">
        <v>172</v>
      </c>
      <c r="C36" s="247"/>
      <c r="D36" s="290"/>
    </row>
    <row r="37" spans="1:13" x14ac:dyDescent="0.2">
      <c r="A37" s="18" t="s">
        <v>166</v>
      </c>
      <c r="B37" s="126" t="s">
        <v>395</v>
      </c>
      <c r="C37" s="334">
        <f>(1.2*0.1)*Кутр</f>
        <v>0.13200000000000001</v>
      </c>
      <c r="D37" s="334">
        <f>(1.2*0.1)*Кутр</f>
        <v>0.13200000000000001</v>
      </c>
    </row>
    <row r="38" spans="1:13" x14ac:dyDescent="0.2">
      <c r="A38" s="18" t="s">
        <v>167</v>
      </c>
      <c r="B38" s="127" t="s">
        <v>396</v>
      </c>
      <c r="C38" s="334">
        <f>1.2*0.07+1.2*0.012*Кутр</f>
        <v>9.9840000000000012E-2</v>
      </c>
      <c r="D38" s="334">
        <f>1.2*0.07+1.2*0.018*Кутр</f>
        <v>0.10776000000000001</v>
      </c>
      <c r="F38" t="s">
        <v>377</v>
      </c>
    </row>
    <row r="39" spans="1:13" x14ac:dyDescent="0.2">
      <c r="A39" s="18">
        <v>2</v>
      </c>
      <c r="B39" s="45" t="s">
        <v>183</v>
      </c>
      <c r="C39" s="330">
        <f>1.2*0.055+1.2*0.0125*IF(Слесобр&lt;&gt;2,n_малое,1)*Кутр</f>
        <v>9.9000000000000005E-2</v>
      </c>
      <c r="D39" s="330">
        <f>1.2*0.055+1.2*0.0125*IF(Слесобр&lt;&gt;2,n_малое,1)*Кутр</f>
        <v>9.9000000000000005E-2</v>
      </c>
    </row>
    <row r="40" spans="1:13" x14ac:dyDescent="0.2">
      <c r="A40" s="121">
        <v>3</v>
      </c>
      <c r="B40" s="12" t="s">
        <v>98</v>
      </c>
      <c r="C40" s="331"/>
      <c r="D40" s="332"/>
      <c r="F40" t="s">
        <v>379</v>
      </c>
      <c r="J40" t="s">
        <v>380</v>
      </c>
      <c r="L40" t="s">
        <v>451</v>
      </c>
    </row>
    <row r="41" spans="1:13" x14ac:dyDescent="0.2">
      <c r="A41" s="18" t="s">
        <v>168</v>
      </c>
      <c r="B41" s="40" t="s">
        <v>445</v>
      </c>
      <c r="C41" s="350">
        <f>0.121488*1.2*1.1/6*Кутр</f>
        <v>2.9400096000000004E-2</v>
      </c>
      <c r="D41" s="350">
        <f>0.121591*1.2*1.2/6*Кутр</f>
        <v>3.2100023999999998E-2</v>
      </c>
      <c r="F41" t="s">
        <v>379</v>
      </c>
      <c r="J41" t="s">
        <v>381</v>
      </c>
      <c r="L41" t="s">
        <v>451</v>
      </c>
    </row>
    <row r="42" spans="1:13" x14ac:dyDescent="0.2">
      <c r="A42" s="18" t="s">
        <v>169</v>
      </c>
      <c r="B42" s="24" t="s">
        <v>446</v>
      </c>
      <c r="C42" s="351">
        <f>0.141736*1.2*1.1/6*Кутр</f>
        <v>3.4300112000000008E-2</v>
      </c>
      <c r="D42" s="350">
        <f>0.14205*1.2*1.2/6*Кутр</f>
        <v>3.7501199999999998E-2</v>
      </c>
    </row>
    <row r="43" spans="1:13" x14ac:dyDescent="0.2">
      <c r="A43" s="18" t="s">
        <v>170</v>
      </c>
      <c r="B43" s="24" t="s">
        <v>447</v>
      </c>
      <c r="C43" s="334">
        <v>4.4999999999999998E-2</v>
      </c>
      <c r="D43" s="333">
        <v>0.05</v>
      </c>
      <c r="L43">
        <v>0</v>
      </c>
      <c r="M43">
        <f>L43/Кутр*6/1.1/1.2</f>
        <v>0</v>
      </c>
    </row>
    <row r="44" spans="1:13" x14ac:dyDescent="0.2">
      <c r="A44" s="18" t="s">
        <v>171</v>
      </c>
      <c r="B44" s="24" t="s">
        <v>448</v>
      </c>
      <c r="C44" s="334">
        <v>0.06</v>
      </c>
      <c r="D44" s="333">
        <v>6.6000000000000003E-2</v>
      </c>
      <c r="L44">
        <v>3.3599999999999998E-2</v>
      </c>
      <c r="M44">
        <f>L44/Кутр*6/1.1/1.2</f>
        <v>0.13884297520661154</v>
      </c>
    </row>
    <row r="45" spans="1:13" x14ac:dyDescent="0.2">
      <c r="A45" s="18">
        <v>4</v>
      </c>
      <c r="B45" s="122" t="s">
        <v>164</v>
      </c>
      <c r="C45" s="436">
        <f>0.05455*Кутр</f>
        <v>6.0005000000000003E-2</v>
      </c>
      <c r="D45" s="437"/>
      <c r="L45">
        <v>0.06</v>
      </c>
      <c r="M45">
        <f>L45/Кутр</f>
        <v>5.4545454545454536E-2</v>
      </c>
    </row>
    <row r="46" spans="1:13" x14ac:dyDescent="0.2">
      <c r="A46" s="121">
        <v>5</v>
      </c>
      <c r="B46" s="123" t="s">
        <v>343</v>
      </c>
      <c r="C46" s="331"/>
      <c r="D46" s="332"/>
      <c r="L46">
        <v>9.6000000000000002E-2</v>
      </c>
      <c r="M46">
        <f>L46/Кутр</f>
        <v>8.7272727272727266E-2</v>
      </c>
    </row>
    <row r="47" spans="1:13" x14ac:dyDescent="0.2">
      <c r="A47" s="18" t="s">
        <v>179</v>
      </c>
      <c r="B47" s="128" t="s">
        <v>449</v>
      </c>
      <c r="C47" s="334">
        <v>1.4999999999999999E-2</v>
      </c>
      <c r="D47" s="333">
        <v>1.4999999999999999E-2</v>
      </c>
    </row>
    <row r="48" spans="1:13" x14ac:dyDescent="0.2">
      <c r="A48" s="18" t="s">
        <v>180</v>
      </c>
      <c r="B48" s="116" t="s">
        <v>450</v>
      </c>
      <c r="C48" s="334">
        <v>2.5000000000000001E-2</v>
      </c>
      <c r="D48" s="333">
        <v>2.5000000000000001E-2</v>
      </c>
    </row>
    <row r="49" spans="1:10" x14ac:dyDescent="0.2">
      <c r="A49" s="121">
        <v>6</v>
      </c>
      <c r="B49" s="123" t="s">
        <v>173</v>
      </c>
      <c r="C49" s="331"/>
      <c r="D49" s="332"/>
    </row>
    <row r="50" spans="1:10" x14ac:dyDescent="0.2">
      <c r="A50" s="18" t="s">
        <v>344</v>
      </c>
      <c r="B50" s="128" t="s">
        <v>449</v>
      </c>
      <c r="C50" s="334">
        <v>4.4999999999999998E-2</v>
      </c>
      <c r="D50" s="333">
        <v>0.05</v>
      </c>
      <c r="J50">
        <f>0.03/Кутр</f>
        <v>2.7272727272727268E-2</v>
      </c>
    </row>
    <row r="51" spans="1:10" x14ac:dyDescent="0.2">
      <c r="A51" s="18" t="s">
        <v>345</v>
      </c>
      <c r="B51" s="116" t="s">
        <v>450</v>
      </c>
      <c r="C51" s="334">
        <v>0.06</v>
      </c>
      <c r="D51" s="333">
        <v>6.6000000000000003E-2</v>
      </c>
    </row>
    <row r="52" spans="1:10" x14ac:dyDescent="0.2">
      <c r="A52" s="18">
        <v>7</v>
      </c>
      <c r="B52" s="116" t="s">
        <v>165</v>
      </c>
      <c r="C52" s="436">
        <f>0.3*Кутр</f>
        <v>0.33</v>
      </c>
      <c r="D52" s="437"/>
    </row>
    <row r="55" spans="1:10" x14ac:dyDescent="0.2">
      <c r="A55" s="238" t="s">
        <v>411</v>
      </c>
      <c r="D55" s="240" t="s">
        <v>410</v>
      </c>
    </row>
  </sheetData>
  <mergeCells count="4">
    <mergeCell ref="C45:D45"/>
    <mergeCell ref="C52:D52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157</vt:i4>
      </vt:variant>
    </vt:vector>
  </HeadingPairs>
  <TitlesOfParts>
    <vt:vector size="163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колво_ламелей</vt:lpstr>
      <vt:lpstr>Котрс</vt:lpstr>
      <vt:lpstr>Котрф</vt:lpstr>
      <vt:lpstr>Коэфвыхгод</vt:lpstr>
      <vt:lpstr>Коэфстоиостизолота</vt:lpstr>
      <vt:lpstr>Кп</vt:lpstr>
      <vt:lpstr>Кс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Расчет!Область_печати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2015-12-21T12:11:09Z</cp:lastPrinted>
  <dcterms:created xsi:type="dcterms:W3CDTF">2001-01-09T20:00:21Z</dcterms:created>
  <dcterms:modified xsi:type="dcterms:W3CDTF">2018-07-13T05:21:25Z</dcterms:modified>
</cp:coreProperties>
</file>