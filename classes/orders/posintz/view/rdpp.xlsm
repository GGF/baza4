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 iterateCount="1"/>
</workbook>
</file>

<file path=xl/calcChain.xml><?xml version="1.0" encoding="utf-8"?>
<calcChain xmlns="http://schemas.openxmlformats.org/spreadsheetml/2006/main"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70" i="1" l="1"/>
  <c r="L49" i="1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G37" i="1" s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/>
  <c r="K15" i="1"/>
  <c r="L22" i="1"/>
  <c r="K22" i="1"/>
  <c r="J22" i="1"/>
  <c r="K18" i="1"/>
  <c r="E44" i="5" s="1"/>
  <c r="F44" i="5" s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G53" i="1" s="1"/>
  <c r="H53" i="1" s="1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I19" i="2" s="1"/>
  <c r="C28" i="1"/>
  <c r="C33" i="1"/>
  <c r="C30" i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E43" i="1"/>
  <c r="G36" i="1"/>
  <c r="O22" i="1"/>
  <c r="G40" i="1"/>
  <c r="Q22" i="1"/>
  <c r="E42" i="1"/>
  <c r="G42" i="1" s="1"/>
  <c r="E61" i="1"/>
  <c r="G61" i="1" s="1"/>
  <c r="H61" i="1" s="1"/>
  <c r="E27" i="5"/>
  <c r="F27" i="5" s="1"/>
  <c r="E19" i="5"/>
  <c r="F19" i="5" s="1"/>
  <c r="E42" i="5"/>
  <c r="F42" i="5" s="1"/>
  <c r="M22" i="1"/>
  <c r="E20" i="3"/>
  <c r="F11" i="5"/>
  <c r="E36" i="3" l="1"/>
  <c r="E56" i="1"/>
  <c r="E29" i="5"/>
  <c r="F29" i="5" s="1"/>
  <c r="E31" i="5"/>
  <c r="F31" i="5" s="1"/>
  <c r="E33" i="5"/>
  <c r="F33" i="5" s="1"/>
  <c r="E37" i="5"/>
  <c r="F37" i="5" s="1"/>
  <c r="G54" i="1"/>
  <c r="H54" i="1" s="1"/>
  <c r="I78" i="3"/>
  <c r="E21" i="3"/>
  <c r="E22" i="5"/>
  <c r="F22" i="5" s="1"/>
  <c r="E30" i="5"/>
  <c r="F30" i="5" s="1"/>
  <c r="D31" i="4"/>
  <c r="D33" i="4" s="1"/>
  <c r="C31" i="4"/>
  <c r="G52" i="1"/>
  <c r="F128" i="3"/>
  <c r="I128" i="3" s="1"/>
  <c r="E26" i="5"/>
  <c r="F26" i="5" s="1"/>
  <c r="E36" i="5"/>
  <c r="F36" i="5" s="1"/>
  <c r="I108" i="3"/>
  <c r="E62" i="1"/>
  <c r="G62" i="1" s="1"/>
  <c r="H62" i="1" s="1"/>
  <c r="E20" i="5"/>
  <c r="F20" i="5" s="1"/>
  <c r="E17" i="5"/>
  <c r="F17" i="5" s="1"/>
  <c r="G64" i="1"/>
  <c r="H64" i="1" s="1"/>
  <c r="E25" i="5"/>
  <c r="F25" i="5" s="1"/>
  <c r="E23" i="5"/>
  <c r="F23" i="5" s="1"/>
  <c r="F79" i="3"/>
  <c r="N22" i="1"/>
  <c r="F109" i="3"/>
  <c r="I109" i="3" s="1"/>
  <c r="I110" i="3" s="1"/>
  <c r="F108" i="3"/>
  <c r="E32" i="5"/>
  <c r="F32" i="5" s="1"/>
  <c r="J72" i="1"/>
  <c r="J73" i="1" s="1"/>
  <c r="J74" i="1" s="1"/>
  <c r="E41" i="5"/>
  <c r="F41" i="5" s="1"/>
  <c r="G58" i="1"/>
  <c r="H58" i="1" s="1"/>
  <c r="E13" i="5"/>
  <c r="F30" i="4"/>
  <c r="I79" i="3"/>
  <c r="I80" i="3" s="1"/>
  <c r="G39" i="1" s="1"/>
  <c r="G45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F36" i="3" l="1"/>
  <c r="E46" i="5"/>
  <c r="J82" i="1"/>
  <c r="J83" i="1" s="1"/>
  <c r="J84" i="1" s="1"/>
  <c r="E15" i="5"/>
  <c r="F13" i="5"/>
  <c r="F15" i="5" s="1"/>
  <c r="J75" i="1" s="1"/>
  <c r="K75" i="1" s="1"/>
  <c r="I58" i="1"/>
  <c r="I36" i="3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<sst xmlns="http://schemas.openxmlformats.org/spreadsheetml/2006/main" count="622" uniqueCount="462">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</sst>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2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3</xdr:row>
          <xdr:rowOff>57150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8" sqref="C8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372" t="s">
        <v>368</v>
      </c>
      <c r="B3" s="372"/>
      <c r="C3" s="372"/>
      <c r="D3" s="372"/>
      <c r="E3" s="372"/>
      <c r="F3" s="372"/>
      <c r="G3" s="372"/>
    </row>
    <row r="4" spans="1:11" ht="13.9" customHeight="1" thickBot="1" x14ac:dyDescent="0.25">
      <c r="A4" s="372"/>
      <c r="B4" s="372"/>
      <c r="C4" s="372"/>
      <c r="D4" s="372"/>
      <c r="E4" s="372"/>
      <c r="F4" s="372"/>
      <c r="G4" s="372"/>
    </row>
    <row r="5" spans="1:11" ht="15.75" customHeight="1" thickBot="1" x14ac:dyDescent="0.3">
      <c r="A5" s="373" t="s">
        <v>0</v>
      </c>
      <c r="B5" s="374"/>
      <c r="C5" s="378" t="s">
        <v>0</v>
      </c>
      <c r="D5" s="379"/>
      <c r="E5" s="379"/>
      <c r="F5" s="379"/>
      <c r="G5" s="380"/>
      <c r="I5" s="360">
        <f>Цена_За_штуку</f>
        <v>1864</v>
      </c>
    </row>
    <row r="6" spans="1:11" ht="13.5" thickBot="1" x14ac:dyDescent="0.25">
      <c r="A6" s="373" t="s">
        <v>80</v>
      </c>
      <c r="B6" s="374"/>
      <c r="C6" s="375" t="s">
        <v>393</v>
      </c>
      <c r="D6" s="376"/>
      <c r="E6" s="377"/>
      <c r="F6" s="68" t="s">
        <v>394</v>
      </c>
      <c r="G6" s="63"/>
    </row>
    <row r="7" spans="1:11" ht="13.5" thickBot="1" x14ac:dyDescent="0.25">
      <c r="A7" s="373" t="s">
        <v>1</v>
      </c>
      <c r="B7" s="374"/>
      <c r="C7" s="381" t="s">
        <v>360</v>
      </c>
      <c r="D7" s="381"/>
      <c r="E7" s="381"/>
      <c r="F7" s="381"/>
      <c r="G7" s="67"/>
    </row>
    <row r="8" spans="1:11" ht="13.5" thickBot="1" x14ac:dyDescent="0.25">
      <c r="A8" s="373" t="s">
        <v>5</v>
      </c>
      <c r="B8" s="374"/>
      <c r="C8" s="254">
        <v>41</v>
      </c>
      <c r="D8" s="59"/>
      <c r="E8" s="382" t="s">
        <v>85</v>
      </c>
      <c r="F8" s="383"/>
      <c r="G8" s="35">
        <v>3</v>
      </c>
    </row>
    <row r="9" spans="1:11" ht="13.5" thickBot="1" x14ac:dyDescent="0.25">
      <c r="A9" s="373" t="s">
        <v>21</v>
      </c>
      <c r="B9" s="374"/>
      <c r="C9" s="47">
        <v>1</v>
      </c>
      <c r="D9" s="59"/>
      <c r="E9" s="370" t="s">
        <v>79</v>
      </c>
      <c r="F9" s="371"/>
      <c r="G9" s="56">
        <v>2</v>
      </c>
    </row>
    <row r="10" spans="1:11" ht="13.5" thickBot="1" x14ac:dyDescent="0.25">
      <c r="A10" s="373" t="s">
        <v>22</v>
      </c>
      <c r="B10" s="374"/>
      <c r="C10" s="47">
        <v>18</v>
      </c>
      <c r="D10" s="59"/>
      <c r="E10" s="400" t="s">
        <v>82</v>
      </c>
      <c r="F10" s="401"/>
      <c r="G10" s="56">
        <v>2</v>
      </c>
    </row>
    <row r="11" spans="1:11" ht="13.5" thickBot="1" x14ac:dyDescent="0.25">
      <c r="A11" s="408" t="s">
        <v>314</v>
      </c>
      <c r="B11" s="409"/>
      <c r="C11" s="47" t="s">
        <v>313</v>
      </c>
      <c r="D11" s="59"/>
      <c r="E11" s="412" t="s">
        <v>205</v>
      </c>
      <c r="F11" s="413"/>
      <c r="G11" s="49">
        <v>500</v>
      </c>
    </row>
    <row r="12" spans="1:11" ht="13.5" thickBot="1" x14ac:dyDescent="0.25">
      <c r="A12" s="373" t="s">
        <v>4</v>
      </c>
      <c r="B12" s="374"/>
      <c r="C12" s="47">
        <v>3</v>
      </c>
      <c r="D12" s="7"/>
      <c r="E12" s="414" t="s">
        <v>206</v>
      </c>
      <c r="F12" s="415"/>
      <c r="G12" s="49">
        <v>500</v>
      </c>
    </row>
    <row r="13" spans="1:11" ht="15.6" customHeight="1" thickBot="1" x14ac:dyDescent="0.25">
      <c r="A13" s="373" t="s">
        <v>315</v>
      </c>
      <c r="B13" s="374"/>
      <c r="C13" s="47" t="s">
        <v>316</v>
      </c>
      <c r="D13" s="7"/>
      <c r="E13" s="390" t="s">
        <v>238</v>
      </c>
      <c r="F13" s="391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98" t="s">
        <v>320</v>
      </c>
      <c r="F14" s="399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410" t="s">
        <v>321</v>
      </c>
      <c r="F15" s="411"/>
      <c r="G15" s="56" t="s">
        <v>324</v>
      </c>
      <c r="I15" s="367" t="s">
        <v>77</v>
      </c>
      <c r="J15" s="367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404" t="s">
        <v>322</v>
      </c>
      <c r="F16" s="405"/>
      <c r="G16" s="56" t="s">
        <v>323</v>
      </c>
      <c r="I16" s="367" t="s">
        <v>78</v>
      </c>
      <c r="J16" s="367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406" t="s">
        <v>325</v>
      </c>
      <c r="F17" s="371"/>
      <c r="G17" s="314" t="s">
        <v>355</v>
      </c>
      <c r="I17" s="368" t="s">
        <v>326</v>
      </c>
      <c r="J17" s="368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0" t="s">
        <v>17</v>
      </c>
      <c r="F18" s="371"/>
      <c r="G18" s="34">
        <v>1</v>
      </c>
      <c r="I18" s="369" t="s">
        <v>327</v>
      </c>
      <c r="J18" s="369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385" t="s">
        <v>19</v>
      </c>
      <c r="B20" s="386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88" t="s">
        <v>86</v>
      </c>
      <c r="F21" s="389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402" t="s">
        <v>374</v>
      </c>
      <c r="F22" s="403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407"/>
      <c r="B24" s="407"/>
      <c r="C24" s="407"/>
      <c r="D24" s="407"/>
      <c r="E24" s="407"/>
      <c r="F24" s="407"/>
      <c r="G24" s="407"/>
    </row>
    <row r="25" spans="1:17" ht="13.15" customHeight="1" x14ac:dyDescent="0.2">
      <c r="A25" s="387" t="s">
        <v>351</v>
      </c>
      <c r="B25" s="387"/>
      <c r="C25" s="66">
        <f>VLOOKUP(Класс_точности,Коэфвыхгод,2)</f>
        <v>1.05</v>
      </c>
      <c r="D25" s="303"/>
      <c r="E25" s="392" t="s">
        <v>458</v>
      </c>
      <c r="F25" s="392"/>
      <c r="G25" s="392"/>
    </row>
    <row r="26" spans="1:17" ht="13.15" customHeight="1" x14ac:dyDescent="0.2">
      <c r="A26" s="387" t="s">
        <v>244</v>
      </c>
      <c r="B26" s="387"/>
      <c r="C26" s="66">
        <f>VLOOKUP(N,Таблица1,2)</f>
        <v>1</v>
      </c>
      <c r="E26" s="392"/>
      <c r="F26" s="392"/>
      <c r="G26" s="392"/>
      <c r="I26" s="58"/>
      <c r="J26" s="58"/>
      <c r="K26" s="59"/>
      <c r="N26" s="7"/>
    </row>
    <row r="27" spans="1:17" x14ac:dyDescent="0.2">
      <c r="A27" s="384" t="s">
        <v>245</v>
      </c>
      <c r="B27" s="384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84" t="s">
        <v>246</v>
      </c>
      <c r="B28" s="384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84" t="s">
        <v>247</v>
      </c>
      <c r="B29" s="384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84" t="s">
        <v>248</v>
      </c>
      <c r="B30" s="384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7" t="s">
        <v>249</v>
      </c>
      <c r="B31" s="387"/>
      <c r="C31" s="16">
        <f>А*В*N</f>
        <v>126</v>
      </c>
      <c r="D31" s="266">
        <f>Sзаг*0.01</f>
        <v>1.26</v>
      </c>
      <c r="E31" s="396" t="s">
        <v>441</v>
      </c>
      <c r="F31" s="397"/>
      <c r="G31" s="355">
        <v>1</v>
      </c>
    </row>
    <row r="32" spans="1:17" x14ac:dyDescent="0.2">
      <c r="A32" s="384" t="s">
        <v>250</v>
      </c>
      <c r="B32" s="384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84" t="s">
        <v>251</v>
      </c>
      <c r="B33" s="384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222.26022629999997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4048.5140662999997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2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13396.125678641994</v>
      </c>
      <c r="L49" s="3" t="e">
        <f>SEARCH(fullname,"адар")</f>
        <v>#VALUE!</v>
      </c>
    </row>
    <row r="50" spans="1:12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2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2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2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2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2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2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2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4433.8095899999998</v>
      </c>
      <c r="H57" s="114"/>
      <c r="I57" s="125"/>
    </row>
    <row r="58" spans="1:12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2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415.03543263</v>
      </c>
      <c r="H59" s="114"/>
      <c r="I59" s="125"/>
    </row>
    <row r="60" spans="1:12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2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2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2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2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93" t="s">
        <v>456</v>
      </c>
      <c r="C66" s="394"/>
      <c r="D66" s="395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19587.126606956997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72362.831227390925</v>
      </c>
      <c r="H67" s="114"/>
      <c r="I67" s="125" t="s">
        <v>299</v>
      </c>
      <c r="J67" s="125">
        <f>G68-L66</f>
        <v>56824.218686733933</v>
      </c>
      <c r="K67" s="3" t="s">
        <v>303</v>
      </c>
      <c r="L67" s="125">
        <f>Материалы_всего</f>
        <v>19588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76411.345293690931</v>
      </c>
      <c r="I68" s="3" t="s">
        <v>300</v>
      </c>
      <c r="J68" s="125">
        <f>J67/Сн</f>
        <v>82.03767892867198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76411.345293690931</v>
      </c>
      <c r="H69">
        <f>Электроконтроль</f>
        <v>0</v>
      </c>
      <c r="I69" s="291" t="s">
        <v>301</v>
      </c>
      <c r="J69" s="125">
        <f>J68*ФОТнч</f>
        <v>19908.08354562083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IF(IFERROR(SEARCH("адар",fullname),FALSE),240*N,0)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1864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  <mergeCell ref="A12:B12"/>
    <mergeCell ref="A9:B9"/>
    <mergeCell ref="E21:F21"/>
    <mergeCell ref="A27:B27"/>
    <mergeCell ref="E13:F13"/>
    <mergeCell ref="E25:G26"/>
    <mergeCell ref="A33:B33"/>
    <mergeCell ref="A20:B20"/>
    <mergeCell ref="A28:B28"/>
    <mergeCell ref="A29:B29"/>
    <mergeCell ref="A26:B26"/>
    <mergeCell ref="A30:B30"/>
    <mergeCell ref="A31:B31"/>
    <mergeCell ref="A32:B32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I15:J15"/>
    <mergeCell ref="I16:J16"/>
    <mergeCell ref="I17:J17"/>
    <mergeCell ref="I18:J18"/>
    <mergeCell ref="E18:F18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6" t="s">
        <v>278</v>
      </c>
      <c r="C3" s="417"/>
      <c r="D3" s="21"/>
      <c r="E3" s="416" t="s">
        <v>415</v>
      </c>
      <c r="F3" s="417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8" t="s">
        <v>259</v>
      </c>
      <c r="F4" s="419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8"/>
      <c r="F5" s="419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0" t="s">
        <v>277</v>
      </c>
      <c r="F14" s="421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8"/>
      <c r="F15" s="422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8"/>
      <c r="F16" s="422"/>
    </row>
    <row r="17" spans="1:12" ht="37.15" customHeight="1" x14ac:dyDescent="0.2">
      <c r="A17" s="3"/>
      <c r="B17" s="242">
        <v>13</v>
      </c>
      <c r="C17" s="243">
        <v>1</v>
      </c>
      <c r="D17" s="6"/>
      <c r="E17" s="418" t="s">
        <v>274</v>
      </c>
      <c r="F17" s="42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8"/>
      <c r="F18" s="42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3" t="s">
        <v>275</v>
      </c>
      <c r="F24" s="424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5"/>
      <c r="F25" s="426"/>
    </row>
    <row r="26" spans="1:12" ht="13.5" thickBot="1" x14ac:dyDescent="0.25">
      <c r="A26" s="3"/>
      <c r="B26" s="242">
        <v>30</v>
      </c>
      <c r="C26" s="243">
        <v>1</v>
      </c>
      <c r="D26" s="7"/>
      <c r="E26" s="418" t="s">
        <v>274</v>
      </c>
      <c r="F26" s="42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8"/>
      <c r="F27" s="42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E26:E27"/>
    <mergeCell ref="F26:F27"/>
    <mergeCell ref="E17:E18"/>
    <mergeCell ref="F17:F18"/>
    <mergeCell ref="E3:F3"/>
    <mergeCell ref="B3:C3"/>
    <mergeCell ref="E4:E5"/>
    <mergeCell ref="F4:F5"/>
    <mergeCell ref="E14:F16"/>
    <mergeCell ref="E24:F25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19912.02746732999</v>
      </c>
      <c r="D12" s="347"/>
      <c r="E12" s="114">
        <f t="shared" ref="E12:E19" si="0">G12-C12</f>
        <v>-3.9439217091530736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6093.0804050029765</v>
      </c>
      <c r="D13" s="6"/>
      <c r="E13" s="114">
        <f t="shared" si="0"/>
        <v>-1.2068400429998292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23416.544301580067</v>
      </c>
      <c r="D14" s="6"/>
      <c r="E14" s="114">
        <f t="shared" si="0"/>
        <v>-4.6380519299636944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17034</v>
      </c>
      <c r="D15" s="6"/>
      <c r="E15" s="114">
        <f t="shared" si="0"/>
        <v>-0.95652173912822036</v>
      </c>
      <c r="G15">
        <f>Материалы_всего/(1+плановнакопл/100)</f>
        <v>17033.043478260872</v>
      </c>
    </row>
    <row r="16" spans="1:7" x14ac:dyDescent="0.2">
      <c r="A16" s="242">
        <v>5</v>
      </c>
      <c r="B16" s="24" t="s">
        <v>178</v>
      </c>
      <c r="C16" s="243">
        <f>C18-C17</f>
        <v>66455.65217391304</v>
      </c>
      <c r="D16" s="6"/>
      <c r="E16" s="114">
        <f t="shared" si="0"/>
        <v>-10.745335421248456</v>
      </c>
      <c r="G16">
        <f>SUM(G12:G15)</f>
        <v>66444.906838491792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9968.3478260869579</v>
      </c>
      <c r="D17" s="6"/>
      <c r="E17" s="114">
        <f t="shared" si="0"/>
        <v>-1.6118003131887235</v>
      </c>
      <c r="G17">
        <f>G16*(плановнакопл/100)</f>
        <v>9966.7360257737691</v>
      </c>
    </row>
    <row r="18" spans="1:7" x14ac:dyDescent="0.2">
      <c r="A18" s="242">
        <v>7</v>
      </c>
      <c r="B18" s="24" t="s">
        <v>208</v>
      </c>
      <c r="C18" s="243">
        <f>Цена_За_штуку*П</f>
        <v>76424</v>
      </c>
      <c r="D18" s="6"/>
      <c r="E18" s="114">
        <f t="shared" si="0"/>
        <v>-12.357135734433541</v>
      </c>
      <c r="G18">
        <f>SUM(G16:G17)</f>
        <v>76411.642864265566</v>
      </c>
    </row>
    <row r="19" spans="1:7" x14ac:dyDescent="0.2">
      <c r="A19" s="296">
        <v>8</v>
      </c>
      <c r="B19" s="293" t="s">
        <v>309</v>
      </c>
      <c r="C19" s="243">
        <f>Расчет!G71</f>
        <v>1864</v>
      </c>
      <c r="D19" s="6"/>
      <c r="E19" s="114">
        <f t="shared" si="0"/>
        <v>0</v>
      </c>
      <c r="G19">
        <f>Цена_За_штуку</f>
        <v>1864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2474.91</v>
      </c>
      <c r="P4" s="202">
        <f t="shared" si="0"/>
        <v>2474.91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2878.81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79</v>
      </c>
      <c r="I18" s="151">
        <f t="shared" si="1"/>
        <v>83.613600000000005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350</v>
      </c>
      <c r="I20" s="151">
        <f>F20*H20</f>
        <v>829.78560000000004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160</v>
      </c>
      <c r="I28" s="151">
        <f t="shared" si="3"/>
        <v>63.504000000000005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249.74</v>
      </c>
      <c r="I34" s="151">
        <f t="shared" si="3"/>
        <v>409.70346480000001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39</v>
      </c>
      <c r="I35" s="151">
        <f t="shared" si="3"/>
        <v>20.6388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2474.91</v>
      </c>
      <c r="I36" s="151">
        <f t="shared" si="3"/>
        <v>4191.1115903999998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70</v>
      </c>
      <c r="I37" s="151">
        <f t="shared" si="3"/>
        <v>25.930800000000009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494.48</v>
      </c>
      <c r="I38" s="151">
        <f t="shared" si="3"/>
        <v>65.419703999999996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174.65</v>
      </c>
      <c r="I39" s="151">
        <f t="shared" si="3"/>
        <v>577.65487500000006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1546.83</v>
      </c>
      <c r="I40" s="151">
        <f t="shared" si="3"/>
        <v>716.25963150000007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263.22000000000003</v>
      </c>
      <c r="I42" s="151">
        <f t="shared" si="3"/>
        <v>132.33122280000003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160</v>
      </c>
      <c r="I48" s="151">
        <f t="shared" si="3"/>
        <v>3.3868800000000006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6871.88</v>
      </c>
      <c r="I49" s="151">
        <f t="shared" si="3"/>
        <v>418.20887304000001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10734.967477079996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844.15</v>
      </c>
      <c r="I77" s="134">
        <f>F77*H77</f>
        <v>148.90806000000001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450.81</v>
      </c>
      <c r="I78" s="134">
        <f>F78*H78</f>
        <v>34.081235999999997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193.26976199999999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1214.25</v>
      </c>
      <c r="I90" s="134">
        <f>F90*H90</f>
        <v>3855.4866000000002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3855.4866000000002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2098.38</v>
      </c>
      <c r="I93" s="134">
        <f>F93*H93</f>
        <v>360.90037620000004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360.90037620000004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2095.91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590.16999999999996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19588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2018-07-24T09:57:57Z</dcterms:modified>
</cp:coreProperties>
</file>