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-60" yWindow="570" windowWidth="15480" windowHeight="9210" tabRatio="870"/>
  </bookViews>
  <sheets>
    <sheet name="Расчет" sheetId="1" r:id="rId1"/>
    <sheet name="Коэфф" sheetId="2" r:id="rId2"/>
    <sheet name="MANIA" sheetId="3" r:id="rId3"/>
    <sheet name="Приложение MANIA" sheetId="9" r:id="rId4"/>
    <sheet name="ATG" sheetId="4" r:id="rId5"/>
    <sheet name="Материалы основные" sheetId="6" r:id="rId6"/>
    <sheet name="Материалы дополнительные" sheetId="10" r:id="rId7"/>
    <sheet name="Нормы трудоемкости" sheetId="7" r:id="rId8"/>
    <sheet name="ФОТ" sheetId="8" r:id="rId9"/>
    <sheet name="Калькуляция" sheetId="5" r:id="rId10"/>
    <sheet name="Заключение" sheetId="11" r:id="rId11"/>
    <sheet name="Текстолит" sheetId="12" r:id="rId12"/>
  </sheets>
  <functionGroups builtInGroupCount="17"/>
  <externalReferences>
    <externalReference r:id="rId13"/>
  </externalReferences>
  <definedNames>
    <definedName name="_nK1" localSheetId="2">MANIA!$G$13</definedName>
    <definedName name="_nK2" localSheetId="2">MANIA!$H$13</definedName>
    <definedName name="_NO1">MANIA!$G$15</definedName>
    <definedName name="_NO2">MANIA!$H$15</definedName>
    <definedName name="_Np1" localSheetId="2">MANIA!$G$16</definedName>
    <definedName name="_Np2">MANIA!$H$16</definedName>
    <definedName name="Aatg" comment="Стоимость часа ATG" localSheetId="4">ATG!$K$14</definedName>
    <definedName name="bigdrill">Расчет!$C$23</definedName>
    <definedName name="blockname">Расчет!$C$6</definedName>
    <definedName name="bsizex">Расчет!$C$15</definedName>
    <definedName name="bsizey">Расчет!$C$16</definedName>
    <definedName name="class">Расчет!$C$10</definedName>
    <definedName name="constr">Расчет!$C$19</definedName>
    <definedName name="customer">Расчет!$C$4</definedName>
    <definedName name="eltest">Расчет!$G$19</definedName>
    <definedName name="etcompl">Расчет!$G$22</definedName>
    <definedName name="etpib">Расчет!$G$20</definedName>
    <definedName name="etpoints">Расчет!$G$21</definedName>
    <definedName name="first">Расчет!$C$8</definedName>
    <definedName name="FR" comment="Стеклотекстолит__СТФ___0__FR4__1">Расчет!$C$24</definedName>
    <definedName name="frez_factor">Расчет!$G$16</definedName>
    <definedName name="frezcorner">Расчет!$G$15</definedName>
    <definedName name="FRINT">Расчет!$D$24</definedName>
    <definedName name="FRV">Расчет!$D$24</definedName>
    <definedName name="glasscloth">Расчет!$G$7</definedName>
    <definedName name="gold">Расчет!$G$18</definedName>
    <definedName name="lamel">Расчет!$G$17</definedName>
    <definedName name="layers">Расчет!$C$11</definedName>
    <definedName name="letter">Расчет!$C$5</definedName>
    <definedName name="m" comment="Количество точек на плате" localSheetId="4">ATG!$F$11</definedName>
    <definedName name="mark">Расчет!$G$12</definedName>
    <definedName name="marktype">Расчет!$G$12</definedName>
    <definedName name="mask">Расчет!$G$11</definedName>
    <definedName name="N" comment="Количество заготовок" localSheetId="4">ATG!$F$9</definedName>
    <definedName name="N" localSheetId="2">MANIA!$G$7</definedName>
    <definedName name="N">Расчет!$C$18</definedName>
    <definedName name="Nb" localSheetId="2">MANIA!$G$9</definedName>
    <definedName name="nib">Расчет!$C$17</definedName>
    <definedName name="numbers">Расчет!$C$7</definedName>
    <definedName name="nummask">Расчет!$G$10</definedName>
    <definedName name="priem">Расчет!$C$12</definedName>
    <definedName name="psizex">Расчет!$C$13</definedName>
    <definedName name="psizey">Расчет!$C$14</definedName>
    <definedName name="razr">Расчет!$G$14</definedName>
    <definedName name="rmark">Расчет!$G$13</definedName>
    <definedName name="smalldrill">Расчет!$C$22</definedName>
    <definedName name="srok">Расчет!$C$9</definedName>
    <definedName name="Sи" comment="Площадь иммерсионного золочения">Расчет!$G$18</definedName>
    <definedName name="template_check">Расчет!$C$21</definedName>
    <definedName name="template_make">Расчет!$C$20</definedName>
    <definedName name="thickness">Расчет!$G$9</definedName>
    <definedName name="А" comment="Длина заготовки">Расчет!$C$15</definedName>
    <definedName name="А1" comment="длина платы">Расчет!$C$13</definedName>
    <definedName name="БЛэк">Расчет!$G$20</definedName>
    <definedName name="В" comment="ширина заготовки">Расчет!$C$16</definedName>
    <definedName name="В1" comment="Ширина платы">Расчет!$C$14</definedName>
    <definedName name="Времена_кондуктора">'Приложение MANIA'!$H$10:$L$45</definedName>
    <definedName name="Время_констр">Расчет!$C$19</definedName>
    <definedName name="выбор_материала_табл">Текстолит!$B$3:$B$41</definedName>
    <definedName name="д1" comment="длина первого кондуктора" localSheetId="2">MANIA!$G$17</definedName>
    <definedName name="д2" comment="длина второго кондуктора" localSheetId="2">MANIA!$H$17</definedName>
    <definedName name="Дата_расчета">Расчет!$G$5</definedName>
    <definedName name="длина_заготовки">Расчет!$C$15</definedName>
    <definedName name="Длина_ламелей">Расчет!$N$17</definedName>
    <definedName name="Длина_платы">Расчет!$C$13</definedName>
    <definedName name="доп_мат_всего">'Материалы основные'!$L$88</definedName>
    <definedName name="_xlnm.Print_Titles" localSheetId="5">'Материалы основные'!$11:$11</definedName>
    <definedName name="Заказчик">Расчет!$C$4</definedName>
    <definedName name="Изготовление_сумма">Расчет!$G$89</definedName>
    <definedName name="Изготовление_ФШ">Расчет!$C$20</definedName>
    <definedName name="Изготовление_ФШ_сумма">Расчет!$G$58:$G$58</definedName>
    <definedName name="Итого_окончательное">Расчет!$G$91</definedName>
    <definedName name="Итого_сумма">Расчет!$G$90</definedName>
    <definedName name="калийдецианоауреат">'Материалы дополнительные'!$G$95</definedName>
    <definedName name="КалькуляцияТаблица">Калькуляция!$A$11:$C$18</definedName>
    <definedName name="Квг" comment="Коэффициент_выхода_годных">Расчет!$C$47</definedName>
    <definedName name="Класс_точности">Расчет!$C$10</definedName>
    <definedName name="Км" comment="Коэфф.сложности_маскирования__">Расчет!$C$48</definedName>
    <definedName name="Колво_ЖЗПМ">Расчет!$P$11</definedName>
    <definedName name="колво_ламелей">Расчет!$L$17</definedName>
    <definedName name="Колво_СЗПМ">Расчет!$P$10</definedName>
    <definedName name="Колво_ФМ">Расчет!$P$12</definedName>
    <definedName name="Количество_слоев">Расчет!$C$11</definedName>
    <definedName name="Контроль_первичный" localSheetId="4">ATG!$F$8</definedName>
    <definedName name="Коп" comment="Коэффициэнт опытного производства" localSheetId="4">ATG!$K$16</definedName>
    <definedName name="Коэф_труд_ФШ">Коэфф!$J$14:$K$17</definedName>
    <definedName name="Коэф_ты_выхода_годных">Коэфф!$G$14:$H$17</definedName>
    <definedName name="Коэфстоиостизолота">Расчет!$O$17</definedName>
    <definedName name="Коэфф_плотности_и_сложн">Расчет!$G$23</definedName>
    <definedName name="Коэффициент_серийности">Расчет!$C$44</definedName>
    <definedName name="Коэффициэнты_толщины" comment="Таблица коэффициэнтов толщины">Коэфф!$D$14:$E$18</definedName>
    <definedName name="Кср" comment="Коэффициент срочности">Расчет!$C$45</definedName>
    <definedName name="Кт" comment="Коэффициент_толщины_МПП">Расчет!$C$46</definedName>
    <definedName name="Кутр">'Нормы трудоемкости'!$G$4</definedName>
    <definedName name="Кф" comment="Коэффициэнт сложности фрезеровки">Расчет!$G$16</definedName>
    <definedName name="ламели">Расчет!$G$17</definedName>
    <definedName name="лист_мат_всего">'Материалы основные'!$L$63</definedName>
    <definedName name="Листов_материала">Расчет!$G$24</definedName>
    <definedName name="лсит_мат_всего">'Материалы основные'!$L$63</definedName>
    <definedName name="М" localSheetId="2">MANIA!$L$10</definedName>
    <definedName name="масс_мат_всего">'Материалы основные'!$L$49</definedName>
    <definedName name="Материалы_Printar">'Материалы дополнительные'!$H$53</definedName>
    <definedName name="Материалы_всего">'Материалы дополнительные'!$H$99</definedName>
    <definedName name="Материалы_ГорПОС">'Материалы дополнительные'!$H$65</definedName>
    <definedName name="Материалы_ЖМ">'Материалы дополнительные'!$H$47</definedName>
    <definedName name="Материалы_золочение">'Материалы дополнительные'!$H$97</definedName>
    <definedName name="Материалы_КМ">'Материалы дополнительные'!$H$44</definedName>
    <definedName name="Материалы_МП" comment="стоимость материалов на производство мастерплаты">'Материалы дополнительные'!$H$32</definedName>
    <definedName name="Материалы_основные">'Материалы основные'!$J$87</definedName>
    <definedName name="Материалы_ФМ">'Материалы дополнительные'!$H$50</definedName>
    <definedName name="Материалы_ФШ">'Материалы дополнительные'!$H$14</definedName>
    <definedName name="Наименование_платы">Расчет!$C$6</definedName>
    <definedName name="Накладные_расходы">Расчет!$G$48</definedName>
    <definedName name="Накопления" localSheetId="9">Калькуляция!$C$16</definedName>
    <definedName name="НаценкаПКИ">Расчет!$G$50</definedName>
    <definedName name="Номер_письма">Расчет!$C$5</definedName>
    <definedName name="_xlnm.Print_Area" localSheetId="4">ATG!$B$1:$K$33</definedName>
    <definedName name="_xlnm.Print_Area" localSheetId="2">MANIA!$B$1:$L$33</definedName>
    <definedName name="_xlnm.Print_Area" localSheetId="10">Заключение!$A$1:$K$57</definedName>
    <definedName name="_xlnm.Print_Area" localSheetId="9">Калькуляция!$A$1:$C$31</definedName>
    <definedName name="_xlnm.Print_Area" localSheetId="6">'Материалы дополнительные'!$A$1:$H$105</definedName>
    <definedName name="_xlnm.Print_Area" localSheetId="5">'Материалы основные'!$B$2:$J$89</definedName>
    <definedName name="_xlnm.Print_Area" localSheetId="7">'Нормы трудоемкости'!$A$1:$E$94</definedName>
    <definedName name="_xlnm.Print_Area" localSheetId="3">'Приложение MANIA'!$C$2:$L$52</definedName>
    <definedName name="_xlnm.Print_Area" localSheetId="0">Расчет!$A$1:$G$95</definedName>
    <definedName name="_xlnm.Print_Area" localSheetId="8">ФОТ!$B$1:$F$62</definedName>
    <definedName name="П" comment="Количество плат">Расчет!$C$7</definedName>
    <definedName name="Первичное">Расчет!$C$8</definedName>
    <definedName name="ПЗ">Расчет!$C$12</definedName>
    <definedName name="ПКИ">'Материалы дополнительные'!$H$77</definedName>
    <definedName name="Плановые_накопления">Расчет!$G$49</definedName>
    <definedName name="Плат_на_заготовке">Расчет!$C$17</definedName>
    <definedName name="Площадь_заготовок">Расчет!$C$50</definedName>
    <definedName name="Площадь_заготовок_оплачиваемая">Расчет!$C$51</definedName>
    <definedName name="Площадь_плат">Расчет!$C$49</definedName>
    <definedName name="Подготовка_сумма">Расчет!$G$64</definedName>
    <definedName name="Подготовка_ФШ">Расчет!$C$21</definedName>
    <definedName name="Рз" comment="Периметр заготовки">Расчет!$C$53</definedName>
    <definedName name="РО">'Приложение MANIA'!$E$17</definedName>
    <definedName name="Рп" comment="Периметр_платы">Расчет!$C$52</definedName>
    <definedName name="Ручная_маркировка">Расчет!$G$13</definedName>
    <definedName name="Себестоимость" localSheetId="9">Калькуляция!$C$15</definedName>
    <definedName name="Слоев_теплоотвода">Расчет!$G$8</definedName>
    <definedName name="СлоевМаски">Расчет!$G$10</definedName>
    <definedName name="Сложность_программы_эк">Расчет!$G$22</definedName>
    <definedName name="Социальный_налог">Расчет!$G$47</definedName>
    <definedName name="Срок_изготовления">Расчет!$C$9</definedName>
    <definedName name="ст_всего">'Материалы основные'!$L$70</definedName>
    <definedName name="Стеклоткань" comment="Стеклоткань__кол.слоев">Расчет!$G$7</definedName>
    <definedName name="СтоимостьМатериаловДляЗолота">'Материалы дополнительные'!$B$87:$H$96</definedName>
    <definedName name="СтоимостьМатериаловДляМаркировкиПринтар">'Материалы дополнительные'!$B$52:$H$52</definedName>
    <definedName name="СтоимостьМатериаловДляМаркировкиФМ">'Материалы дополнительные'!$B$49:$H$49</definedName>
    <definedName name="СтоимостьМатериаловДляМаскиЖМ">'Материалы дополнительные'!$B$46:$H$46</definedName>
    <definedName name="СтоимостьМатериаловДляМаскиКМ">'Материалы дополнительные'!$B$43:$H$43</definedName>
    <definedName name="СтоимостьМатериаловДляМП">'Материалы дополнительные'!$B$25:$H$31</definedName>
    <definedName name="СтоимостьМатериаловДляПОС">'Материалы дополнительные'!$B$63:$H$64</definedName>
    <definedName name="СтоимостьМатериаловДляФШ">'Материалы дополнительные'!$B$11:$H$13</definedName>
    <definedName name="СтоимостьМатериаловПКИ">'Материалы дополнительные'!$B$75:$H$76</definedName>
    <definedName name="СтоимостьОсновныхМатериалов">'Материалы основные'!$C$12:$J$48</definedName>
    <definedName name="СтоимостьОсновныхМатериалов1">'Материалы основные'!$C$53:$J$62</definedName>
    <definedName name="СтоимостьОсновныхМатериалов2">'Материалы основные'!$C$67:$J$69</definedName>
    <definedName name="СтоимостьОсновныхМатериалов3">'Материалы основные'!$C$74:$J$85</definedName>
    <definedName name="Т1" localSheetId="2">MANIA!$L$18</definedName>
    <definedName name="тип_ст_таблица">Текстолит!$I$3:$I$41</definedName>
    <definedName name="ТипМаркировки">Расчет!$P$13</definedName>
    <definedName name="ТипМаски">Расчет!$G$11</definedName>
    <definedName name="ТК" localSheetId="2">MANIA!$L$16</definedName>
    <definedName name="ТО" comment="Основная трудоемкость" localSheetId="2">MANIA!$L$17</definedName>
    <definedName name="То">'Нормы трудоемкости'!$F$53</definedName>
    <definedName name="Толщина_платы">Расчет!$G$9</definedName>
    <definedName name="Точек_Электроконтроля">Расчет!$G$21</definedName>
    <definedName name="ТП">MANIA!$L$12</definedName>
    <definedName name="Трпп" comment="Время контроля первичного" localSheetId="4">ATG!$K$20</definedName>
    <definedName name="Тррп" comment="Сложность создания программы 0...3" localSheetId="4">ATG!$K$19</definedName>
    <definedName name="Трртп">ATG!#REF!</definedName>
    <definedName name="Трсп" comment="Время вторичного контроля" localSheetId="4">ATG!$K$21</definedName>
    <definedName name="Трудоемкости">'Нормы трудоемкости'!$B$8:$F$52</definedName>
    <definedName name="Трудоемкость_олово">'Нормы трудоемкости'!$F$57</definedName>
    <definedName name="Трудоемкость_сверления">'Нормы трудоемкости'!$F$56</definedName>
    <definedName name="ТрудоемкостьДополнительныхОпераций">ФОТ!$C$49:$F$57</definedName>
    <definedName name="ТрудоемкостьОсновныхМатериалов">ФОТ!$C$14:$F$46</definedName>
    <definedName name="ТрудоемкостьПодготовкиПроизводства">ФОТ!$C$8:$F$11</definedName>
    <definedName name="труёмзол1пл">Расчет!$P$17</definedName>
    <definedName name="Тсл">'Нормы трудоемкости'!$F$62</definedName>
    <definedName name="Тф1">'Нормы трудоемкости'!$F$60</definedName>
    <definedName name="Тф1пл">'Нормы трудоемкости'!$G$60</definedName>
    <definedName name="тФ2">'Нормы трудоемкости'!$F$61</definedName>
    <definedName name="Тф2пл">'Нормы трудоемкости'!$G$61</definedName>
    <definedName name="ФОТ">ФОТ!$F$60</definedName>
    <definedName name="ФОТнч" comment="Цена нормочаса ФОТ">Расчет!$G$46</definedName>
    <definedName name="ФПК" comment="Фрезеровка по контуру">Расчет!$G$15</definedName>
    <definedName name="Ц01" comment="цена оргстекла">'Приложение MANIA'!$L$49</definedName>
    <definedName name="Ц02" comment="Цена оргстекла 4 мм">'Приложение MANIA'!$L$50</definedName>
    <definedName name="Цена" localSheetId="9">Калькуляция!$C$17</definedName>
    <definedName name="Цена_вусего_без_НДС">Расчет!$G$90</definedName>
    <definedName name="Цена_одной_без_НДС">Расчет!$G$93</definedName>
    <definedName name="Цена_орг_стекла_2мм">'Приложение MANIA'!$I$49</definedName>
    <definedName name="Цена_орг_стекла_4мм">'Приложение MANIA'!$I$50</definedName>
    <definedName name="Цена_твердосплавного_сверла">'Приложение MANIA'!$I$51</definedName>
    <definedName name="Цнч" comment="Цена нормочаса">Расчет!$G$51</definedName>
    <definedName name="Цс" comment="Цена сверла твердосплавного">'Приложение MANIA'!$L$51</definedName>
    <definedName name="Цэкатг" comment="Цена электроконтроля на ATG">ATG!$M$31</definedName>
    <definedName name="Цэкман" comment="Цена электроконтроля на MANIA">MANIA!$M$31</definedName>
    <definedName name="Чо1" comment="отверстий меньше 0.6">Расчет!$C$22</definedName>
    <definedName name="Чо2" comment="Отверстий больше 0.6">Расчет!$C$23</definedName>
    <definedName name="ш1" comment="ширина первого кондуктора">MANIA!$G$18</definedName>
    <definedName name="ш2" comment="ширина второго кондуктора" localSheetId="2">MANIA!$H$18</definedName>
    <definedName name="ширина_заготовки">Расчет!$C$16</definedName>
    <definedName name="Ширина_ламелей">Расчет!$M$17</definedName>
    <definedName name="ширина_платы">Расчет!$C$14</definedName>
    <definedName name="Электроконтроль">Расчет!$G$19</definedName>
  </definedNames>
  <calcPr calcId="145621"/>
</workbook>
</file>

<file path=xl/calcChain.xml><?xml version="1.0" encoding="utf-8"?>
<calcChain xmlns="http://schemas.openxmlformats.org/spreadsheetml/2006/main">
  <c r="G23" i="12" l="1"/>
  <c r="D23" i="12"/>
  <c r="K23" i="12" s="1"/>
  <c r="C23" i="12"/>
  <c r="J23" i="12" s="1"/>
  <c r="B5" i="8" l="1"/>
  <c r="G8" i="12" l="1"/>
  <c r="D8" i="12"/>
  <c r="K8" i="12" s="1"/>
  <c r="C8" i="12"/>
  <c r="J8" i="12" s="1"/>
  <c r="B4" i="6" l="1"/>
  <c r="G76" i="10"/>
  <c r="B76" i="10"/>
  <c r="F76" i="10" s="1"/>
  <c r="G75" i="10"/>
  <c r="B75" i="10"/>
  <c r="F75" i="10" s="1"/>
  <c r="G51" i="1"/>
  <c r="G61" i="7" s="1"/>
  <c r="G41" i="12"/>
  <c r="D41" i="12"/>
  <c r="C41" i="12"/>
  <c r="G40" i="12"/>
  <c r="D40" i="12"/>
  <c r="C40" i="12"/>
  <c r="G39" i="12"/>
  <c r="D39" i="12"/>
  <c r="C39" i="12"/>
  <c r="G38" i="12"/>
  <c r="D38" i="12"/>
  <c r="C38" i="12"/>
  <c r="G37" i="12"/>
  <c r="D37" i="12"/>
  <c r="K37" i="12" s="1"/>
  <c r="C37" i="12"/>
  <c r="J37" i="12" s="1"/>
  <c r="G36" i="12"/>
  <c r="D36" i="12"/>
  <c r="K36" i="12" s="1"/>
  <c r="C36" i="12"/>
  <c r="J36" i="12" s="1"/>
  <c r="G35" i="12"/>
  <c r="D35" i="12"/>
  <c r="C35" i="12"/>
  <c r="G34" i="12"/>
  <c r="D34" i="12"/>
  <c r="C34" i="12"/>
  <c r="G33" i="12"/>
  <c r="D33" i="12"/>
  <c r="K33" i="12" s="1"/>
  <c r="C33" i="12"/>
  <c r="G32" i="12"/>
  <c r="D32" i="12"/>
  <c r="C32" i="12"/>
  <c r="J32" i="12" s="1"/>
  <c r="G31" i="12"/>
  <c r="D31" i="12"/>
  <c r="C31" i="12"/>
  <c r="J31" i="12" s="1"/>
  <c r="G30" i="12"/>
  <c r="D30" i="12"/>
  <c r="C30" i="12"/>
  <c r="J30" i="12" s="1"/>
  <c r="G29" i="12"/>
  <c r="D29" i="12"/>
  <c r="K29" i="12" s="1"/>
  <c r="C29" i="12"/>
  <c r="G28" i="12"/>
  <c r="D28" i="12"/>
  <c r="K28" i="12" s="1"/>
  <c r="C28" i="12"/>
  <c r="J28" i="12" s="1"/>
  <c r="G27" i="12"/>
  <c r="D27" i="12"/>
  <c r="C27" i="12"/>
  <c r="G26" i="12"/>
  <c r="D26" i="12"/>
  <c r="C26" i="12"/>
  <c r="G25" i="12"/>
  <c r="D25" i="12"/>
  <c r="K25" i="12" s="1"/>
  <c r="C25" i="12"/>
  <c r="J25" i="12" s="1"/>
  <c r="B96" i="10"/>
  <c r="B95" i="10"/>
  <c r="B94" i="10"/>
  <c r="B93" i="10"/>
  <c r="B92" i="10"/>
  <c r="B91" i="10"/>
  <c r="B90" i="10"/>
  <c r="B89" i="10"/>
  <c r="B88" i="10"/>
  <c r="B87" i="10"/>
  <c r="B64" i="10"/>
  <c r="B63" i="10"/>
  <c r="B52" i="10"/>
  <c r="B49" i="10"/>
  <c r="B46" i="10"/>
  <c r="B43" i="10"/>
  <c r="B31" i="10"/>
  <c r="B30" i="10"/>
  <c r="B29" i="10"/>
  <c r="B28" i="10"/>
  <c r="B26" i="10"/>
  <c r="B25" i="10"/>
  <c r="B13" i="10"/>
  <c r="B12" i="10"/>
  <c r="B11" i="10"/>
  <c r="C85" i="6"/>
  <c r="C84" i="6"/>
  <c r="C83" i="6"/>
  <c r="C82" i="6"/>
  <c r="C81" i="6"/>
  <c r="C80" i="6"/>
  <c r="C79" i="6"/>
  <c r="C78" i="6"/>
  <c r="C77" i="6"/>
  <c r="C76" i="6"/>
  <c r="C75" i="6"/>
  <c r="C74" i="6"/>
  <c r="C69" i="6"/>
  <c r="C67" i="6"/>
  <c r="C62" i="6"/>
  <c r="C61" i="6"/>
  <c r="C60" i="6"/>
  <c r="C56" i="6"/>
  <c r="C54" i="6"/>
  <c r="C53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E31" i="10"/>
  <c r="E30" i="10"/>
  <c r="E29" i="10"/>
  <c r="E13" i="10"/>
  <c r="E12" i="10"/>
  <c r="E11" i="10"/>
  <c r="E28" i="10"/>
  <c r="F12" i="7"/>
  <c r="F10" i="7"/>
  <c r="F11" i="7"/>
  <c r="E60" i="1" s="1"/>
  <c r="G60" i="1" s="1"/>
  <c r="E91" i="7"/>
  <c r="D91" i="7"/>
  <c r="C91" i="7"/>
  <c r="E83" i="7"/>
  <c r="E82" i="7"/>
  <c r="E81" i="7"/>
  <c r="D83" i="7"/>
  <c r="D82" i="7"/>
  <c r="D81" i="7"/>
  <c r="C83" i="7"/>
  <c r="C82" i="7"/>
  <c r="C81" i="7"/>
  <c r="G71" i="1"/>
  <c r="K40" i="12"/>
  <c r="J40" i="12"/>
  <c r="I85" i="6"/>
  <c r="I84" i="6"/>
  <c r="I83" i="6"/>
  <c r="I82" i="6"/>
  <c r="I81" i="6"/>
  <c r="I80" i="6"/>
  <c r="I79" i="6"/>
  <c r="I78" i="6"/>
  <c r="I77" i="6"/>
  <c r="I76" i="6"/>
  <c r="I75" i="6"/>
  <c r="F74" i="7"/>
  <c r="C65" i="7"/>
  <c r="F65" i="7" s="1"/>
  <c r="C64" i="7"/>
  <c r="D65" i="7"/>
  <c r="D64" i="7"/>
  <c r="E65" i="7"/>
  <c r="E64" i="7"/>
  <c r="D25" i="10"/>
  <c r="E25" i="10" s="1"/>
  <c r="D26" i="10"/>
  <c r="E26" i="10" s="1"/>
  <c r="G26" i="10"/>
  <c r="D27" i="10"/>
  <c r="E27" i="10" s="1"/>
  <c r="F55" i="6"/>
  <c r="F53" i="6"/>
  <c r="C27" i="10"/>
  <c r="B27" i="10" s="1"/>
  <c r="F54" i="6"/>
  <c r="D55" i="6"/>
  <c r="C55" i="6" s="1"/>
  <c r="I54" i="6"/>
  <c r="G21" i="12"/>
  <c r="D21" i="12"/>
  <c r="K21" i="12" s="1"/>
  <c r="C21" i="12"/>
  <c r="J21" i="12" s="1"/>
  <c r="G24" i="12"/>
  <c r="G22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7" i="12"/>
  <c r="G6" i="12"/>
  <c r="G5" i="12"/>
  <c r="G4" i="12"/>
  <c r="G96" i="10"/>
  <c r="G95" i="10"/>
  <c r="O17" i="1" s="1"/>
  <c r="G94" i="10"/>
  <c r="G93" i="10"/>
  <c r="G92" i="10"/>
  <c r="G91" i="10"/>
  <c r="G90" i="10"/>
  <c r="G89" i="10"/>
  <c r="G88" i="10"/>
  <c r="G87" i="10"/>
  <c r="G64" i="10"/>
  <c r="G63" i="10"/>
  <c r="G52" i="10"/>
  <c r="G49" i="10"/>
  <c r="G46" i="10"/>
  <c r="G43" i="10"/>
  <c r="G31" i="10"/>
  <c r="H31" i="10" s="1"/>
  <c r="G30" i="10"/>
  <c r="H30" i="10" s="1"/>
  <c r="G29" i="10"/>
  <c r="G28" i="10"/>
  <c r="H28" i="10" s="1"/>
  <c r="G27" i="10"/>
  <c r="G25" i="10"/>
  <c r="G13" i="10"/>
  <c r="G12" i="10"/>
  <c r="H12" i="10" s="1"/>
  <c r="G11" i="10"/>
  <c r="H11" i="10" s="1"/>
  <c r="I74" i="6"/>
  <c r="I69" i="6"/>
  <c r="I68" i="6"/>
  <c r="I67" i="6"/>
  <c r="I62" i="6"/>
  <c r="I61" i="6"/>
  <c r="I60" i="6"/>
  <c r="I56" i="6"/>
  <c r="I53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C48" i="1"/>
  <c r="K64" i="1"/>
  <c r="K41" i="12"/>
  <c r="J41" i="12"/>
  <c r="K39" i="12"/>
  <c r="J39" i="12"/>
  <c r="K38" i="12"/>
  <c r="J38" i="12"/>
  <c r="K35" i="12"/>
  <c r="J35" i="12"/>
  <c r="K34" i="12"/>
  <c r="J34" i="12"/>
  <c r="J33" i="12"/>
  <c r="K32" i="12"/>
  <c r="K31" i="12"/>
  <c r="K30" i="12"/>
  <c r="J29" i="12"/>
  <c r="K27" i="12"/>
  <c r="J27" i="12"/>
  <c r="K26" i="12"/>
  <c r="J26" i="12"/>
  <c r="D24" i="12"/>
  <c r="K24" i="12" s="1"/>
  <c r="C24" i="12"/>
  <c r="J24" i="12" s="1"/>
  <c r="D22" i="12"/>
  <c r="K22" i="12" s="1"/>
  <c r="C22" i="12"/>
  <c r="J22" i="12" s="1"/>
  <c r="D20" i="12"/>
  <c r="K20" i="12" s="1"/>
  <c r="C20" i="12"/>
  <c r="J20" i="12" s="1"/>
  <c r="D19" i="12"/>
  <c r="K19" i="12" s="1"/>
  <c r="C19" i="12"/>
  <c r="J19" i="12" s="1"/>
  <c r="D18" i="12"/>
  <c r="K18" i="12" s="1"/>
  <c r="C18" i="12"/>
  <c r="J18" i="12" s="1"/>
  <c r="D17" i="12"/>
  <c r="K17" i="12" s="1"/>
  <c r="C17" i="12"/>
  <c r="J17" i="12" s="1"/>
  <c r="D16" i="12"/>
  <c r="K16" i="12" s="1"/>
  <c r="C16" i="12"/>
  <c r="J16" i="12" s="1"/>
  <c r="D15" i="12"/>
  <c r="K15" i="12" s="1"/>
  <c r="C15" i="12"/>
  <c r="J15" i="12" s="1"/>
  <c r="D14" i="12"/>
  <c r="K14" i="12" s="1"/>
  <c r="C14" i="12"/>
  <c r="J14" i="12" s="1"/>
  <c r="D13" i="12"/>
  <c r="K13" i="12" s="1"/>
  <c r="C13" i="12"/>
  <c r="J13" i="12" s="1"/>
  <c r="D12" i="12"/>
  <c r="K12" i="12" s="1"/>
  <c r="C12" i="12"/>
  <c r="J12" i="12" s="1"/>
  <c r="D11" i="12"/>
  <c r="K11" i="12" s="1"/>
  <c r="C11" i="12"/>
  <c r="J11" i="12" s="1"/>
  <c r="D10" i="12"/>
  <c r="K10" i="12" s="1"/>
  <c r="C10" i="12"/>
  <c r="J10" i="12" s="1"/>
  <c r="D9" i="12"/>
  <c r="K9" i="12" s="1"/>
  <c r="C9" i="12"/>
  <c r="J9" i="12" s="1"/>
  <c r="D7" i="12"/>
  <c r="K7" i="12" s="1"/>
  <c r="C7" i="12"/>
  <c r="J7" i="12" s="1"/>
  <c r="D6" i="12"/>
  <c r="K6" i="12" s="1"/>
  <c r="C6" i="12"/>
  <c r="J6" i="12" s="1"/>
  <c r="D5" i="12"/>
  <c r="K5" i="12" s="1"/>
  <c r="C5" i="12"/>
  <c r="J5" i="12" s="1"/>
  <c r="D4" i="12"/>
  <c r="K4" i="12" s="1"/>
  <c r="C4" i="12"/>
  <c r="J4" i="12" s="1"/>
  <c r="D3" i="12"/>
  <c r="K3" i="12" s="1"/>
  <c r="C3" i="12"/>
  <c r="J3" i="12" s="1"/>
  <c r="B16" i="5"/>
  <c r="E62" i="7"/>
  <c r="D62" i="7"/>
  <c r="C62" i="7"/>
  <c r="F62" i="7"/>
  <c r="E73" i="1" s="1"/>
  <c r="F56" i="7"/>
  <c r="E70" i="1" s="1"/>
  <c r="H58" i="7"/>
  <c r="H57" i="7"/>
  <c r="H56" i="7"/>
  <c r="D18" i="7"/>
  <c r="C18" i="7"/>
  <c r="F18" i="7" s="1"/>
  <c r="D17" i="7"/>
  <c r="C17" i="7"/>
  <c r="D16" i="7"/>
  <c r="C16" i="7"/>
  <c r="F16" i="7" s="1"/>
  <c r="D15" i="7"/>
  <c r="C15" i="7"/>
  <c r="E14" i="7"/>
  <c r="D14" i="7"/>
  <c r="C14" i="7"/>
  <c r="F14" i="7" s="1"/>
  <c r="E13" i="7"/>
  <c r="F13" i="7"/>
  <c r="E63" i="1" s="1"/>
  <c r="G63" i="1" s="1"/>
  <c r="H63" i="1" s="1"/>
  <c r="D13" i="7"/>
  <c r="C13" i="7"/>
  <c r="C57" i="7"/>
  <c r="D57" i="7"/>
  <c r="E57" i="7"/>
  <c r="F58" i="7"/>
  <c r="C68" i="7"/>
  <c r="D68" i="7"/>
  <c r="E68" i="7"/>
  <c r="C75" i="7"/>
  <c r="F75" i="7" s="1"/>
  <c r="E85" i="1" s="1"/>
  <c r="D75" i="7"/>
  <c r="E75" i="7"/>
  <c r="C77" i="7"/>
  <c r="D77" i="7"/>
  <c r="E77" i="7"/>
  <c r="C78" i="7"/>
  <c r="D78" i="7"/>
  <c r="E78" i="7"/>
  <c r="C79" i="7"/>
  <c r="D79" i="7"/>
  <c r="E79" i="7"/>
  <c r="C80" i="7"/>
  <c r="F80" i="7" s="1"/>
  <c r="D80" i="7"/>
  <c r="E80" i="7"/>
  <c r="C84" i="7"/>
  <c r="D84" i="7"/>
  <c r="E84" i="7"/>
  <c r="C85" i="7"/>
  <c r="G85" i="7" s="1"/>
  <c r="D85" i="7"/>
  <c r="E85" i="7"/>
  <c r="C86" i="7"/>
  <c r="D86" i="7"/>
  <c r="E86" i="7"/>
  <c r="C88" i="7"/>
  <c r="G88" i="7" s="1"/>
  <c r="F88" i="7" s="1"/>
  <c r="D88" i="7"/>
  <c r="E88" i="7"/>
  <c r="C89" i="7"/>
  <c r="D89" i="7"/>
  <c r="E89" i="7"/>
  <c r="C90" i="7"/>
  <c r="G90" i="7" s="1"/>
  <c r="D90" i="7"/>
  <c r="E90" i="7"/>
  <c r="C92" i="7"/>
  <c r="D92" i="7"/>
  <c r="E92" i="7"/>
  <c r="C93" i="7"/>
  <c r="G93" i="7" s="1"/>
  <c r="D93" i="7"/>
  <c r="E93" i="7"/>
  <c r="C94" i="7"/>
  <c r="G94" i="7" s="1"/>
  <c r="D94" i="7"/>
  <c r="E94" i="7"/>
  <c r="C20" i="7"/>
  <c r="D20" i="7"/>
  <c r="E20" i="7"/>
  <c r="C21" i="7"/>
  <c r="D21" i="7"/>
  <c r="E21" i="7"/>
  <c r="C22" i="7"/>
  <c r="D22" i="7"/>
  <c r="D53" i="7" s="1"/>
  <c r="E22" i="7"/>
  <c r="C23" i="7"/>
  <c r="D23" i="7"/>
  <c r="E23" i="7"/>
  <c r="C24" i="7"/>
  <c r="D24" i="7"/>
  <c r="E24" i="7"/>
  <c r="C25" i="7"/>
  <c r="D25" i="7"/>
  <c r="E25" i="7"/>
  <c r="C26" i="7"/>
  <c r="D26" i="7"/>
  <c r="E26" i="7"/>
  <c r="C27" i="7"/>
  <c r="D27" i="7"/>
  <c r="E27" i="7"/>
  <c r="C28" i="7"/>
  <c r="D28" i="7"/>
  <c r="E28" i="7"/>
  <c r="C29" i="7"/>
  <c r="D29" i="7"/>
  <c r="E29" i="7"/>
  <c r="C30" i="7"/>
  <c r="D30" i="7"/>
  <c r="E30" i="7"/>
  <c r="C31" i="7"/>
  <c r="D31" i="7"/>
  <c r="E31" i="7"/>
  <c r="C32" i="7"/>
  <c r="D32" i="7"/>
  <c r="E32" i="7"/>
  <c r="C33" i="7"/>
  <c r="F33" i="7" s="1"/>
  <c r="D33" i="7"/>
  <c r="E33" i="7"/>
  <c r="C34" i="7"/>
  <c r="F34" i="7" s="1"/>
  <c r="D34" i="7"/>
  <c r="E34" i="7"/>
  <c r="C35" i="7"/>
  <c r="D35" i="7"/>
  <c r="E35" i="7"/>
  <c r="D36" i="7"/>
  <c r="E36" i="7"/>
  <c r="C37" i="7"/>
  <c r="D37" i="7"/>
  <c r="E37" i="7"/>
  <c r="C38" i="7"/>
  <c r="D38" i="7"/>
  <c r="E38" i="7"/>
  <c r="C39" i="7"/>
  <c r="D39" i="7"/>
  <c r="E39" i="7"/>
  <c r="C40" i="7"/>
  <c r="D40" i="7"/>
  <c r="E40" i="7"/>
  <c r="C41" i="7"/>
  <c r="D41" i="7"/>
  <c r="E41" i="7"/>
  <c r="C42" i="7"/>
  <c r="D42" i="7"/>
  <c r="E42" i="7"/>
  <c r="C43" i="7"/>
  <c r="D43" i="7"/>
  <c r="E43" i="7"/>
  <c r="C44" i="7"/>
  <c r="F44" i="7" s="1"/>
  <c r="D44" i="7"/>
  <c r="E44" i="7"/>
  <c r="C45" i="7"/>
  <c r="D45" i="7"/>
  <c r="E45" i="7"/>
  <c r="C46" i="7"/>
  <c r="D46" i="7"/>
  <c r="E46" i="7"/>
  <c r="C47" i="7"/>
  <c r="F47" i="7" s="1"/>
  <c r="D47" i="7"/>
  <c r="E47" i="7"/>
  <c r="C48" i="7"/>
  <c r="D48" i="7"/>
  <c r="E48" i="7"/>
  <c r="C49" i="7"/>
  <c r="F49" i="7" s="1"/>
  <c r="D49" i="7"/>
  <c r="E49" i="7"/>
  <c r="C50" i="7"/>
  <c r="F50" i="7" s="1"/>
  <c r="D50" i="7"/>
  <c r="E50" i="7"/>
  <c r="C51" i="7"/>
  <c r="D51" i="7"/>
  <c r="E51" i="7"/>
  <c r="C52" i="7"/>
  <c r="F52" i="7" s="1"/>
  <c r="D52" i="7"/>
  <c r="E52" i="7"/>
  <c r="F45" i="7"/>
  <c r="E15" i="7"/>
  <c r="E16" i="7"/>
  <c r="E17" i="7"/>
  <c r="E18" i="7"/>
  <c r="G92" i="7"/>
  <c r="F92" i="7" s="1"/>
  <c r="F91" i="7"/>
  <c r="G89" i="7"/>
  <c r="G86" i="7"/>
  <c r="G84" i="7"/>
  <c r="F84" i="7" s="1"/>
  <c r="G83" i="7"/>
  <c r="G82" i="7"/>
  <c r="G81" i="7"/>
  <c r="F81" i="7" s="1"/>
  <c r="G79" i="7"/>
  <c r="G78" i="7"/>
  <c r="H77" i="7"/>
  <c r="G77" i="7"/>
  <c r="F77" i="7" s="1"/>
  <c r="F73" i="7"/>
  <c r="F71" i="7"/>
  <c r="F70" i="7"/>
  <c r="F68" i="7"/>
  <c r="E80" i="1" s="1"/>
  <c r="G80" i="1" s="1"/>
  <c r="F67" i="7"/>
  <c r="F66" i="7"/>
  <c r="F64" i="7"/>
  <c r="F57" i="7"/>
  <c r="E83" i="1" s="1"/>
  <c r="F51" i="7"/>
  <c r="F48" i="7"/>
  <c r="F46" i="7"/>
  <c r="F43" i="7"/>
  <c r="F42" i="7"/>
  <c r="F41" i="7"/>
  <c r="F39" i="7"/>
  <c r="F38" i="7"/>
  <c r="F37" i="7"/>
  <c r="F35" i="7"/>
  <c r="F32" i="7"/>
  <c r="F17" i="7"/>
  <c r="F15" i="7"/>
  <c r="F9" i="7"/>
  <c r="E58" i="1" s="1"/>
  <c r="G58" i="1" s="1"/>
  <c r="H58" i="1" s="1"/>
  <c r="O71" i="6"/>
  <c r="O70" i="6"/>
  <c r="O69" i="6"/>
  <c r="O72" i="6"/>
  <c r="G24" i="1"/>
  <c r="A40" i="11"/>
  <c r="A49" i="11"/>
  <c r="P11" i="1"/>
  <c r="P13" i="1"/>
  <c r="C18" i="1"/>
  <c r="E76" i="10" s="1"/>
  <c r="P12" i="1"/>
  <c r="P10" i="1"/>
  <c r="K17" i="1"/>
  <c r="I17" i="1"/>
  <c r="J17" i="1"/>
  <c r="L17" i="1" s="1"/>
  <c r="G86" i="1" s="1"/>
  <c r="H79" i="1"/>
  <c r="C16" i="9"/>
  <c r="C14" i="9"/>
  <c r="C12" i="9"/>
  <c r="A5" i="5"/>
  <c r="F9" i="4"/>
  <c r="F7" i="4"/>
  <c r="J26" i="10"/>
  <c r="K26" i="10"/>
  <c r="B5" i="6"/>
  <c r="B12" i="5"/>
  <c r="B13" i="5"/>
  <c r="E11" i="9"/>
  <c r="E14" i="9" s="1"/>
  <c r="E8" i="8"/>
  <c r="B3" i="8"/>
  <c r="L12" i="3"/>
  <c r="M30" i="3"/>
  <c r="L15" i="3"/>
  <c r="L14" i="3"/>
  <c r="L16" i="3" s="1"/>
  <c r="A6" i="5"/>
  <c r="C47" i="1"/>
  <c r="E29" i="12" s="1"/>
  <c r="H29" i="12" s="1"/>
  <c r="C46" i="1"/>
  <c r="F40" i="7" s="1"/>
  <c r="B60" i="1"/>
  <c r="L17" i="3"/>
  <c r="G6" i="3"/>
  <c r="L9" i="3"/>
  <c r="L8" i="3"/>
  <c r="G7" i="3"/>
  <c r="G9" i="3" s="1"/>
  <c r="L18" i="3" s="1"/>
  <c r="G10" i="3"/>
  <c r="F8" i="4"/>
  <c r="F11" i="4"/>
  <c r="L28" i="4" s="1"/>
  <c r="F10" i="4"/>
  <c r="K19" i="4" s="1"/>
  <c r="F6" i="4"/>
  <c r="K17" i="4" s="1"/>
  <c r="F5" i="4"/>
  <c r="L51" i="9"/>
  <c r="L50" i="9"/>
  <c r="L49" i="9"/>
  <c r="A14" i="11"/>
  <c r="E52" i="11"/>
  <c r="C52" i="11"/>
  <c r="A30" i="11"/>
  <c r="A20" i="11"/>
  <c r="A29" i="11"/>
  <c r="A21" i="11"/>
  <c r="I9" i="11"/>
  <c r="L14" i="11" s="1"/>
  <c r="M14" i="11" s="1"/>
  <c r="A16" i="11" s="1"/>
  <c r="B58" i="1"/>
  <c r="E57" i="1"/>
  <c r="C45" i="1"/>
  <c r="C53" i="1"/>
  <c r="C52" i="1"/>
  <c r="C49" i="1"/>
  <c r="M31" i="3"/>
  <c r="L31" i="3"/>
  <c r="C50" i="1"/>
  <c r="K20" i="4"/>
  <c r="C44" i="1"/>
  <c r="H29" i="10"/>
  <c r="F8" i="8"/>
  <c r="A37" i="11"/>
  <c r="E95" i="10"/>
  <c r="M17" i="1"/>
  <c r="N17" i="1"/>
  <c r="K15" i="4"/>
  <c r="G57" i="1"/>
  <c r="H57" i="1" s="1"/>
  <c r="I8" i="8"/>
  <c r="H74" i="1"/>
  <c r="P17" i="1"/>
  <c r="H13" i="10"/>
  <c r="F26" i="7"/>
  <c r="F20" i="7"/>
  <c r="F23" i="7"/>
  <c r="F27" i="7"/>
  <c r="F30" i="7"/>
  <c r="F24" i="7"/>
  <c r="F28" i="7"/>
  <c r="F31" i="7"/>
  <c r="H26" i="10"/>
  <c r="L26" i="4"/>
  <c r="I48" i="1"/>
  <c r="H71" i="1"/>
  <c r="G84" i="6"/>
  <c r="J84" i="6" s="1"/>
  <c r="F21" i="7"/>
  <c r="F29" i="7"/>
  <c r="F22" i="7"/>
  <c r="F61" i="7"/>
  <c r="E72" i="1"/>
  <c r="G72" i="1" s="1"/>
  <c r="H25" i="10" l="1"/>
  <c r="L7" i="3"/>
  <c r="E23" i="12"/>
  <c r="H23" i="12" s="1"/>
  <c r="G85" i="6"/>
  <c r="J85" i="6" s="1"/>
  <c r="G81" i="6"/>
  <c r="J81" i="6" s="1"/>
  <c r="E35" i="12"/>
  <c r="H35" i="12" s="1"/>
  <c r="E49" i="10"/>
  <c r="H49" i="10" s="1"/>
  <c r="H50" i="10" s="1"/>
  <c r="G21" i="6"/>
  <c r="G60" i="7"/>
  <c r="E71" i="1" s="1"/>
  <c r="K42" i="12"/>
  <c r="D59" i="6" s="1"/>
  <c r="I59" i="6" s="1"/>
  <c r="E28" i="12"/>
  <c r="H28" i="12" s="1"/>
  <c r="D42" i="12"/>
  <c r="F57" i="6" s="1"/>
  <c r="F59" i="6" s="1"/>
  <c r="G59" i="6" s="1"/>
  <c r="J42" i="12"/>
  <c r="D58" i="6" s="1"/>
  <c r="I58" i="6" s="1"/>
  <c r="C42" i="12"/>
  <c r="E57" i="6" s="1"/>
  <c r="E58" i="6" s="1"/>
  <c r="G58" i="6" s="1"/>
  <c r="G27" i="6"/>
  <c r="E8" i="12"/>
  <c r="H8" i="12" s="1"/>
  <c r="G23" i="6"/>
  <c r="J23" i="6" s="1"/>
  <c r="C51" i="1"/>
  <c r="E25" i="8" s="1"/>
  <c r="F25" i="8" s="1"/>
  <c r="H76" i="10"/>
  <c r="E75" i="10"/>
  <c r="H75" i="10" s="1"/>
  <c r="E39" i="12"/>
  <c r="H39" i="12" s="1"/>
  <c r="G79" i="6"/>
  <c r="J79" i="6" s="1"/>
  <c r="J21" i="6"/>
  <c r="H95" i="10"/>
  <c r="E26" i="8"/>
  <c r="F26" i="8" s="1"/>
  <c r="C59" i="6"/>
  <c r="H72" i="1"/>
  <c r="E50" i="8"/>
  <c r="F50" i="8" s="1"/>
  <c r="E18" i="12"/>
  <c r="H18" i="12" s="1"/>
  <c r="G47" i="6"/>
  <c r="E90" i="10"/>
  <c r="H90" i="10" s="1"/>
  <c r="E38" i="12"/>
  <c r="H38" i="12" s="1"/>
  <c r="E25" i="12"/>
  <c r="H25" i="12" s="1"/>
  <c r="E32" i="12"/>
  <c r="H32" i="12" s="1"/>
  <c r="G34" i="6"/>
  <c r="G67" i="6"/>
  <c r="J67" i="6" s="1"/>
  <c r="G22" i="6"/>
  <c r="G25" i="6"/>
  <c r="J25" i="6" s="1"/>
  <c r="G85" i="1"/>
  <c r="F60" i="7"/>
  <c r="G76" i="6"/>
  <c r="J76" i="6" s="1"/>
  <c r="E15" i="12"/>
  <c r="H15" i="12" s="1"/>
  <c r="G53" i="6"/>
  <c r="J53" i="6" s="1"/>
  <c r="G55" i="6"/>
  <c r="E91" i="10"/>
  <c r="H91" i="10" s="1"/>
  <c r="E93" i="10"/>
  <c r="H93" i="10" s="1"/>
  <c r="E94" i="10"/>
  <c r="H94" i="10" s="1"/>
  <c r="G28" i="6"/>
  <c r="J28" i="6" s="1"/>
  <c r="E87" i="10"/>
  <c r="H87" i="10" s="1"/>
  <c r="G33" i="6"/>
  <c r="G18" i="6"/>
  <c r="J18" i="6" s="1"/>
  <c r="G68" i="6"/>
  <c r="J68" i="6" s="1"/>
  <c r="E20" i="12"/>
  <c r="H20" i="12" s="1"/>
  <c r="E13" i="12"/>
  <c r="H13" i="12" s="1"/>
  <c r="E89" i="10"/>
  <c r="H89" i="10" s="1"/>
  <c r="G44" i="6"/>
  <c r="J44" i="6" s="1"/>
  <c r="E92" i="10"/>
  <c r="H92" i="10" s="1"/>
  <c r="G29" i="6"/>
  <c r="G40" i="6"/>
  <c r="J40" i="6" s="1"/>
  <c r="G38" i="6"/>
  <c r="G60" i="6"/>
  <c r="J60" i="6" s="1"/>
  <c r="G41" i="6"/>
  <c r="G36" i="6"/>
  <c r="J36" i="6" s="1"/>
  <c r="G61" i="6"/>
  <c r="G15" i="6"/>
  <c r="G24" i="6"/>
  <c r="G74" i="6"/>
  <c r="J74" i="6" s="1"/>
  <c r="G62" i="6"/>
  <c r="J62" i="6" s="1"/>
  <c r="E19" i="12"/>
  <c r="H19" i="12" s="1"/>
  <c r="E96" i="10"/>
  <c r="H96" i="10" s="1"/>
  <c r="E7" i="12"/>
  <c r="H7" i="12" s="1"/>
  <c r="E14" i="12"/>
  <c r="H14" i="12" s="1"/>
  <c r="E12" i="12"/>
  <c r="H12" i="12" s="1"/>
  <c r="G30" i="6"/>
  <c r="G32" i="6"/>
  <c r="G31" i="6"/>
  <c r="J31" i="6" s="1"/>
  <c r="G82" i="6"/>
  <c r="J82" i="6" s="1"/>
  <c r="G77" i="6"/>
  <c r="J77" i="6" s="1"/>
  <c r="G16" i="6"/>
  <c r="G45" i="6"/>
  <c r="G14" i="6"/>
  <c r="G37" i="6"/>
  <c r="J37" i="6" s="1"/>
  <c r="G39" i="6"/>
  <c r="J39" i="6" s="1"/>
  <c r="G13" i="6"/>
  <c r="J13" i="6" s="1"/>
  <c r="G19" i="6"/>
  <c r="J19" i="6" s="1"/>
  <c r="E11" i="12"/>
  <c r="H11" i="12" s="1"/>
  <c r="E17" i="12"/>
  <c r="H17" i="12" s="1"/>
  <c r="G69" i="6"/>
  <c r="J69" i="6" s="1"/>
  <c r="L70" i="6" s="1"/>
  <c r="E21" i="12"/>
  <c r="H21" i="12" s="1"/>
  <c r="E24" i="12"/>
  <c r="H24" i="12" s="1"/>
  <c r="G42" i="6"/>
  <c r="J42" i="6" s="1"/>
  <c r="G46" i="6"/>
  <c r="G80" i="6"/>
  <c r="J80" i="6" s="1"/>
  <c r="G54" i="6"/>
  <c r="J54" i="6" s="1"/>
  <c r="G17" i="6"/>
  <c r="J17" i="6" s="1"/>
  <c r="G48" i="6"/>
  <c r="J48" i="6" s="1"/>
  <c r="G20" i="6"/>
  <c r="J20" i="6" s="1"/>
  <c r="G35" i="6"/>
  <c r="J35" i="6" s="1"/>
  <c r="E22" i="12"/>
  <c r="H22" i="12" s="1"/>
  <c r="E6" i="12"/>
  <c r="H6" i="12" s="1"/>
  <c r="G26" i="6"/>
  <c r="E9" i="12"/>
  <c r="H9" i="12" s="1"/>
  <c r="E16" i="12"/>
  <c r="H16" i="12" s="1"/>
  <c r="G12" i="6"/>
  <c r="J12" i="6" s="1"/>
  <c r="E27" i="12"/>
  <c r="H27" i="12" s="1"/>
  <c r="E33" i="12"/>
  <c r="H33" i="12" s="1"/>
  <c r="E40" i="12"/>
  <c r="H40" i="12" s="1"/>
  <c r="E88" i="10"/>
  <c r="H88" i="10" s="1"/>
  <c r="G43" i="6"/>
  <c r="J43" i="6" s="1"/>
  <c r="E3" i="12"/>
  <c r="G78" i="6"/>
  <c r="J78" i="6" s="1"/>
  <c r="G75" i="6"/>
  <c r="J75" i="6" s="1"/>
  <c r="G83" i="6"/>
  <c r="J83" i="6" s="1"/>
  <c r="E29" i="8"/>
  <c r="F29" i="8" s="1"/>
  <c r="E35" i="8"/>
  <c r="F35" i="8" s="1"/>
  <c r="E40" i="8"/>
  <c r="F40" i="8" s="1"/>
  <c r="G83" i="1"/>
  <c r="H83" i="1" s="1"/>
  <c r="E46" i="8"/>
  <c r="F46" i="8" s="1"/>
  <c r="E38" i="8"/>
  <c r="F38" i="8" s="1"/>
  <c r="G73" i="1"/>
  <c r="E51" i="8" s="1"/>
  <c r="F51" i="8" s="1"/>
  <c r="J45" i="6"/>
  <c r="H17" i="1"/>
  <c r="E75" i="1"/>
  <c r="G75" i="1" s="1"/>
  <c r="K21" i="4"/>
  <c r="K28" i="4" s="1"/>
  <c r="G56" i="6"/>
  <c r="J56" i="6" s="1"/>
  <c r="E42" i="8"/>
  <c r="F42" i="8" s="1"/>
  <c r="E81" i="1"/>
  <c r="G81" i="1" s="1"/>
  <c r="E54" i="8" s="1"/>
  <c r="F54" i="8" s="1"/>
  <c r="E39" i="8"/>
  <c r="F39" i="8" s="1"/>
  <c r="E43" i="8"/>
  <c r="F43" i="8" s="1"/>
  <c r="E28" i="8"/>
  <c r="F28" i="8" s="1"/>
  <c r="E53" i="7"/>
  <c r="G70" i="1"/>
  <c r="H70" i="1" s="1"/>
  <c r="J14" i="6"/>
  <c r="J26" i="6"/>
  <c r="J38" i="6"/>
  <c r="J46" i="6"/>
  <c r="E31" i="12"/>
  <c r="H31" i="12" s="1"/>
  <c r="F36" i="7"/>
  <c r="E30" i="8" s="1"/>
  <c r="F30" i="8" s="1"/>
  <c r="E22" i="8"/>
  <c r="F22" i="8" s="1"/>
  <c r="E24" i="8"/>
  <c r="F24" i="8" s="1"/>
  <c r="E20" i="8"/>
  <c r="F20" i="8" s="1"/>
  <c r="L6" i="3"/>
  <c r="L10" i="3" s="1"/>
  <c r="H23" i="3" s="1"/>
  <c r="E12" i="9"/>
  <c r="E15" i="9" s="1"/>
  <c r="E16" i="9" s="1"/>
  <c r="E17" i="9" s="1"/>
  <c r="E32" i="8"/>
  <c r="F32" i="8" s="1"/>
  <c r="E36" i="8"/>
  <c r="F36" i="8" s="1"/>
  <c r="E45" i="8"/>
  <c r="F45" i="8" s="1"/>
  <c r="E44" i="8"/>
  <c r="F44" i="8" s="1"/>
  <c r="J27" i="6"/>
  <c r="E30" i="12"/>
  <c r="H30" i="12" s="1"/>
  <c r="E34" i="12"/>
  <c r="H34" i="12" s="1"/>
  <c r="E37" i="12"/>
  <c r="H37" i="12" s="1"/>
  <c r="E77" i="1"/>
  <c r="G77" i="1" s="1"/>
  <c r="H77" i="1" s="1"/>
  <c r="E41" i="8"/>
  <c r="F41" i="8" s="1"/>
  <c r="C53" i="7"/>
  <c r="J24" i="6"/>
  <c r="E41" i="12"/>
  <c r="H41" i="12" s="1"/>
  <c r="E10" i="12"/>
  <c r="H10" i="12" s="1"/>
  <c r="E5" i="12"/>
  <c r="H5" i="12" s="1"/>
  <c r="E4" i="12"/>
  <c r="H4" i="12" s="1"/>
  <c r="F25" i="7"/>
  <c r="E19" i="8" s="1"/>
  <c r="F19" i="8" s="1"/>
  <c r="E33" i="8"/>
  <c r="F33" i="8" s="1"/>
  <c r="E37" i="8"/>
  <c r="F37" i="8" s="1"/>
  <c r="J32" i="6"/>
  <c r="J29" i="6"/>
  <c r="J33" i="6"/>
  <c r="H27" i="10"/>
  <c r="H32" i="10" s="1"/>
  <c r="G62" i="1" s="1"/>
  <c r="I55" i="6"/>
  <c r="J55" i="6" s="1"/>
  <c r="E31" i="8"/>
  <c r="F31" i="8" s="1"/>
  <c r="J15" i="6"/>
  <c r="J22" i="6"/>
  <c r="J30" i="6"/>
  <c r="J34" i="6"/>
  <c r="J41" i="6"/>
  <c r="J47" i="6"/>
  <c r="H14" i="10"/>
  <c r="G59" i="1" s="1"/>
  <c r="E26" i="12"/>
  <c r="H26" i="12" s="1"/>
  <c r="E36" i="12"/>
  <c r="H36" i="12" s="1"/>
  <c r="J16" i="6"/>
  <c r="J61" i="6"/>
  <c r="E9" i="8"/>
  <c r="F9" i="8" s="1"/>
  <c r="F76" i="7"/>
  <c r="E11" i="8"/>
  <c r="I11" i="8" s="1"/>
  <c r="F87" i="7"/>
  <c r="H80" i="1"/>
  <c r="E53" i="8"/>
  <c r="F53" i="8" s="1"/>
  <c r="H60" i="1"/>
  <c r="C58" i="6" l="1"/>
  <c r="G57" i="6"/>
  <c r="H77" i="10"/>
  <c r="E18" i="8"/>
  <c r="F18" i="8" s="1"/>
  <c r="E52" i="10"/>
  <c r="H52" i="10" s="1"/>
  <c r="H53" i="10" s="1"/>
  <c r="G82" i="1" s="1"/>
  <c r="E63" i="10"/>
  <c r="H63" i="10" s="1"/>
  <c r="E64" i="10"/>
  <c r="H64" i="10" s="1"/>
  <c r="E46" i="10"/>
  <c r="H46" i="10" s="1"/>
  <c r="H47" i="10" s="1"/>
  <c r="G78" i="1" s="1"/>
  <c r="E43" i="10"/>
  <c r="H43" i="10" s="1"/>
  <c r="H44" i="10" s="1"/>
  <c r="G76" i="1" s="1"/>
  <c r="E15" i="8"/>
  <c r="F15" i="8" s="1"/>
  <c r="E34" i="8"/>
  <c r="F34" i="8" s="1"/>
  <c r="E27" i="8"/>
  <c r="F27" i="8" s="1"/>
  <c r="E16" i="8"/>
  <c r="F16" i="8" s="1"/>
  <c r="E14" i="8"/>
  <c r="F14" i="8" s="1"/>
  <c r="E17" i="8"/>
  <c r="F17" i="8" s="1"/>
  <c r="E21" i="8"/>
  <c r="F21" i="8" s="1"/>
  <c r="E23" i="8"/>
  <c r="F23" i="8" s="1"/>
  <c r="E56" i="8"/>
  <c r="F56" i="8" s="1"/>
  <c r="H81" i="1"/>
  <c r="H73" i="1"/>
  <c r="E49" i="8"/>
  <c r="F49" i="8" s="1"/>
  <c r="L49" i="6"/>
  <c r="E52" i="8"/>
  <c r="F52" i="8" s="1"/>
  <c r="F53" i="7"/>
  <c r="E69" i="1" s="1"/>
  <c r="G69" i="1" s="1"/>
  <c r="H69" i="1" s="1"/>
  <c r="H75" i="1"/>
  <c r="H97" i="10"/>
  <c r="K26" i="4"/>
  <c r="M31" i="4" s="1"/>
  <c r="J57" i="1"/>
  <c r="H26" i="3"/>
  <c r="H29" i="3"/>
  <c r="H85" i="1"/>
  <c r="E55" i="8"/>
  <c r="F55" i="8" s="1"/>
  <c r="E42" i="12"/>
  <c r="H3" i="12"/>
  <c r="H42" i="12" s="1"/>
  <c r="L88" i="6"/>
  <c r="I57" i="6"/>
  <c r="I9" i="8"/>
  <c r="F11" i="8"/>
  <c r="E61" i="1"/>
  <c r="J57" i="6" l="1"/>
  <c r="L63" i="6" s="1"/>
  <c r="J87" i="6" s="1"/>
  <c r="G68" i="1" s="1"/>
  <c r="H65" i="10"/>
  <c r="G84" i="1" s="1"/>
  <c r="F47" i="8"/>
  <c r="E47" i="8"/>
  <c r="H47" i="8" s="1"/>
  <c r="G42" i="12"/>
  <c r="J31" i="4"/>
  <c r="G87" i="1"/>
  <c r="G61" i="1"/>
  <c r="E10" i="8"/>
  <c r="J100" i="10" l="1"/>
  <c r="H99" i="10"/>
  <c r="H14" i="5" s="1"/>
  <c r="E57" i="8"/>
  <c r="H87" i="1"/>
  <c r="I68" i="1"/>
  <c r="J68" i="1"/>
  <c r="G89" i="1"/>
  <c r="E12" i="8"/>
  <c r="F10" i="8"/>
  <c r="F12" i="8" s="1"/>
  <c r="I10" i="8"/>
  <c r="I12" i="8" s="1"/>
  <c r="H61" i="1"/>
  <c r="H98" i="1" s="1"/>
  <c r="I57" i="1"/>
  <c r="G64" i="1"/>
  <c r="K100" i="10" l="1"/>
  <c r="C14" i="5"/>
  <c r="F14" i="5" s="1"/>
  <c r="G90" i="1"/>
  <c r="G91" i="1" s="1"/>
  <c r="G93" i="1" s="1"/>
  <c r="I7" i="1" s="1"/>
  <c r="F57" i="8"/>
  <c r="F58" i="8" s="1"/>
  <c r="F60" i="8" s="1"/>
  <c r="H11" i="5" s="1"/>
  <c r="E58" i="8"/>
  <c r="H58" i="8" s="1"/>
  <c r="J90" i="1"/>
  <c r="K68" i="1"/>
  <c r="K57" i="1"/>
  <c r="I90" i="1"/>
  <c r="H12" i="8"/>
  <c r="E60" i="8" l="1"/>
  <c r="H60" i="8" s="1"/>
  <c r="I52" i="11"/>
  <c r="H13" i="5"/>
  <c r="H12" i="5"/>
  <c r="I98" i="1"/>
  <c r="I99" i="1" s="1"/>
  <c r="K90" i="1"/>
  <c r="C17" i="5"/>
  <c r="C16" i="5" s="1"/>
  <c r="C15" i="5" s="1"/>
  <c r="C11" i="5" s="1"/>
  <c r="C18" i="5"/>
  <c r="G52" i="11"/>
  <c r="H15" i="5" l="1"/>
  <c r="F15" i="5" s="1"/>
  <c r="H16" i="5"/>
  <c r="F16" i="5" s="1"/>
  <c r="C13" i="5"/>
  <c r="F13" i="5" s="1"/>
  <c r="C12" i="5"/>
  <c r="F12" i="5" s="1"/>
  <c r="F11" i="5"/>
  <c r="H17" i="5" l="1"/>
  <c r="F17" i="5" s="1"/>
</calcChain>
</file>

<file path=xl/comments1.xml><?xml version="1.0" encoding="utf-8"?>
<comments xmlns="http://schemas.openxmlformats.org/spreadsheetml/2006/main">
  <authors>
    <author>Игорь Федоров</author>
  </authors>
  <commentList>
    <comment ref="G1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 (нет - 0, MANIA - 1, ATG - 2, повторный MANIA - 5, Повторный ATG-6)</t>
        </r>
      </text>
    </comment>
    <comment ref="B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Верхнее выбирает материал наружных слоев, нижнее соответствеено внутренних.</t>
        </r>
      </text>
    </comment>
    <comment ref="C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Ткст белый. Имеет значение.</t>
        </r>
      </text>
    </comment>
    <comment ref="D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Текст белый. Имеет значение!</t>
        </r>
      </text>
    </comment>
    <comment ref="B4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Материал для внутрених слоев. Если совпадает, то выбирать "нет"</t>
        </r>
      </text>
    </comment>
    <comment ref="G68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выход годных учтен на странице материалов</t>
        </r>
      </text>
    </comment>
    <comment ref="E71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меньше 15 рублей плата то 15 рублей иначе </t>
        </r>
      </text>
    </comment>
    <comment ref="E7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меньше 15 рублей плата то 15 рублей иначе </t>
        </r>
      </text>
    </comment>
  </commentList>
</comments>
</file>

<file path=xl/comments2.xml><?xml version="1.0" encoding="utf-8"?>
<comments xmlns="http://schemas.openxmlformats.org/spreadsheetml/2006/main">
  <authors>
    <author>Игорь Федоров</author>
  </authors>
  <commentList>
    <comment ref="F5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1.4 кг весит квадратный метр</t>
        </r>
      </text>
    </comment>
    <comment ref="F5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Половина прокладки на 1 заготовку и 2.16 весит квадратный метр</t>
        </r>
      </text>
    </comment>
  </commentList>
</comments>
</file>

<file path=xl/comments3.xml><?xml version="1.0" encoding="utf-8"?>
<comments xmlns="http://schemas.openxmlformats.org/spreadsheetml/2006/main">
  <authors>
    <author>Игорь Федоров</author>
  </authors>
  <commentList>
    <comment ref="E2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тут было до 29-05-2014 2 фш, с тех пор 4</t>
        </r>
      </text>
    </comment>
    <comment ref="D76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15-11-2017 Ильдар сказал фреза ходит 25м и мне велели поставить 20</t>
        </r>
      </text>
    </comment>
  </commentList>
</comments>
</file>

<file path=xl/comments4.xml><?xml version="1.0" encoding="utf-8"?>
<comments xmlns="http://schemas.openxmlformats.org/spreadsheetml/2006/main">
  <authors>
    <author>Игорь Федоров</author>
  </authors>
  <commentList>
    <comment ref="B5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 (Количество_слоев*Тслоев+Тостального)</t>
        </r>
      </text>
    </comment>
    <comment ref="C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  <comment ref="D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  <comment ref="E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</commentList>
</comments>
</file>

<file path=xl/sharedStrings.xml><?xml version="1.0" encoding="utf-8"?>
<sst xmlns="http://schemas.openxmlformats.org/spreadsheetml/2006/main" count="1037" uniqueCount="630">
  <si>
    <t>Таблица 1</t>
  </si>
  <si>
    <t>Справочные таблицы к расчету стоимости изготовления МПП</t>
  </si>
  <si>
    <t>Значение</t>
  </si>
  <si>
    <t>Таблица 3</t>
  </si>
  <si>
    <t>Таблица 4</t>
  </si>
  <si>
    <t>Таблица 5</t>
  </si>
  <si>
    <t>Заказчик</t>
  </si>
  <si>
    <t>№ заказа</t>
  </si>
  <si>
    <t>Наименование платы</t>
  </si>
  <si>
    <r>
      <t xml:space="preserve">Количество плат, </t>
    </r>
    <r>
      <rPr>
        <b/>
        <sz val="10"/>
        <rFont val="Arial Cyr"/>
        <family val="2"/>
        <charset val="204"/>
      </rPr>
      <t>П</t>
    </r>
  </si>
  <si>
    <t>Класс точности</t>
  </si>
  <si>
    <r>
      <t xml:space="preserve">Размеры платы, </t>
    </r>
    <r>
      <rPr>
        <sz val="10"/>
        <rFont val="Arial Cyr"/>
        <family val="2"/>
        <charset val="204"/>
      </rPr>
      <t>дм</t>
    </r>
    <r>
      <rPr>
        <sz val="10"/>
        <rFont val="Arial Cyr"/>
        <charset val="204"/>
      </rPr>
      <t xml:space="preserve">:              длина, </t>
    </r>
    <r>
      <rPr>
        <b/>
        <sz val="10"/>
        <rFont val="Arial Cyr"/>
        <family val="2"/>
        <charset val="204"/>
      </rPr>
      <t>А1</t>
    </r>
  </si>
  <si>
    <r>
      <t xml:space="preserve">ширина, </t>
    </r>
    <r>
      <rPr>
        <b/>
        <sz val="10"/>
        <rFont val="Arial Cyr"/>
        <family val="2"/>
        <charset val="204"/>
      </rPr>
      <t>В1</t>
    </r>
  </si>
  <si>
    <r>
      <t xml:space="preserve">ширина, </t>
    </r>
    <r>
      <rPr>
        <b/>
        <sz val="10"/>
        <rFont val="Arial Cyr"/>
        <family val="2"/>
        <charset val="204"/>
      </rPr>
      <t>В</t>
    </r>
  </si>
  <si>
    <r>
      <t xml:space="preserve">Количество заготовок, </t>
    </r>
    <r>
      <rPr>
        <b/>
        <sz val="10"/>
        <rFont val="Arial Cyr"/>
        <family val="2"/>
        <charset val="204"/>
      </rPr>
      <t>N</t>
    </r>
  </si>
  <si>
    <r>
      <t xml:space="preserve">Кол-во плат на заготовке, </t>
    </r>
    <r>
      <rPr>
        <b/>
        <sz val="10"/>
        <rFont val="Arial Cyr"/>
        <family val="2"/>
        <charset val="204"/>
      </rPr>
      <t>n</t>
    </r>
  </si>
  <si>
    <t>Время на констр.подготовку, час.</t>
  </si>
  <si>
    <r>
      <t xml:space="preserve">Количество слоев </t>
    </r>
    <r>
      <rPr>
        <b/>
        <sz val="10"/>
        <rFont val="Arial Cyr"/>
        <family val="2"/>
        <charset val="204"/>
      </rPr>
      <t>S</t>
    </r>
    <r>
      <rPr>
        <sz val="10"/>
        <rFont val="Arial Cyr"/>
        <family val="2"/>
        <charset val="204"/>
      </rPr>
      <t>, от 4 до 16</t>
    </r>
  </si>
  <si>
    <t>Кол.загот.,</t>
  </si>
  <si>
    <r>
      <t xml:space="preserve">Коэффициент срочности, </t>
    </r>
    <r>
      <rPr>
        <b/>
        <sz val="10"/>
        <rFont val="Arial Cyr"/>
        <family val="2"/>
        <charset val="204"/>
      </rPr>
      <t>Кср</t>
    </r>
  </si>
  <si>
    <t>Кол.загот.,шт.</t>
  </si>
  <si>
    <t>Срок изготовления,</t>
  </si>
  <si>
    <t>Кср</t>
  </si>
  <si>
    <t>раб. дней</t>
  </si>
  <si>
    <r>
      <t>Размеры  заготовки, дм::          длина,</t>
    </r>
    <r>
      <rPr>
        <b/>
        <sz val="10"/>
        <rFont val="Arial Cyr"/>
        <family val="2"/>
        <charset val="204"/>
      </rPr>
      <t xml:space="preserve"> А</t>
    </r>
  </si>
  <si>
    <t>Итого стоимость изготовления, руб, без НДС</t>
  </si>
  <si>
    <t>Электроконтроль</t>
  </si>
  <si>
    <t>Сумма, руб.</t>
  </si>
  <si>
    <r>
      <t xml:space="preserve">Периметр платы </t>
    </r>
    <r>
      <rPr>
        <b/>
        <sz val="10"/>
        <rFont val="Arial Cyr"/>
        <family val="2"/>
        <charset val="204"/>
      </rPr>
      <t>Рп</t>
    </r>
    <r>
      <rPr>
        <sz val="10"/>
        <rFont val="Arial Cyr"/>
        <charset val="204"/>
      </rPr>
      <t>, дм</t>
    </r>
  </si>
  <si>
    <t>Цэ*П</t>
  </si>
  <si>
    <t>ТК, час.</t>
  </si>
  <si>
    <t>час.</t>
  </si>
  <si>
    <t>Цена за 1 шт., руб., без НДС</t>
  </si>
  <si>
    <r>
      <t>Изготовление первичное-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повторное-</t>
    </r>
    <r>
      <rPr>
        <b/>
        <sz val="10"/>
        <rFont val="Arial Cyr"/>
        <family val="2"/>
        <charset val="204"/>
      </rPr>
      <t>0</t>
    </r>
  </si>
  <si>
    <r>
      <t>Срок изготовления, раб.дней (</t>
    </r>
    <r>
      <rPr>
        <b/>
        <sz val="10"/>
        <rFont val="Arial Cyr"/>
        <family val="2"/>
        <charset val="204"/>
      </rPr>
      <t>12,5...20</t>
    </r>
    <r>
      <rPr>
        <sz val="10"/>
        <rFont val="Arial Cyr"/>
        <family val="2"/>
        <charset val="204"/>
      </rPr>
      <t>)</t>
    </r>
  </si>
  <si>
    <r>
      <t xml:space="preserve">Кол-во тестируемых плат </t>
    </r>
    <r>
      <rPr>
        <b/>
        <sz val="9"/>
        <rFont val="Arial Cyr"/>
        <charset val="204"/>
      </rPr>
      <t>N</t>
    </r>
    <r>
      <rPr>
        <sz val="9"/>
        <rFont val="Arial Cyr"/>
        <charset val="204"/>
      </rPr>
      <t>, шт.</t>
    </r>
  </si>
  <si>
    <t>Лист 2</t>
  </si>
  <si>
    <r>
      <t>A</t>
    </r>
    <r>
      <rPr>
        <vertAlign val="subscript"/>
        <sz val="12"/>
        <rFont val="Times New Roman"/>
        <family val="1"/>
        <charset val="204"/>
      </rPr>
      <t>ATG</t>
    </r>
  </si>
  <si>
    <t>Коп</t>
  </si>
  <si>
    <t>N</t>
  </si>
  <si>
    <t>Тррп</t>
  </si>
  <si>
    <t>Трпп</t>
  </si>
  <si>
    <t>Трсп</t>
  </si>
  <si>
    <t>Первичный контроль</t>
  </si>
  <si>
    <t>Повторный контроль</t>
  </si>
  <si>
    <t>коэффициент специфики опытного производства</t>
  </si>
  <si>
    <t xml:space="preserve">трудоёмкость разработки программы электроконтроля </t>
  </si>
  <si>
    <t>Итого:</t>
  </si>
  <si>
    <r>
      <t>трудоёмкость тестирования первой платы, ранее не тестировавшейся
Трпп = 0,2 + 5*10</t>
    </r>
    <r>
      <rPr>
        <vertAlign val="superscript"/>
        <sz val="12"/>
        <rFont val="Times New Roman"/>
        <family val="1"/>
        <charset val="204"/>
      </rPr>
      <t>-5</t>
    </r>
    <r>
      <rPr>
        <sz val="12"/>
        <rFont val="Times New Roman"/>
        <family val="1"/>
        <charset val="204"/>
      </rPr>
      <t>*m, час, где m – количество тестируемых точек.</t>
    </r>
  </si>
  <si>
    <t>к протоколу согласования договорной цены</t>
  </si>
  <si>
    <t>№ п/п</t>
  </si>
  <si>
    <t>Наименование статьи</t>
  </si>
  <si>
    <t>Фонд оплаты труда</t>
  </si>
  <si>
    <t>Себестоимость</t>
  </si>
  <si>
    <t>ВСЕГО:</t>
  </si>
  <si>
    <t>Изготовление ФШ, шт.</t>
  </si>
  <si>
    <t>Подготовка ФШ, шт.</t>
  </si>
  <si>
    <r>
      <t>Коэфф. плотности и сложн..</t>
    </r>
    <r>
      <rPr>
        <b/>
        <sz val="10"/>
        <rFont val="Arial Cyr"/>
        <family val="2"/>
        <charset val="204"/>
      </rPr>
      <t>Кп, 1,0…2,0</t>
    </r>
  </si>
  <si>
    <r>
      <t xml:space="preserve">Коэффициент серийности,  </t>
    </r>
    <r>
      <rPr>
        <b/>
        <sz val="10"/>
        <rFont val="Arial Cyr"/>
        <family val="2"/>
        <charset val="204"/>
      </rPr>
      <t>Кс</t>
    </r>
    <r>
      <rPr>
        <sz val="10"/>
        <rFont val="Arial Cyr"/>
        <charset val="204"/>
      </rPr>
      <t xml:space="preserve"> </t>
    </r>
  </si>
  <si>
    <t>1. ФОТ , нормочас, руб.</t>
  </si>
  <si>
    <r>
      <t xml:space="preserve">Коэфф.сложности маскирования, </t>
    </r>
    <r>
      <rPr>
        <b/>
        <sz val="9"/>
        <rFont val="Arial Cyr"/>
        <charset val="204"/>
      </rPr>
      <t>Км</t>
    </r>
  </si>
  <si>
    <t>2. Социальный налог, %</t>
  </si>
  <si>
    <r>
      <t xml:space="preserve">Площадь плат, </t>
    </r>
    <r>
      <rPr>
        <b/>
        <sz val="10"/>
        <rFont val="Arial Cyr"/>
        <charset val="204"/>
      </rPr>
      <t>Sпл.,</t>
    </r>
    <r>
      <rPr>
        <sz val="10"/>
        <rFont val="Arial Cyr"/>
        <charset val="204"/>
      </rPr>
      <t xml:space="preserve"> дм2</t>
    </r>
  </si>
  <si>
    <t>3. Накладные расходы, %</t>
  </si>
  <si>
    <r>
      <t xml:space="preserve">Площадь заготовок,  </t>
    </r>
    <r>
      <rPr>
        <b/>
        <sz val="10"/>
        <rFont val="Arial Cyr"/>
        <charset val="204"/>
      </rPr>
      <t xml:space="preserve">S заг. </t>
    </r>
    <r>
      <rPr>
        <sz val="10"/>
        <rFont val="Arial Cyr"/>
        <charset val="204"/>
      </rPr>
      <t>, дм2</t>
    </r>
  </si>
  <si>
    <t>4. Плановые накопления, %</t>
  </si>
  <si>
    <r>
      <t xml:space="preserve">Периметр заготовки </t>
    </r>
    <r>
      <rPr>
        <b/>
        <sz val="10"/>
        <rFont val="Arial Cyr"/>
        <family val="2"/>
        <charset val="204"/>
      </rPr>
      <t>Рз</t>
    </r>
    <r>
      <rPr>
        <sz val="10"/>
        <rFont val="Arial Cyr"/>
        <charset val="204"/>
      </rPr>
      <t>, дм</t>
    </r>
  </si>
  <si>
    <t>Расшифровка</t>
  </si>
  <si>
    <t>м2</t>
  </si>
  <si>
    <t>№</t>
  </si>
  <si>
    <t>Наименование материала</t>
  </si>
  <si>
    <t>Расход</t>
  </si>
  <si>
    <t>руб.</t>
  </si>
  <si>
    <t xml:space="preserve">Аммиак водный </t>
  </si>
  <si>
    <t>кг</t>
  </si>
  <si>
    <t>Аммоний надсернокислый</t>
  </si>
  <si>
    <t xml:space="preserve">Аммоний хлористый </t>
  </si>
  <si>
    <t>Аноды медные АМФ</t>
  </si>
  <si>
    <t>Кислота борфтористоводородная</t>
  </si>
  <si>
    <t>Кислота серная</t>
  </si>
  <si>
    <t xml:space="preserve">Кислота соляная </t>
  </si>
  <si>
    <t xml:space="preserve">Медь сернокислая 5-водная </t>
  </si>
  <si>
    <t>Натрий надсернокислый</t>
  </si>
  <si>
    <t xml:space="preserve">Олово металлическое (аноды оловянные) </t>
  </si>
  <si>
    <t>Олово сернокислое (олова сульфат)</t>
  </si>
  <si>
    <t>Пеногаситель</t>
  </si>
  <si>
    <t xml:space="preserve">Перекись водорода  </t>
  </si>
  <si>
    <t>Состав для удаления олова</t>
  </si>
  <si>
    <t>Сода кальцинированная</t>
  </si>
  <si>
    <t>Стеклотекстолит фольгированный:</t>
  </si>
  <si>
    <t xml:space="preserve">Тринатрийфосфат </t>
  </si>
  <si>
    <t>Добавка NOVIGANTH HC ADDITIVE</t>
  </si>
  <si>
    <t>Восстановитель меди CU-REDUCTION SOLUTION</t>
  </si>
  <si>
    <t>Стабилизатор NOVIGANTH HC STABILIZER</t>
  </si>
  <si>
    <t>Состав д/приготовл. NOVIGANT HC MAKE-UP</t>
  </si>
  <si>
    <t>Состав для гальванизации СUPROSTAR LP-1</t>
  </si>
  <si>
    <t xml:space="preserve">               Расчет расхода и стоимости расходных материалов для изготовления фотошаблонов</t>
  </si>
  <si>
    <t>Фотоплёнка KODAK ARD-7</t>
  </si>
  <si>
    <t>Проявитель KODAK ACCUMAX Rapid Access</t>
  </si>
  <si>
    <t>Фиксаж KODAK 3000</t>
  </si>
  <si>
    <t>Расчет расхода и стоимости расходных материалов для нанесения защитной маски и фотомаркировки</t>
  </si>
  <si>
    <t>,</t>
  </si>
  <si>
    <t xml:space="preserve">             Расчет расхода и стоимости расходных материалов для иммерсионного золочения</t>
  </si>
  <si>
    <t xml:space="preserve">Очиститель AUNIC CLN </t>
  </si>
  <si>
    <t>Микротравитель MICROETCH SF</t>
  </si>
  <si>
    <t xml:space="preserve">Активатор AUNIC ACT </t>
  </si>
  <si>
    <t>Добавка AUNIC EN "A"</t>
  </si>
  <si>
    <t>Добавка AUNIC EN "B"</t>
  </si>
  <si>
    <t>Добавка AUNIC IG "A"</t>
  </si>
  <si>
    <t>Состав д/приготовл. AUNIC MAKE-UP</t>
  </si>
  <si>
    <t>Азотная кислота</t>
  </si>
  <si>
    <t>Калий дицианоаурат (1) чда</t>
  </si>
  <si>
    <t>№п/п</t>
  </si>
  <si>
    <t>Наименование операции</t>
  </si>
  <si>
    <t xml:space="preserve">Норма времени </t>
  </si>
  <si>
    <t>на 1дм2 заг-ки 3 кл. точн., час/дм2</t>
  </si>
  <si>
    <t>на 1 дм2 заг-ки 4 кл. точн., час/дм2</t>
  </si>
  <si>
    <t>Основные операции</t>
  </si>
  <si>
    <t xml:space="preserve"> </t>
  </si>
  <si>
    <t>Химическое меднение и затяжка</t>
  </si>
  <si>
    <t>Получение рисунка схемы</t>
  </si>
  <si>
    <t>Экспонирование</t>
  </si>
  <si>
    <t>Проявление</t>
  </si>
  <si>
    <t>Гальваническое меднение и оловянирование</t>
  </si>
  <si>
    <t>Удаление пленочного фоторезиста</t>
  </si>
  <si>
    <t>Ретуширование</t>
  </si>
  <si>
    <t>Травление</t>
  </si>
  <si>
    <t>Подрезка, ремонт рисунка</t>
  </si>
  <si>
    <t xml:space="preserve">Нанесение защитной маски:    </t>
  </si>
  <si>
    <t xml:space="preserve"> с одной стороны,час/дм2</t>
  </si>
  <si>
    <t xml:space="preserve"> с двух сторон, час/дм2</t>
  </si>
  <si>
    <t xml:space="preserve">№ </t>
  </si>
  <si>
    <t>Наименование операций</t>
  </si>
  <si>
    <t>Трудоемкость, нормочас.</t>
  </si>
  <si>
    <t>Сумма,руб.</t>
  </si>
  <si>
    <t>1.   Подготовка производства</t>
  </si>
  <si>
    <t>Конструкторская и технол.подготовка</t>
  </si>
  <si>
    <t>Изготовление фотошаблонов</t>
  </si>
  <si>
    <t>Изготовление мастер-плат для фрезерования</t>
  </si>
  <si>
    <t>2.   Основные операции</t>
  </si>
  <si>
    <t>3.   Дополнительные операции</t>
  </si>
  <si>
    <t>Фрезерование</t>
  </si>
  <si>
    <t>по контуру платы</t>
  </si>
  <si>
    <t>по углам</t>
  </si>
  <si>
    <t>Слесарная обработка: разрубка, разрезка, доводка, час/м</t>
  </si>
  <si>
    <t>Ручная маркировка</t>
  </si>
  <si>
    <t>Иммерсионное золочение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</si>
  <si>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</si>
  <si>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r>
      <t xml:space="preserve">Ручная маркировка </t>
    </r>
    <r>
      <rPr>
        <b/>
        <sz val="10"/>
        <rFont val="Arial Cyr"/>
        <family val="2"/>
        <charset val="204"/>
      </rPr>
      <t>(1-</t>
    </r>
    <r>
      <rPr>
        <sz val="10"/>
        <rFont val="Arial Cyr"/>
        <family val="2"/>
        <charset val="204"/>
      </rPr>
      <t>да</t>
    </r>
    <r>
      <rPr>
        <b/>
        <sz val="10"/>
        <rFont val="Arial Cyr"/>
        <family val="2"/>
        <charset val="204"/>
      </rPr>
      <t>,0-</t>
    </r>
    <r>
      <rPr>
        <sz val="10"/>
        <rFont val="Arial Cyr"/>
        <family val="2"/>
        <charset val="204"/>
      </rPr>
      <t>нет</t>
    </r>
    <r>
      <rPr>
        <b/>
        <sz val="10"/>
        <rFont val="Arial Cyr"/>
        <family val="2"/>
        <charset val="204"/>
      </rPr>
      <t>)</t>
    </r>
  </si>
  <si>
    <r>
      <t>Сложная фрезеровка,</t>
    </r>
    <r>
      <rPr>
        <b/>
        <sz val="10"/>
        <rFont val="Arial Cyr"/>
        <family val="2"/>
        <charset val="204"/>
      </rPr>
      <t xml:space="preserve"> Кф</t>
    </r>
    <r>
      <rPr>
        <sz val="10"/>
        <rFont val="Arial Cyr"/>
        <family val="2"/>
        <charset val="204"/>
      </rPr>
      <t xml:space="preserve"> ( </t>
    </r>
    <r>
      <rPr>
        <b/>
        <sz val="10"/>
        <rFont val="Arial Cyr"/>
        <family val="2"/>
        <charset val="204"/>
      </rPr>
      <t>1,0</t>
    </r>
    <r>
      <rPr>
        <sz val="10"/>
        <rFont val="Arial Cyr"/>
        <family val="2"/>
        <charset val="204"/>
      </rPr>
      <t xml:space="preserve"> ... 1,5)</t>
    </r>
  </si>
  <si>
    <r>
      <t>Кол. отверстий на загот.</t>
    </r>
    <r>
      <rPr>
        <b/>
        <sz val="10"/>
        <rFont val="Arial Cyr"/>
        <family val="2"/>
        <charset val="204"/>
      </rPr>
      <t>d &gt;0.60 мм, Чо2</t>
    </r>
  </si>
  <si>
    <r>
      <t xml:space="preserve">Количество слоев СЗПМ, </t>
    </r>
    <r>
      <rPr>
        <b/>
        <sz val="10"/>
        <rFont val="Arial Cyr"/>
        <family val="2"/>
        <charset val="204"/>
      </rPr>
      <t>Ссм</t>
    </r>
  </si>
  <si>
    <r>
      <t xml:space="preserve">Количество слоев ЖЗПМ, </t>
    </r>
    <r>
      <rPr>
        <b/>
        <sz val="10"/>
        <rFont val="Arial Cyr"/>
        <family val="2"/>
        <charset val="204"/>
      </rPr>
      <t>Сжм</t>
    </r>
  </si>
  <si>
    <r>
      <t>Площадь иммерс.покрытия заготовки,</t>
    </r>
    <r>
      <rPr>
        <b/>
        <sz val="10"/>
        <rFont val="Arial Cyr"/>
        <family val="2"/>
        <charset val="204"/>
      </rPr>
      <t>Sи</t>
    </r>
    <r>
      <rPr>
        <sz val="10"/>
        <rFont val="Arial Cyr"/>
        <family val="2"/>
        <charset val="204"/>
      </rPr>
      <t>,дм2</t>
    </r>
  </si>
  <si>
    <r>
      <t>Кол. отверстий.на загот.</t>
    </r>
    <r>
      <rPr>
        <b/>
        <sz val="10"/>
        <rFont val="Arial Cyr"/>
        <family val="2"/>
        <charset val="204"/>
      </rPr>
      <t xml:space="preserve">d </t>
    </r>
    <r>
      <rPr>
        <b/>
        <sz val="10"/>
        <rFont val="Calibri"/>
        <family val="2"/>
        <charset val="204"/>
      </rPr>
      <t>≤</t>
    </r>
    <r>
      <rPr>
        <b/>
        <sz val="10"/>
        <rFont val="Arial Cyr"/>
        <family val="2"/>
        <charset val="204"/>
      </rPr>
      <t>0,60 мм, Чо1</t>
    </r>
  </si>
  <si>
    <t>трудоемкость</t>
  </si>
  <si>
    <t>час/слой</t>
  </si>
  <si>
    <t>материалы</t>
  </si>
  <si>
    <t>час./компл.</t>
  </si>
  <si>
    <t>час/компл.</t>
  </si>
  <si>
    <t xml:space="preserve">Итого стоимость подготовки производства без НДС:    </t>
  </si>
  <si>
    <t>Наименование разделов</t>
  </si>
  <si>
    <t>Трудоемкость,час.</t>
  </si>
  <si>
    <t>Формула расчета стоим.</t>
  </si>
  <si>
    <t>-</t>
  </si>
  <si>
    <r>
      <t xml:space="preserve">Трудоемкость основных операций, </t>
    </r>
    <r>
      <rPr>
        <b/>
        <sz val="10"/>
        <rFont val="Arial Cyr"/>
        <charset val="204"/>
      </rPr>
      <t>То</t>
    </r>
    <r>
      <rPr>
        <sz val="10"/>
        <rFont val="Arial Cyr"/>
        <charset val="204"/>
      </rPr>
      <t>,час/дм2</t>
    </r>
  </si>
  <si>
    <r>
      <t>Фрезеровка, трудоемкость,</t>
    </r>
    <r>
      <rPr>
        <b/>
        <sz val="10"/>
        <rFont val="Arial Cyr"/>
        <charset val="204"/>
      </rPr>
      <t>Тф1</t>
    </r>
    <r>
      <rPr>
        <sz val="10"/>
        <rFont val="Arial Cyr"/>
        <charset val="204"/>
      </rPr>
      <t xml:space="preserve">,час/загот.        </t>
    </r>
  </si>
  <si>
    <r>
      <t>Тф2</t>
    </r>
    <r>
      <rPr>
        <sz val="10"/>
        <rFont val="Arial Cyr"/>
        <charset val="204"/>
      </rPr>
      <t>, час/загот.</t>
    </r>
  </si>
  <si>
    <r>
      <t xml:space="preserve">Слесарная обраб.: разрубка, разрезка, доводка, </t>
    </r>
    <r>
      <rPr>
        <b/>
        <sz val="9"/>
        <rFont val="Arial Cyr"/>
        <charset val="204"/>
      </rPr>
      <t>Сл</t>
    </r>
    <r>
      <rPr>
        <sz val="9"/>
        <rFont val="Arial Cyr"/>
        <charset val="204"/>
      </rPr>
      <t>,час/загот.</t>
    </r>
  </si>
  <si>
    <t>Нанесение маркировки</t>
  </si>
  <si>
    <t>Материалы</t>
  </si>
  <si>
    <t>Всего, руб., без НДС:</t>
  </si>
  <si>
    <t>С учетом коэфф.Кср., руб., без НДС</t>
  </si>
  <si>
    <t>на 1 дм2 заг-ки 5 кл. точн., час/дм2</t>
  </si>
  <si>
    <t>Заготовительная</t>
  </si>
  <si>
    <t>Подготовка поверхности</t>
  </si>
  <si>
    <t>Нанесение пленочного фоторезиста</t>
  </si>
  <si>
    <t>Пробивка базовых отверстий</t>
  </si>
  <si>
    <t>Снятие пленочного фоторезиста</t>
  </si>
  <si>
    <t>Подрезка, ремонт внутренних слоев</t>
  </si>
  <si>
    <t>Технический контроль</t>
  </si>
  <si>
    <t>Промывка водой под высоким давлением</t>
  </si>
  <si>
    <t>Контроль КЗ по шинам питания</t>
  </si>
  <si>
    <t>Расчистка (под микроскопом)</t>
  </si>
  <si>
    <t xml:space="preserve">Финишная промывка </t>
  </si>
  <si>
    <t>Упаковочная</t>
  </si>
  <si>
    <t>Приложение №1 к расчёту стоимости электроконтроля печатных плат на установке MANIA MPP 3824</t>
  </si>
  <si>
    <t>Справочные данные к расчёту электроконтроля стоимости печатных плат</t>
  </si>
  <si>
    <t>Кол-во контролир. точек,</t>
  </si>
  <si>
    <t xml:space="preserve">Время сборки корзины </t>
  </si>
  <si>
    <t>Время изготовления оснастки, час.</t>
  </si>
  <si>
    <t>ТО3</t>
  </si>
  <si>
    <t>ТО5</t>
  </si>
  <si>
    <t xml:space="preserve"> Nb, шт.</t>
  </si>
  <si>
    <t>3 пластины</t>
  </si>
  <si>
    <t>5 пластин</t>
  </si>
  <si>
    <t xml:space="preserve">                                 Таблица 2</t>
  </si>
  <si>
    <t>Расходы на оплату труда</t>
  </si>
  <si>
    <t>Полная себестоимость</t>
  </si>
  <si>
    <t>II Расходные материалы и справочные данные</t>
  </si>
  <si>
    <t>Материал, инструмент</t>
  </si>
  <si>
    <t>Условное обозначение</t>
  </si>
  <si>
    <t>Расход, м2/м2</t>
  </si>
  <si>
    <t>Единица измерения</t>
  </si>
  <si>
    <t xml:space="preserve">Стоимость за единицу </t>
  </si>
  <si>
    <t>№ и дата накладной</t>
  </si>
  <si>
    <t>Стоимость с плановыми</t>
  </si>
  <si>
    <t>без НДС, руб.</t>
  </si>
  <si>
    <t xml:space="preserve"> накопл. 20%, руб., без НДС</t>
  </si>
  <si>
    <t>Оргстекло ТОСП (2.0)</t>
  </si>
  <si>
    <t>Ц01</t>
  </si>
  <si>
    <t>м.кв.</t>
  </si>
  <si>
    <t>Прн000008 от 6.10.2010</t>
  </si>
  <si>
    <t>Оргстекло ТОСП (4.0)</t>
  </si>
  <si>
    <t>Ц02</t>
  </si>
  <si>
    <t xml:space="preserve">Сверло </t>
  </si>
  <si>
    <t>Цс</t>
  </si>
  <si>
    <t>2000 отв.</t>
  </si>
  <si>
    <t>шт</t>
  </si>
  <si>
    <t xml:space="preserve">80 от </t>
  </si>
  <si>
    <t>твердосплавное</t>
  </si>
  <si>
    <t>406.00</t>
  </si>
  <si>
    <t>I. Исходные данные</t>
  </si>
  <si>
    <t>II. Расчетные данные</t>
  </si>
  <si>
    <t>III. Расчеты и стоимость.</t>
  </si>
  <si>
    <t xml:space="preserve">         Расчет стоимости электроконтроля на тестере ATG-A2</t>
  </si>
  <si>
    <t>Наименование контролируемой платы</t>
  </si>
  <si>
    <t>по текущему классу (не печатается)</t>
  </si>
  <si>
    <t>Подготовительные</t>
  </si>
  <si>
    <t>Проверка, паспортизация, ретушь ФШ</t>
  </si>
  <si>
    <t>Изготовление мастер-плат для сверления</t>
  </si>
  <si>
    <t>Расчет расхода и стоимости расходных материалов для изготовления мастерплаты сверления</t>
  </si>
  <si>
    <t>Контрольные проходы</t>
  </si>
  <si>
    <t>Размеры пластин, мм</t>
  </si>
  <si>
    <t>III. Расчеты и стоимость</t>
  </si>
  <si>
    <t>Формула расчета стоимости электроконтроля одной печатной платы при повторном изготовлении</t>
  </si>
  <si>
    <t>Стоимость расходуемого оргстекла на изготовление оснастки, руб.</t>
  </si>
  <si>
    <t>1 проход</t>
  </si>
  <si>
    <t>2 проход</t>
  </si>
  <si>
    <t>Стоимость расходуемых сверел, руб.</t>
  </si>
  <si>
    <t>Стоимость расходуемых на изготовление материалов, М, руб. без НДС</t>
  </si>
  <si>
    <t>длина (д)</t>
  </si>
  <si>
    <t>ширина(ш)</t>
  </si>
  <si>
    <t>Время изготовления оснастки, ТО (ТО3+ТО5), час</t>
  </si>
  <si>
    <t>Суммарное время сборки проверочных корзин ТК, час</t>
  </si>
  <si>
    <t>M=NO*Np*д*ш*1.2*/(Ц01+Ц02)*0.000001+Цс*nK*NO*Np/2000</t>
  </si>
  <si>
    <t>M=0, TO=0, ТП=0
ЦЭ=РО*(ТК+Т1*Nb)/N</t>
  </si>
  <si>
    <t>ЦЭ=РО*(ТП+ТО+ТК+Т1*Nb)/N+M/N</t>
  </si>
  <si>
    <t>Время контроля блока, Т1, час</t>
  </si>
  <si>
    <t>Плёнка отслаиваемая полиэфирная PACOTHANE</t>
  </si>
  <si>
    <t xml:space="preserve">Стеклоткань прокладочная СТП-4 0,062 </t>
  </si>
  <si>
    <t>Стеклоткань прокладочная DE 104ML 1080 AT01</t>
  </si>
  <si>
    <t>Фольга медная 70 мкм</t>
  </si>
  <si>
    <t>Очиститель BONDFILM REINIGER ALK</t>
  </si>
  <si>
    <t>Активатор BONDFILM ACTIVATOR</t>
  </si>
  <si>
    <t>Модификатор BONDFILM PART A</t>
  </si>
  <si>
    <t>Состав д/приготовл. BONDFILM STARTER</t>
  </si>
  <si>
    <t>Набухатель SECURIGANTH P SWELLER</t>
  </si>
  <si>
    <t>Дозирующий раствор SECURIGANTH Р500</t>
  </si>
  <si>
    <t>Восстановитель SECURIGANTH P500 REDUCTION</t>
  </si>
  <si>
    <t>Очиститель SECURIGANTH 902 CLEANER</t>
  </si>
  <si>
    <t>Ед. измерения</t>
  </si>
  <si>
    <t>Удельная норма расхода, кг/м2, м2/м2</t>
  </si>
  <si>
    <r>
      <t xml:space="preserve">Трудоемкость сверления, </t>
    </r>
    <r>
      <rPr>
        <b/>
        <sz val="10"/>
        <rFont val="Arial Cyr"/>
        <charset val="204"/>
      </rPr>
      <t>Тс</t>
    </r>
    <r>
      <rPr>
        <sz val="10"/>
        <rFont val="Arial Cyr"/>
        <charset val="204"/>
      </rPr>
      <t>,час/отв.</t>
    </r>
  </si>
  <si>
    <t>Дополнительные операции</t>
  </si>
  <si>
    <t>СЗПМ,  при одностороннем маскировании, час/дм2</t>
  </si>
  <si>
    <t>СЗПМ, при двустороннем маскировании, час/дм2</t>
  </si>
  <si>
    <t>ЖЗПМ, при одностороннем маскировании, час/дм2</t>
  </si>
  <si>
    <t>ЖЗПМ, при двустороннем маскировании, час/дм2</t>
  </si>
  <si>
    <t>Ручная маркировка, час/шт.</t>
  </si>
  <si>
    <t>Фотомаркировка:</t>
  </si>
  <si>
    <r>
      <t>Иммерсионное золочение</t>
    </r>
    <r>
      <rPr>
        <sz val="10"/>
        <rFont val="Arial Cyr"/>
        <charset val="204"/>
      </rPr>
      <t>, час/загот.</t>
    </r>
  </si>
  <si>
    <t>Кс</t>
  </si>
  <si>
    <t xml:space="preserve">Коэффициент срочности Кср при первичн.изготовлении 
</t>
  </si>
  <si>
    <t xml:space="preserve">Коэффициент срочности Кср при повторн.изготовлении 
</t>
  </si>
  <si>
    <t>Несекретно</t>
  </si>
  <si>
    <t>РОССИЙСКОЙ ФЕДЕРАЦИИ</t>
  </si>
  <si>
    <t>Экз.______</t>
  </si>
  <si>
    <t>ПРЕДСТАВИТЕЛЬСТВО</t>
  </si>
  <si>
    <t xml:space="preserve">       г. Санкт-Петербург</t>
  </si>
  <si>
    <t>ул. Киришская, д.2, 195299</t>
  </si>
  <si>
    <t>ЗАКЛЮЧЕНИЕ</t>
  </si>
  <si>
    <r>
      <t>1.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ОБЩИЕ СВЕДЕНИЯ</t>
    </r>
  </si>
  <si>
    <r>
      <t>1.3.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>Исполнитель:</t>
    </r>
    <r>
      <rPr>
        <sz val="14"/>
        <rFont val="Times New Roman"/>
        <family val="1"/>
        <charset val="204"/>
      </rPr>
      <t xml:space="preserve"> </t>
    </r>
    <r>
      <rPr>
        <b/>
        <u/>
        <sz val="14"/>
        <rFont val="Times New Roman"/>
        <family val="1"/>
        <charset val="204"/>
      </rPr>
      <t>ЗАО «Многослойные печатные платы»</t>
    </r>
  </si>
  <si>
    <t>ИНН 7805127500; ОКПО 50051818; ОКВЭД 32.10.3</t>
  </si>
  <si>
    <t>Лицензия ФКА № ФСС КТ 134.01.3.1.000000.14.09 от 23.04.2009г.</t>
  </si>
  <si>
    <t>Лицензия ФСБ №5127 от 01.09.2010г.</t>
  </si>
  <si>
    <r>
      <t>1.4.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 xml:space="preserve">Договор: </t>
    </r>
  </si>
  <si>
    <r>
      <t>1.5.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>Перечень документов, предъявленных военному представительству и рассмотренных им:</t>
    </r>
  </si>
  <si>
    <t xml:space="preserve">1.6.1. Договор №__________ от ____________                         </t>
  </si>
  <si>
    <r>
      <t>2.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РЕЗУЛЬТАТЫ АНАЛИЗА</t>
    </r>
  </si>
  <si>
    <r>
      <t xml:space="preserve">2.1. Лимитная цена: </t>
    </r>
    <r>
      <rPr>
        <sz val="14"/>
        <rFont val="Times New Roman"/>
        <family val="1"/>
        <charset val="204"/>
      </rPr>
      <t>не установлена.</t>
    </r>
  </si>
  <si>
    <t>2.2. Анализ выбранного исполнителем метода расчета цены:</t>
  </si>
  <si>
    <t>Договорная цена рассчитана методом прямого калькулирования затрат.</t>
  </si>
  <si>
    <t>2.3. Полнота и достоверность (корректность) исходных данных и других материалов цены:</t>
  </si>
  <si>
    <t>2.4. Характеристика использованных при формировании цены экономических норм и нормативов:</t>
  </si>
  <si>
    <t>2.5. Результаты анализа учетной политики предприятия (для целей бухгалтерского учета) и ее соответствия требованиям постановления Правительства РФ от 19.01.1998 г. № 47:</t>
  </si>
  <si>
    <t>Бухгалтерский учет на предприятии ведется в соответствии с Планом счетов бухгалтерского учета. Метод учета – ежемесячный, позаказный, в разрезе этапов договоров соответствует требованиям постановления Правительства РФ от 19.01.1998 г. № 47.</t>
  </si>
  <si>
    <t>2.6. Используемый исполнителем нормативный документ по планированию, учету и калькулированию себестоимости продукции (работ, услуг):</t>
  </si>
  <si>
    <t>Планирование, учет и калькулирование себестоимости продукции на предприятии ведется в соответствии с Налоговым кодексом РФ, Положением по бухгалтерскому учету, Методическими рекомендациями.</t>
  </si>
  <si>
    <t>2.7. Структура цена с данными об обоснованных и не обоснованных затратах в составе проекта цены:</t>
  </si>
  <si>
    <t>Затраты на материалы рассчитаны исходя из норм расхода на единицу изделия с учетом закупочных цен с наценкой 1 %.</t>
  </si>
  <si>
    <t>Структура цены с данными фактических затрат приведена. В расчете стоимости изготовления (приложение № 1 к заключению).</t>
  </si>
  <si>
    <r>
      <t>3.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ВЫВОДЫ И ПРДЛОЖЕНИЯ</t>
    </r>
  </si>
  <si>
    <t>Наименование печатной платы</t>
  </si>
  <si>
    <t>Кол-во, шт.</t>
  </si>
  <si>
    <t>Цена за 1 шт.</t>
  </si>
  <si>
    <t>Сумма, руб. без НДС</t>
  </si>
  <si>
    <r>
      <t xml:space="preserve"> </t>
    </r>
    <r>
      <rPr>
        <sz val="14"/>
        <rFont val="Times New Roman"/>
        <family val="1"/>
        <charset val="204"/>
      </rPr>
      <t xml:space="preserve">  </t>
    </r>
  </si>
  <si>
    <t>МИНИСТЕРСТВО ОБОРОНЫ</t>
  </si>
  <si>
    <t>(МИНОБОРОНЫ РОССИИ)</t>
  </si>
  <si>
    <t>1083 ВОЕННОЕ</t>
  </si>
  <si>
    <t>января</t>
  </si>
  <si>
    <t>февраля</t>
  </si>
  <si>
    <t>марта</t>
  </si>
  <si>
    <t>апреля</t>
  </si>
  <si>
    <t>мая</t>
  </si>
  <si>
    <t>июня</t>
  </si>
  <si>
    <t>июля</t>
  </si>
  <si>
    <t>августа</t>
  </si>
  <si>
    <t>сентября</t>
  </si>
  <si>
    <t>октября</t>
  </si>
  <si>
    <t>ноября</t>
  </si>
  <si>
    <t>декабря</t>
  </si>
  <si>
    <t>Наименование статьи
  калькуляции</t>
  </si>
  <si>
    <t>Затраты без НДС, руб</t>
  </si>
  <si>
    <t>Полная стоимость 1-го нормочаса РО</t>
  </si>
  <si>
    <t>Кол-во тестируемых блоков, шт.</t>
  </si>
  <si>
    <t>Время тестирования блока (T1,T2) , час.</t>
  </si>
  <si>
    <t>Трудоемкость разработки программы электроконтроля, час</t>
  </si>
  <si>
    <t>Контроль первичный (1-да, 0-нет)</t>
  </si>
  <si>
    <t>стоимость эксплуатации 1-го часа ATG-A2, руб.</t>
  </si>
  <si>
    <t>Цнч</t>
  </si>
  <si>
    <t>Цена нормочаса, руб</t>
  </si>
  <si>
    <t>трудоёмкость тестирования последующих плат (без перерыва на тестирование других плат). Трпп = 0,1 + 2.5*10-5*m, час</t>
  </si>
  <si>
    <r>
      <t>Цэ1 = Коп*{Цн/ч[Тррп + Трпп + Трсп(N-1)]+
                                             A</t>
    </r>
    <r>
      <rPr>
        <vertAlign val="subscript"/>
        <sz val="12"/>
        <rFont val="Times New Roman"/>
        <family val="1"/>
        <charset val="204"/>
      </rPr>
      <t>ATG</t>
    </r>
    <r>
      <rPr>
        <sz val="12"/>
        <rFont val="Times New Roman"/>
        <family val="1"/>
        <charset val="204"/>
      </rPr>
      <t>[Трпп + Трсп*(N-1)]}/N , руб.</t>
    </r>
  </si>
  <si>
    <t>Количество контролируемых плат, шт.</t>
  </si>
  <si>
    <t>Количество контролируемых плат в блоке, шт.</t>
  </si>
  <si>
    <t>nK</t>
  </si>
  <si>
    <t>Количество контролируемых блоков, шт.</t>
  </si>
  <si>
    <t>Nb</t>
  </si>
  <si>
    <t>Количество контрольных проходов, шт.</t>
  </si>
  <si>
    <t>Nn</t>
  </si>
  <si>
    <t>M</t>
  </si>
  <si>
    <t>Количество контролируемых точек в плате,  шт.</t>
  </si>
  <si>
    <t>NK</t>
  </si>
  <si>
    <t>Суммарное время выпуска управляющей программы, час</t>
  </si>
  <si>
    <t>ТП</t>
  </si>
  <si>
    <t>Количество контролируемых точек в блоке,  шт.</t>
  </si>
  <si>
    <t>Тп1,Тп2</t>
  </si>
  <si>
    <t>Время сборки проверочных корзин, час</t>
  </si>
  <si>
    <t>ТК1</t>
  </si>
  <si>
    <t>Количество комплектов оснастки, шт</t>
  </si>
  <si>
    <t>NO</t>
  </si>
  <si>
    <t>ТК2</t>
  </si>
  <si>
    <t>Количество пластин в оснастки в комплекте, шт.</t>
  </si>
  <si>
    <t>Np</t>
  </si>
  <si>
    <t>ТК</t>
  </si>
  <si>
    <t>ТО</t>
  </si>
  <si>
    <t>Т1</t>
  </si>
  <si>
    <t>Толщина оргстекла, мм</t>
  </si>
  <si>
    <t>2.0;4.0</t>
  </si>
  <si>
    <t>Формула расчета стоимости материалов для изготовления оснастки для электроконтроля</t>
  </si>
  <si>
    <t>Стоимость, руб. без НДС</t>
  </si>
  <si>
    <t>Формула расчтеа стоимости электроконтроля одной печатной платы при первичном изготовлении</t>
  </si>
  <si>
    <t>Удельная норма расхода, г/м2</t>
  </si>
  <si>
    <r>
      <t xml:space="preserve">Оплачиваемая площадь, </t>
    </r>
    <r>
      <rPr>
        <b/>
        <sz val="10"/>
        <rFont val="Arial Cyr"/>
        <charset val="204"/>
      </rPr>
      <t>Sопл</t>
    </r>
    <r>
      <rPr>
        <sz val="10"/>
        <rFont val="Arial Cyr"/>
        <charset val="204"/>
      </rPr>
      <t>, дм2</t>
    </r>
  </si>
  <si>
    <r>
      <t xml:space="preserve">Коэффициент толщины МПП, </t>
    </r>
    <r>
      <rPr>
        <b/>
        <sz val="10"/>
        <rFont val="Arial Cyr"/>
        <charset val="204"/>
      </rPr>
      <t>Кт</t>
    </r>
  </si>
  <si>
    <r>
      <t xml:space="preserve">Коэффициент выхода годных, </t>
    </r>
    <r>
      <rPr>
        <b/>
        <sz val="10"/>
        <rFont val="Arial Cyr"/>
        <charset val="204"/>
      </rPr>
      <t>Квг</t>
    </r>
  </si>
  <si>
    <t>Оплачиваемая площадь заготовки</t>
  </si>
  <si>
    <t xml:space="preserve">где </t>
  </si>
  <si>
    <t>Nз - количество плат на заготовке, шт</t>
  </si>
  <si>
    <t>0.1 - зазор между платами, дм;</t>
  </si>
  <si>
    <t>Таблица 2</t>
  </si>
  <si>
    <t>Толщина, мм</t>
  </si>
  <si>
    <t>Толщина платы, мм</t>
  </si>
  <si>
    <t>Изготовление</t>
  </si>
  <si>
    <t>Подготовка  производства</t>
  </si>
  <si>
    <t>Дисмеринг</t>
  </si>
  <si>
    <t>Сверление, на отверстие</t>
  </si>
  <si>
    <r>
      <t xml:space="preserve">Количество листов материала на заготовку, </t>
    </r>
    <r>
      <rPr>
        <b/>
        <sz val="10"/>
        <rFont val="Arial Cyr"/>
        <charset val="204"/>
      </rPr>
      <t xml:space="preserve">M, </t>
    </r>
    <r>
      <rPr>
        <sz val="10"/>
        <rFont val="Arial Cyr"/>
        <family val="2"/>
        <charset val="204"/>
      </rPr>
      <t>шт.</t>
    </r>
  </si>
  <si>
    <t>Прессование, термостабилизация</t>
  </si>
  <si>
    <t>*Кт</t>
  </si>
  <si>
    <t>Таблица 6</t>
  </si>
  <si>
    <t>Покрытие ГорПОС</t>
  </si>
  <si>
    <t>Размер заготовки, мм.</t>
  </si>
  <si>
    <t>Коэф. трудоемкости ФШ</t>
  </si>
  <si>
    <r>
      <t xml:space="preserve">Покрытие ГорПОС, трудоемкость, </t>
    </r>
    <r>
      <rPr>
        <b/>
        <sz val="10"/>
        <rFont val="Arial Cyr"/>
        <charset val="204"/>
      </rPr>
      <t xml:space="preserve">Тпос, </t>
    </r>
    <r>
      <rPr>
        <sz val="10"/>
        <rFont val="Arial Cyr"/>
        <charset val="204"/>
      </rPr>
      <t>час/дм2</t>
    </r>
  </si>
  <si>
    <t>Тф*Сн*Sопл</t>
  </si>
  <si>
    <t>Тр*Сн*П</t>
  </si>
  <si>
    <t>Сверление</t>
  </si>
  <si>
    <t>Расчет расхода и стоимости расходных материалов для нанесения ГорПОС</t>
  </si>
  <si>
    <t>Припой ПОС-61</t>
  </si>
  <si>
    <t xml:space="preserve">СТФ2-35-0,2 1 кл </t>
  </si>
  <si>
    <t xml:space="preserve">СТФ-2-35-0,13 1 кл </t>
  </si>
  <si>
    <t xml:space="preserve">СТФ2-35-0,25 1 кл </t>
  </si>
  <si>
    <t xml:space="preserve">СТФ2-35-0,1 1 кл </t>
  </si>
  <si>
    <t xml:space="preserve">СТФ2-18-0,2 1 кл </t>
  </si>
  <si>
    <t xml:space="preserve">СТФ2-18-0,18 1 кл </t>
  </si>
  <si>
    <t xml:space="preserve">СТФ2-18-0,13 1 кл </t>
  </si>
  <si>
    <t>DE 104 ML 35/35-0,25</t>
  </si>
  <si>
    <t>Медные слои теплоотвода, шт</t>
  </si>
  <si>
    <t>Стеклоткань, кол.слоев, шт.</t>
  </si>
  <si>
    <t>Удельная норма расхода, м2/м2</t>
  </si>
  <si>
    <t>Сложность программы электроконтроля, час</t>
  </si>
  <si>
    <t>Флюс</t>
  </si>
  <si>
    <t>_________________ И.И.Николайчук</t>
  </si>
  <si>
    <t>СОГЛАСОВАНО:</t>
  </si>
  <si>
    <t>коэффициент размера</t>
  </si>
  <si>
    <t xml:space="preserve">Итоговая стоимость электроконтроля одной печатной платы составляет </t>
  </si>
  <si>
    <t>Травление (кислое)</t>
  </si>
  <si>
    <t>Нанесение адгезионного слоя</t>
  </si>
  <si>
    <t>Дезоксидирование в линии кислого травления</t>
  </si>
  <si>
    <t>На одну внутреннюю заготовку*Листов_материала</t>
  </si>
  <si>
    <t>Нанесение сплава ГОР ПОС-61</t>
  </si>
  <si>
    <t>Покрытие ГорПОС, материалы</t>
  </si>
  <si>
    <t>_____________   _________________ Ильина О.С.</t>
  </si>
  <si>
    <t>Справочные материалы:
1. Справочные данные к расчету электроконтроля печатных плат
 на 1-ом листе.</t>
  </si>
  <si>
    <t>ФОТ</t>
  </si>
  <si>
    <t>Матер</t>
  </si>
  <si>
    <t>Изготовление мастер-платы для пробивки шаблона</t>
  </si>
  <si>
    <t>280х395</t>
  </si>
  <si>
    <t>485х585</t>
  </si>
  <si>
    <t xml:space="preserve"> Заготовительная 230х395</t>
  </si>
  <si>
    <t>Пробивка 230х395</t>
  </si>
  <si>
    <t>Нанесение эмульсии и контроль 230х395</t>
  </si>
  <si>
    <t xml:space="preserve">Изготовление мастер-платы для проверки шаблона </t>
  </si>
  <si>
    <t>Контроль 230х395</t>
  </si>
  <si>
    <t>Приемка (1-ПЗ,0-ОТК)</t>
  </si>
  <si>
    <t>Номер заказа от дата</t>
  </si>
  <si>
    <t>Децимальный номер платы</t>
  </si>
  <si>
    <t>Всего</t>
  </si>
  <si>
    <t>формула (2стороны*количестволистов*площадь/метрыкв/кг)</t>
  </si>
  <si>
    <t>Расшифровка материальных затрат к расчетной калькуляции</t>
  </si>
  <si>
    <t>Внутр. слои, м2/м2</t>
  </si>
  <si>
    <t>Внешн. слои, м2/м2</t>
  </si>
  <si>
    <t>Стоимость без НДС, руб.</t>
  </si>
  <si>
    <t>Цена за единицу без НДС, руб.</t>
  </si>
  <si>
    <t>Цена за ед. без НДС, руб.</t>
  </si>
  <si>
    <t>массовые материалы всего</t>
  </si>
  <si>
    <t>Удельная норма расхода</t>
  </si>
  <si>
    <t>Внутр. слои, г/м2</t>
  </si>
  <si>
    <t>Внешн. слои, г/м2</t>
  </si>
  <si>
    <t>Комплектовочная, прессование, термостабилизация</t>
  </si>
  <si>
    <t>Приложение к расчету стоимости МПП</t>
  </si>
  <si>
    <t>Приложение к расчету МПП</t>
  </si>
  <si>
    <t>Лист 1</t>
  </si>
  <si>
    <t>Стеклоткань прокладочная RO4450B 0.091</t>
  </si>
  <si>
    <t>DE 104 ML 35/35-0,15</t>
  </si>
  <si>
    <t>DE 104 ML 35/35-0,1</t>
  </si>
  <si>
    <t>DE 104 ML 18/18-0,51</t>
  </si>
  <si>
    <t xml:space="preserve">DE 104 ML 18/18-0,25 </t>
  </si>
  <si>
    <t xml:space="preserve">DE 104 ML 18/18-0,18 </t>
  </si>
  <si>
    <t xml:space="preserve">DE 104 ML 18/18-0,1 </t>
  </si>
  <si>
    <t xml:space="preserve">DE 104 ML 18/18-0,8 </t>
  </si>
  <si>
    <t>RO4350B 0.508-017/017</t>
  </si>
  <si>
    <t>RO4350B 0.168-035/035</t>
  </si>
  <si>
    <t xml:space="preserve">Тип стеклоткани </t>
  </si>
  <si>
    <t>нет</t>
  </si>
  <si>
    <t>RO4350B 0.508-035/035</t>
  </si>
  <si>
    <t>DE 104 ML 35/35-0,51</t>
  </si>
  <si>
    <t>DE 104 ML 12/12-0.1</t>
  </si>
  <si>
    <t>Сн*Мс*Sопл.*Км</t>
  </si>
  <si>
    <t>Сн*Мж*Sопл.*Км</t>
  </si>
  <si>
    <t>Проверка комплектности, прессование, термостабилизация</t>
  </si>
  <si>
    <t>по контуру платы, час/м.платы</t>
  </si>
  <si>
    <t>по углам, час/плату.</t>
  </si>
  <si>
    <t>Сл*N*Кп*Кт*Сн</t>
  </si>
  <si>
    <t>Слес. обработка: разрубка, разрезка, доводка, час/загот</t>
  </si>
  <si>
    <t>DE 104 ML 35/35-0,20</t>
  </si>
  <si>
    <t xml:space="preserve"> (нет - 0, MANIA - 1, ATG - 2, повторный MANIA - 5, Повторный ATG-6)</t>
  </si>
  <si>
    <t>Плат в блоке контроля</t>
  </si>
  <si>
    <t>Количество точек контроля в блоке, шт.</t>
  </si>
  <si>
    <t>DE 104 ML 35/35-0,36</t>
  </si>
  <si>
    <t>DE 104 ML 18/18-0,36</t>
  </si>
  <si>
    <t>Цена за 1 штуку, без НДС</t>
  </si>
  <si>
    <t>Тпос*Sопл*Кс*Кп*Сн</t>
  </si>
  <si>
    <t>Тз*Сн*N*Кп*Кс</t>
  </si>
  <si>
    <t>Добавка STH ADDITIVE</t>
  </si>
  <si>
    <t>Добавка Sulfotech SP Additive</t>
  </si>
  <si>
    <t>DE 104 ML 18/18-0,15</t>
  </si>
  <si>
    <t>DE 104 ML 18/70-0,1</t>
  </si>
  <si>
    <t>DE 104 ML 18/105-0,1</t>
  </si>
  <si>
    <t>То*Sопл*Кс*Кп*Сн*Kвг</t>
  </si>
  <si>
    <t>Итоговая стоимость электроконтроля одной печатной платы составляет  без НДС</t>
  </si>
  <si>
    <t>n</t>
  </si>
  <si>
    <t>количество заготовок, шт.</t>
  </si>
  <si>
    <t>Трудоемкость разработки программы ЭК (1.0…5.5), час</t>
  </si>
  <si>
    <r>
      <t>Кол-во контролируемых точек</t>
    </r>
    <r>
      <rPr>
        <b/>
        <sz val="9"/>
        <rFont val="Arial Cyr"/>
        <charset val="204"/>
      </rPr>
      <t xml:space="preserve"> </t>
    </r>
    <r>
      <rPr>
        <sz val="9"/>
        <rFont val="Arial Cyr"/>
        <charset val="204"/>
      </rPr>
      <t xml:space="preserve">в заготовке </t>
    </r>
    <r>
      <rPr>
        <b/>
        <sz val="9"/>
        <rFont val="Arial Cyr"/>
        <charset val="204"/>
      </rPr>
      <t>m</t>
    </r>
    <r>
      <rPr>
        <sz val="9"/>
        <rFont val="Arial Cyr"/>
        <charset val="204"/>
      </rPr>
      <t>, шт.</t>
    </r>
  </si>
  <si>
    <t>Количество плат в заготовке</t>
  </si>
  <si>
    <t>Количество заготовок</t>
  </si>
  <si>
    <r>
      <t>Цэп = Коп*{(Цн/ч+ A</t>
    </r>
    <r>
      <rPr>
        <vertAlign val="subscript"/>
        <sz val="12"/>
        <rFont val="Times New Roman"/>
        <family val="1"/>
        <charset val="204"/>
      </rPr>
      <t>ATG</t>
    </r>
    <r>
      <rPr>
        <sz val="12"/>
        <rFont val="Times New Roman"/>
        <family val="1"/>
        <charset val="204"/>
      </rPr>
      <t>)[Трпп+Трсп(N-1)]}/N, руб.</t>
    </r>
  </si>
  <si>
    <t>DE 104 ML 18/18-1.0</t>
  </si>
  <si>
    <t>DE 104 ML 35/35-1.0</t>
  </si>
  <si>
    <t>Защитная паяльная маска XV501 T-4 SM Green (жидкая)</t>
  </si>
  <si>
    <t>DE 104 ML 18/70-0.1</t>
  </si>
  <si>
    <t xml:space="preserve">310 военного представительства МО РФ </t>
  </si>
  <si>
    <t>длина</t>
  </si>
  <si>
    <t>пробел</t>
  </si>
  <si>
    <t>крест</t>
  </si>
  <si>
    <t>колламел</t>
  </si>
  <si>
    <t>шир</t>
  </si>
  <si>
    <t>Цз</t>
  </si>
  <si>
    <t>Сз</t>
  </si>
  <si>
    <t>Цена ламелей</t>
  </si>
  <si>
    <r>
      <t xml:space="preserve">Количество слоев защитной маски </t>
    </r>
    <r>
      <rPr>
        <b/>
        <sz val="10"/>
        <rFont val="Arial Cyr"/>
        <family val="2"/>
        <charset val="204"/>
      </rPr>
      <t>(0, 1, 2</t>
    </r>
    <r>
      <rPr>
        <sz val="10"/>
        <rFont val="Arial Cyr"/>
        <charset val="204"/>
      </rPr>
      <t>)</t>
    </r>
  </si>
  <si>
    <t>2+2</t>
  </si>
  <si>
    <r>
      <t xml:space="preserve">Тип защитной маски, </t>
    </r>
    <r>
      <rPr>
        <b/>
        <sz val="10"/>
        <rFont val="Arial Cyr"/>
        <charset val="204"/>
      </rPr>
      <t>КМ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charset val="204"/>
      </rPr>
      <t>ЖМ</t>
    </r>
  </si>
  <si>
    <t>КМ+ЖМ</t>
  </si>
  <si>
    <r>
      <t xml:space="preserve">Тип маркировки и количество слоев, </t>
    </r>
    <r>
      <rPr>
        <b/>
        <sz val="10"/>
        <rFont val="Arial Cyr"/>
        <family val="2"/>
        <charset val="204"/>
      </rPr>
      <t>Сф</t>
    </r>
    <r>
      <rPr>
        <sz val="10"/>
        <rFont val="Arial Cyr"/>
        <family val="2"/>
        <charset val="204"/>
      </rPr>
      <t/>
    </r>
  </si>
  <si>
    <t>Слоев маркировки</t>
  </si>
  <si>
    <t>Тип маркировки (0-нет, 1-ФМ, 2-Printar, 3-СГ</t>
  </si>
  <si>
    <t>Маркировка термоотверждающей краской на Printarе:</t>
  </si>
  <si>
    <t>Printar с 1</t>
  </si>
  <si>
    <t>7.3. Материалы</t>
  </si>
  <si>
    <r>
      <t xml:space="preserve">7.2. 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</t>
    </r>
  </si>
  <si>
    <t>7.1. Ручная маркировка, трудоемкость , Тр, час./шт.</t>
  </si>
  <si>
    <r>
      <t xml:space="preserve">6.1. 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</si>
  <si>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t>6.2. Материалы</t>
  </si>
  <si>
    <r>
      <t xml:space="preserve">6.3. 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</si>
  <si>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6.4. Материалы</t>
  </si>
  <si>
    <t>Activator Neoganth LS Plus</t>
  </si>
  <si>
    <t>Neoganth LS REDUCER (восстановитель)</t>
  </si>
  <si>
    <t>Борная кислота</t>
  </si>
  <si>
    <r>
      <t>Фрезеровка: нет-0, по контуру-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 углам-2</t>
    </r>
  </si>
  <si>
    <t>Представитель 310 ВП МО РФ</t>
  </si>
  <si>
    <t>Представленные материалы цены составлены на основании технико-экономических показателей, согласованных  310 ВП МО РФ, применяемых при формировании договорных цен на поставку В и ВТ в 2014 году, и составляющих:</t>
  </si>
  <si>
    <t>Фоторезист Riston 40мкм</t>
  </si>
  <si>
    <t>Фоторезист Riston 50мкм</t>
  </si>
  <si>
    <t>Neoganth LS PREDIP (предактивация)</t>
  </si>
  <si>
    <t>Натрий углекислый</t>
  </si>
  <si>
    <t>Добавка "AUNIC EN "C"</t>
  </si>
  <si>
    <t>RO4350B 0.254-017/017</t>
  </si>
  <si>
    <t>RO4350B 0.254-035/035</t>
  </si>
  <si>
    <t>230x395</t>
  </si>
  <si>
    <t>280x395</t>
  </si>
  <si>
    <t>485x585</t>
  </si>
  <si>
    <t>Пакотан</t>
  </si>
  <si>
    <t>текeщee</t>
  </si>
  <si>
    <t>___________________ Д.А. Романов</t>
  </si>
  <si>
    <t>Расчет стоимости изготовления многослойных печатных плат в ООО "МПП"</t>
  </si>
  <si>
    <t>Экономист ООО "МПП"</t>
  </si>
  <si>
    <t xml:space="preserve">Внимание! 
Срок изготовления отсчитывается со дня поступления платы за изготовлениене на расчетный счет или в кассу ООО "МПП"
</t>
  </si>
  <si>
    <t>Расчет стоимости электроконтроля печатных плат в ООО "МПП" на установке MANIA MPP 3824</t>
  </si>
  <si>
    <t>Генеральный директор ООО "МПП"</t>
  </si>
  <si>
    <t>Коэф. Корректировки трудоемкости</t>
  </si>
  <si>
    <t>Количество и размер ламелей (например 7 1.5х6.0)</t>
  </si>
  <si>
    <r>
      <t xml:space="preserve">Золочение,трудоемкость, </t>
    </r>
    <r>
      <rPr>
        <b/>
        <sz val="10"/>
        <rFont val="Arial Cyr"/>
        <charset val="204"/>
      </rPr>
      <t>Тз</t>
    </r>
    <r>
      <rPr>
        <sz val="10"/>
        <rFont val="Arial Cyr"/>
        <charset val="204"/>
      </rPr>
      <t>, час/загот.</t>
    </r>
  </si>
  <si>
    <t>0 0.0x0.0</t>
  </si>
  <si>
    <t>В этой строке формула. Не затирать. Зависит от кол-ва плат на заготовке</t>
  </si>
  <si>
    <r>
      <t>Разрубка блока, обрезка платы (да-</t>
    </r>
    <r>
      <rPr>
        <b/>
        <sz val="10"/>
        <rFont val="Arial Cyr"/>
        <family val="2"/>
        <charset val="204"/>
      </rPr>
      <t>1, в заготовке-2</t>
    </r>
    <r>
      <rPr>
        <sz val="10"/>
        <rFont val="Arial Cyr"/>
        <family val="2"/>
        <charset val="204"/>
      </rPr>
      <t>)</t>
    </r>
  </si>
  <si>
    <t>0.2часа на заготовку, 1.2 опытное произв, коэф класса 1.1-1.2-1.5на 6дециметров</t>
  </si>
  <si>
    <t>0.23часа на заготовку, 1.2 опытное произв, коэф класса 1.1-1.2-1.5на 6дециметров</t>
  </si>
  <si>
    <t>Цена, без НДС</t>
  </si>
  <si>
    <t>Нанесение защитной маски</t>
  </si>
  <si>
    <t>Маркировка</t>
  </si>
  <si>
    <t>Номер материала для внутр</t>
  </si>
  <si>
    <t>Номер материала для нар</t>
  </si>
  <si>
    <t>Дата расчета</t>
  </si>
  <si>
    <t xml:space="preserve">Защитная паяльная маска Dynamask 5030 (сухая) </t>
  </si>
  <si>
    <t>Плановая калькуляция</t>
  </si>
  <si>
    <t>Приложения:</t>
  </si>
  <si>
    <t>1. Расшифровка материальных затрат на изготовление МПП</t>
  </si>
  <si>
    <t>2. Расшифровка трудозатрат на изготовление МПП</t>
  </si>
  <si>
    <t>3. Расчетные нормы времени выполнения операций при изготовлении МПП</t>
  </si>
  <si>
    <t>Приложение №3 к плановой калькуляции</t>
  </si>
  <si>
    <t>Приложение № 2 к плановой калькуляции</t>
  </si>
  <si>
    <t>Приложение</t>
  </si>
  <si>
    <t>Начальник технологической группы</t>
  </si>
  <si>
    <t>______________ И.В. Горницкий</t>
  </si>
  <si>
    <t xml:space="preserve">Расчетные нормы времени выполнения основных операций при </t>
  </si>
  <si>
    <t>изготовлении многослойных печатных плат</t>
  </si>
  <si>
    <t>Приложение №1 к плановой калькуляции</t>
  </si>
  <si>
    <t xml:space="preserve">     Расчет  расхода и стоимостихимикатов, базовых, дополнительных материалов, сверл и фрез</t>
  </si>
  <si>
    <t>_____________ О.С. Ильина</t>
  </si>
  <si>
    <r>
      <t xml:space="preserve">Коэф. толщины МПП, </t>
    </r>
    <r>
      <rPr>
        <b/>
        <sz val="10"/>
        <rFont val="Arial Cyr"/>
        <charset val="204"/>
      </rPr>
      <t>Кт</t>
    </r>
  </si>
  <si>
    <r>
      <t xml:space="preserve">Коэф. выхода годных, </t>
    </r>
    <r>
      <rPr>
        <b/>
        <sz val="10"/>
        <rFont val="Arial Cyr"/>
        <charset val="204"/>
      </rPr>
      <t>Квг</t>
    </r>
  </si>
  <si>
    <r>
      <t xml:space="preserve">Значение коэф. </t>
    </r>
    <r>
      <rPr>
        <b/>
        <sz val="10"/>
        <rFont val="Arial Cyr"/>
        <charset val="204"/>
      </rPr>
      <t>Кс</t>
    </r>
    <r>
      <rPr>
        <sz val="10"/>
        <rFont val="Arial Cyr"/>
        <charset val="204"/>
      </rPr>
      <t xml:space="preserve">, учит. кол-во заготовок </t>
    </r>
  </si>
  <si>
    <t>Sопл =N*[A1*B1*n + А*В]/2 ,</t>
  </si>
  <si>
    <t>Краска белая термоотвердаемая Mark 3.1</t>
  </si>
  <si>
    <t>Маркировочная краска XV501 T-4 SM White (жидк.)</t>
  </si>
  <si>
    <t>DE 104 ML 35/35-0.8</t>
  </si>
  <si>
    <t xml:space="preserve">Материал фольгированный RO4360G2-18/18-0.508 </t>
  </si>
  <si>
    <t xml:space="preserve">Материал фольгированный RO4360G2-18/18-1.524 </t>
  </si>
  <si>
    <t>Гетинакс-1 0,5-1 мм</t>
  </si>
  <si>
    <t>Гетинакс-1 1,5 мм</t>
  </si>
  <si>
    <t>г</t>
  </si>
  <si>
    <t>Тс*N*(Чо1+Чо2)*Кc*Кп*Cн*Квг</t>
  </si>
  <si>
    <t>Натрия гидроокись</t>
  </si>
  <si>
    <t>Батист x/б отбеленный</t>
  </si>
  <si>
    <t>Бумага для очистки валика</t>
  </si>
  <si>
    <t>Бязь</t>
  </si>
  <si>
    <t>Лента Креп</t>
  </si>
  <si>
    <t>Лента малярная</t>
  </si>
  <si>
    <t>Медь двухлористая 2-водная</t>
  </si>
  <si>
    <t>Очиститель Screen opener K2</t>
  </si>
  <si>
    <t>Пакет с защелкой полиэтиленовый</t>
  </si>
  <si>
    <t>Пленка стрейч</t>
  </si>
  <si>
    <t>Разбавитель XZ 101 (для защитной маски XV 501T)</t>
  </si>
  <si>
    <t>Разбавитель XZ 107 (для защитной маски XV 501T-4)</t>
  </si>
  <si>
    <t>Сумка ПНД</t>
  </si>
  <si>
    <t>Основные и вспомогательные материалы</t>
  </si>
  <si>
    <t>RO4350B 0.762-035/035</t>
  </si>
  <si>
    <t>Тф2*N*Кф*Кт*Сн</t>
  </si>
  <si>
    <t>Тф1*N*Кф*Кт*Сн</t>
  </si>
  <si>
    <t>DE 104 ML 35/35-0,8</t>
  </si>
  <si>
    <t>Изготовленние шаблонов без пробивки (маска,маркировка)</t>
  </si>
  <si>
    <t>DE 104 ML 50/50-0.51</t>
  </si>
  <si>
    <r>
      <t xml:space="preserve">Полная стоимость 1-го нормочаса, </t>
    </r>
    <r>
      <rPr>
        <b/>
        <sz val="10"/>
        <rFont val="Arial Cyr"/>
        <charset val="204"/>
      </rPr>
      <t>Cн</t>
    </r>
    <r>
      <rPr>
        <sz val="10"/>
        <rFont val="Arial Cyr"/>
        <charset val="204"/>
      </rPr>
      <t>, руб.</t>
    </r>
  </si>
  <si>
    <t>5. Наценка на ПКИ, %</t>
  </si>
  <si>
    <t xml:space="preserve">Удельная </t>
  </si>
  <si>
    <t>Цена</t>
  </si>
  <si>
    <t>Стои-</t>
  </si>
  <si>
    <t>норма</t>
  </si>
  <si>
    <t>мость</t>
  </si>
  <si>
    <t>расхода,</t>
  </si>
  <si>
    <t xml:space="preserve">Ед. </t>
  </si>
  <si>
    <t>за ед.</t>
  </si>
  <si>
    <t>п/п</t>
  </si>
  <si>
    <t>измер.</t>
  </si>
  <si>
    <t>без НДС,</t>
  </si>
  <si>
    <t>Сверло твердосплавное d 0,70…2,05 мм, отв/шт</t>
  </si>
  <si>
    <t>Фреза твердосплавная</t>
  </si>
  <si>
    <t>Расчет расхода и стоимости покупных комплектующих изделий (ПКИ)</t>
  </si>
  <si>
    <t xml:space="preserve">DE 104 ML 18/18-0,2 </t>
  </si>
  <si>
    <t>Стеклотекстолит фольгированный</t>
  </si>
  <si>
    <t>Экономические показатели ООО "МПП" на 2018 г., утвержденные 
310 ВП МО РФ</t>
  </si>
  <si>
    <t>Приложение к ведомости поставки №__________ от _______________2018 г.</t>
  </si>
  <si>
    <t>____ ____________ 2018 г.</t>
  </si>
  <si>
    <t>DE 104 ML 105/105-0.15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</si>
</sst>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0"/>
    <numFmt numFmtId="165" formatCode="0.0"/>
    <numFmt numFmtId="166" formatCode="0.0000"/>
    <numFmt numFmtId="167" formatCode="0.00000"/>
    <numFmt numFmtId="168" formatCode="dd/mm/yy;@"/>
    <numFmt numFmtId="169" formatCode="#,##0.00&quot;р.&quot;"/>
    <numFmt numFmtId="170" formatCode="#,##0.00_р_."/>
    <numFmt numFmtId="171" formatCode="#,##0&quot;р.&quot;"/>
    <numFmt numFmtId="172" formatCode="[$-F800]dddd\,\ mmmm\ dd\,\ yyyy"/>
    <numFmt numFmtId="173" formatCode="#,##0.00_ ;\-#,##0.00\ "/>
  </numFmts>
  <fonts count="64" x14ac:knownFonts="1"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8"/>
      <name val="Arial Cyr"/>
      <family val="2"/>
      <charset val="204"/>
    </font>
    <font>
      <b/>
      <sz val="11"/>
      <name val="Arial Cyr"/>
      <family val="2"/>
      <charset val="204"/>
    </font>
    <font>
      <b/>
      <sz val="10"/>
      <name val="Arial Cyr"/>
      <charset val="204"/>
    </font>
    <font>
      <sz val="9"/>
      <name val="Arial Cyr"/>
      <charset val="204"/>
    </font>
    <font>
      <sz val="8"/>
      <name val="Arial Cyr"/>
      <charset val="204"/>
    </font>
    <font>
      <b/>
      <sz val="9"/>
      <name val="Arial Cyr"/>
      <charset val="204"/>
    </font>
    <font>
      <b/>
      <sz val="8"/>
      <name val="Arial Cyr"/>
      <charset val="204"/>
    </font>
    <font>
      <sz val="10"/>
      <name val="Arial Cyr"/>
      <charset val="204"/>
    </font>
    <font>
      <sz val="12"/>
      <name val="Times New Roman"/>
      <family val="1"/>
      <charset val="204"/>
    </font>
    <font>
      <vertAlign val="subscript"/>
      <sz val="12"/>
      <name val="Times New Roman"/>
      <family val="1"/>
      <charset val="204"/>
    </font>
    <font>
      <vertAlign val="superscript"/>
      <sz val="12"/>
      <name val="Times New Roman"/>
      <family val="1"/>
      <charset val="204"/>
    </font>
    <font>
      <sz val="9"/>
      <name val="Arial Cyr"/>
      <family val="2"/>
      <charset val="204"/>
    </font>
    <font>
      <b/>
      <sz val="12"/>
      <name val="Times New Roman"/>
      <family val="1"/>
      <charset val="204"/>
    </font>
    <font>
      <b/>
      <sz val="10"/>
      <name val="Calibri"/>
      <family val="2"/>
      <charset val="204"/>
    </font>
    <font>
      <b/>
      <sz val="12"/>
      <name val="Arial Cyr"/>
      <charset val="204"/>
    </font>
    <font>
      <b/>
      <sz val="11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Times New Roman"/>
      <family val="1"/>
      <charset val="204"/>
    </font>
    <font>
      <u/>
      <sz val="12"/>
      <name val="Times New Roman"/>
      <family val="1"/>
      <charset val="204"/>
    </font>
    <font>
      <sz val="10"/>
      <name val="Cambria"/>
      <family val="1"/>
      <charset val="204"/>
    </font>
    <font>
      <b/>
      <sz val="10"/>
      <name val="Cambria"/>
      <family val="1"/>
      <charset val="204"/>
    </font>
    <font>
      <b/>
      <sz val="12"/>
      <name val="Cambria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name val="Times New Roman"/>
      <family val="1"/>
      <charset val="204"/>
    </font>
    <font>
      <sz val="13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7"/>
      <name val="Times New Roman"/>
      <family val="1"/>
      <charset val="204"/>
    </font>
    <font>
      <b/>
      <u/>
      <sz val="14"/>
      <name val="Times New Roman"/>
      <family val="1"/>
      <charset val="204"/>
    </font>
    <font>
      <u/>
      <sz val="14"/>
      <name val="Times New Roman"/>
      <family val="1"/>
      <charset val="204"/>
    </font>
    <font>
      <i/>
      <u/>
      <sz val="14"/>
      <name val="Times New Roman"/>
      <family val="1"/>
      <charset val="204"/>
    </font>
    <font>
      <u/>
      <sz val="13"/>
      <name val="Times New Roman"/>
      <family val="1"/>
      <charset val="204"/>
    </font>
    <font>
      <sz val="12"/>
      <color indexed="8"/>
      <name val="Calibri"/>
      <family val="2"/>
      <charset val="204"/>
    </font>
    <font>
      <sz val="12"/>
      <color indexed="8"/>
      <name val="Calibri"/>
      <family val="2"/>
      <charset val="204"/>
    </font>
    <font>
      <sz val="8"/>
      <color indexed="8"/>
      <name val="Arial Cyr"/>
    </font>
    <font>
      <sz val="12"/>
      <name val="Arial Cyr"/>
      <charset val="204"/>
    </font>
    <font>
      <b/>
      <sz val="11"/>
      <name val="Arial Cyr"/>
      <charset val="204"/>
    </font>
    <font>
      <b/>
      <sz val="14"/>
      <name val="Arial Cyr"/>
      <charset val="204"/>
    </font>
    <font>
      <b/>
      <sz val="10"/>
      <color indexed="9"/>
      <name val="Arial Cyr"/>
      <family val="2"/>
      <charset val="204"/>
    </font>
    <font>
      <sz val="10"/>
      <color indexed="9"/>
      <name val="Arial Cyr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2"/>
      <color rgb="FF3F3F76"/>
      <name val="Calibri"/>
      <family val="2"/>
      <charset val="204"/>
      <scheme val="minor"/>
    </font>
    <font>
      <b/>
      <sz val="12"/>
      <color rgb="FF3F3F3F"/>
      <name val="Calibri"/>
      <family val="2"/>
      <charset val="204"/>
      <scheme val="minor"/>
    </font>
    <font>
      <b/>
      <sz val="12"/>
      <color rgb="FFFA7D0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sz val="12"/>
      <color rgb="FF9C6500"/>
      <name val="Calibri"/>
      <family val="2"/>
      <charset val="204"/>
      <scheme val="minor"/>
    </font>
    <font>
      <sz val="12"/>
      <color rgb="FF9C0006"/>
      <name val="Calibri"/>
      <family val="2"/>
      <charset val="204"/>
      <scheme val="minor"/>
    </font>
    <font>
      <i/>
      <sz val="12"/>
      <color rgb="FF7F7F7F"/>
      <name val="Calibri"/>
      <family val="2"/>
      <charset val="204"/>
      <scheme val="minor"/>
    </font>
    <font>
      <sz val="12"/>
      <color rgb="FFFA7D00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sz val="12"/>
      <color rgb="FF006100"/>
      <name val="Calibri"/>
      <family val="2"/>
      <charset val="204"/>
      <scheme val="minor"/>
    </font>
    <font>
      <b/>
      <sz val="10"/>
      <color theme="0"/>
      <name val="Arial Cyr"/>
      <charset val="204"/>
    </font>
    <font>
      <sz val="10"/>
      <color theme="0"/>
      <name val="Arial Cyr"/>
      <charset val="204"/>
    </font>
    <font>
      <sz val="10"/>
      <color rgb="FF000000"/>
      <name val="Arial Cyr"/>
    </font>
  </fonts>
  <fills count="4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</borders>
  <cellStyleXfs count="45">
    <xf numFmtId="0" fontId="0" fillId="0" borderId="0"/>
    <xf numFmtId="0" fontId="44" fillId="9" borderId="0" applyNumberFormat="0" applyBorder="0" applyAlignment="0" applyProtection="0"/>
    <xf numFmtId="0" fontId="44" fillId="10" borderId="0" applyNumberFormat="0" applyBorder="0" applyAlignment="0" applyProtection="0"/>
    <xf numFmtId="0" fontId="44" fillId="11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44" fillId="14" borderId="0" applyNumberFormat="0" applyBorder="0" applyAlignment="0" applyProtection="0"/>
    <xf numFmtId="0" fontId="44" fillId="15" borderId="0" applyNumberFormat="0" applyBorder="0" applyAlignment="0" applyProtection="0"/>
    <xf numFmtId="0" fontId="44" fillId="16" borderId="0" applyNumberFormat="0" applyBorder="0" applyAlignment="0" applyProtection="0"/>
    <xf numFmtId="0" fontId="44" fillId="17" borderId="0" applyNumberFormat="0" applyBorder="0" applyAlignment="0" applyProtection="0"/>
    <xf numFmtId="0" fontId="44" fillId="18" borderId="0" applyNumberFormat="0" applyBorder="0" applyAlignment="0" applyProtection="0"/>
    <xf numFmtId="0" fontId="44" fillId="19" borderId="0" applyNumberFormat="0" applyBorder="0" applyAlignment="0" applyProtection="0"/>
    <xf numFmtId="0" fontId="44" fillId="20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24" borderId="0" applyNumberFormat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45" fillId="30" borderId="0" applyNumberFormat="0" applyBorder="0" applyAlignment="0" applyProtection="0"/>
    <xf numFmtId="0" fontId="45" fillId="31" borderId="0" applyNumberFormat="0" applyBorder="0" applyAlignment="0" applyProtection="0"/>
    <xf numFmtId="0" fontId="45" fillId="32" borderId="0" applyNumberFormat="0" applyBorder="0" applyAlignment="0" applyProtection="0"/>
    <xf numFmtId="0" fontId="46" fillId="33" borderId="56" applyNumberFormat="0" applyAlignment="0" applyProtection="0"/>
    <xf numFmtId="0" fontId="47" fillId="34" borderId="57" applyNumberFormat="0" applyAlignment="0" applyProtection="0"/>
    <xf numFmtId="0" fontId="48" fillId="34" borderId="56" applyNumberFormat="0" applyAlignment="0" applyProtection="0"/>
    <xf numFmtId="0" fontId="49" fillId="0" borderId="58" applyNumberFormat="0" applyFill="0" applyAlignment="0" applyProtection="0"/>
    <xf numFmtId="0" fontId="50" fillId="0" borderId="59" applyNumberFormat="0" applyFill="0" applyAlignment="0" applyProtection="0"/>
    <xf numFmtId="0" fontId="51" fillId="0" borderId="60" applyNumberFormat="0" applyFill="0" applyAlignment="0" applyProtection="0"/>
    <xf numFmtId="0" fontId="51" fillId="0" borderId="0" applyNumberFormat="0" applyFill="0" applyBorder="0" applyAlignment="0" applyProtection="0"/>
    <xf numFmtId="0" fontId="52" fillId="0" borderId="61" applyNumberFormat="0" applyFill="0" applyAlignment="0" applyProtection="0"/>
    <xf numFmtId="0" fontId="53" fillId="35" borderId="62" applyNumberFormat="0" applyAlignment="0" applyProtection="0"/>
    <xf numFmtId="0" fontId="54" fillId="0" borderId="0" applyNumberFormat="0" applyFill="0" applyBorder="0" applyAlignment="0" applyProtection="0"/>
    <xf numFmtId="0" fontId="55" fillId="36" borderId="0" applyNumberFormat="0" applyBorder="0" applyAlignment="0" applyProtection="0"/>
    <xf numFmtId="172" fontId="10" fillId="0" borderId="0"/>
    <xf numFmtId="0" fontId="56" fillId="37" borderId="0" applyNumberFormat="0" applyBorder="0" applyAlignment="0" applyProtection="0"/>
    <xf numFmtId="0" fontId="57" fillId="0" borderId="0" applyNumberFormat="0" applyFill="0" applyBorder="0" applyAlignment="0" applyProtection="0"/>
    <xf numFmtId="0" fontId="37" fillId="38" borderId="63" applyNumberFormat="0" applyFont="0" applyAlignment="0" applyProtection="0"/>
    <xf numFmtId="0" fontId="36" fillId="38" borderId="63" applyNumberFormat="0" applyFont="0" applyAlignment="0" applyProtection="0"/>
    <xf numFmtId="9" fontId="10" fillId="0" borderId="0" applyFont="0" applyFill="0" applyBorder="0" applyAlignment="0" applyProtection="0"/>
    <xf numFmtId="0" fontId="58" fillId="0" borderId="64" applyNumberFormat="0" applyFill="0" applyAlignment="0" applyProtection="0"/>
    <xf numFmtId="0" fontId="59" fillId="0" borderId="0" applyNumberFormat="0" applyFill="0" applyBorder="0" applyAlignment="0" applyProtection="0"/>
    <xf numFmtId="0" fontId="60" fillId="39" borderId="0" applyNumberFormat="0" applyBorder="0" applyAlignment="0" applyProtection="0"/>
  </cellStyleXfs>
  <cellXfs count="798">
    <xf numFmtId="0" fontId="0" fillId="0" borderId="0" xfId="0"/>
    <xf numFmtId="0" fontId="0" fillId="0" borderId="0" xfId="0" applyAlignment="1">
      <alignment horizontal="right"/>
    </xf>
    <xf numFmtId="0" fontId="0" fillId="0" borderId="0" xfId="0" applyBorder="1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/>
    <xf numFmtId="2" fontId="0" fillId="0" borderId="0" xfId="0" applyNumberFormat="1" applyAlignment="1">
      <alignment horizontal="center"/>
    </xf>
    <xf numFmtId="0" fontId="2" fillId="0" borderId="4" xfId="0" applyFont="1" applyBorder="1"/>
    <xf numFmtId="14" fontId="1" fillId="0" borderId="5" xfId="0" applyNumberFormat="1" applyFont="1" applyBorder="1"/>
    <xf numFmtId="0" fontId="0" fillId="0" borderId="6" xfId="0" applyBorder="1"/>
    <xf numFmtId="0" fontId="1" fillId="0" borderId="7" xfId="0" applyFont="1" applyBorder="1" applyAlignment="1">
      <alignment horizontal="center"/>
    </xf>
    <xf numFmtId="0" fontId="0" fillId="0" borderId="8" xfId="0" applyBorder="1"/>
    <xf numFmtId="2" fontId="1" fillId="0" borderId="7" xfId="0" applyNumberFormat="1" applyFont="1" applyBorder="1" applyAlignment="1">
      <alignment horizontal="center"/>
    </xf>
    <xf numFmtId="0" fontId="0" fillId="0" borderId="9" xfId="0" applyBorder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2" fillId="0" borderId="4" xfId="0" applyFont="1" applyBorder="1" applyAlignment="1">
      <alignment horizontal="right"/>
    </xf>
    <xf numFmtId="0" fontId="0" fillId="0" borderId="4" xfId="0" applyBorder="1"/>
    <xf numFmtId="0" fontId="0" fillId="0" borderId="10" xfId="0" applyBorder="1"/>
    <xf numFmtId="0" fontId="0" fillId="2" borderId="0" xfId="0" applyFill="1"/>
    <xf numFmtId="0" fontId="2" fillId="2" borderId="0" xfId="0" applyFont="1" applyFill="1" applyBorder="1"/>
    <xf numFmtId="0" fontId="1" fillId="2" borderId="0" xfId="0" applyFont="1" applyFill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/>
    <xf numFmtId="2" fontId="1" fillId="0" borderId="0" xfId="0" applyNumberFormat="1" applyFont="1" applyAlignment="1">
      <alignment horizontal="left"/>
    </xf>
    <xf numFmtId="0" fontId="3" fillId="0" borderId="0" xfId="0" applyFont="1" applyBorder="1" applyAlignment="1">
      <alignment horizontal="right"/>
    </xf>
    <xf numFmtId="0" fontId="3" fillId="0" borderId="0" xfId="0" applyFont="1" applyAlignment="1">
      <alignment horizontal="right"/>
    </xf>
    <xf numFmtId="16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0" fillId="0" borderId="0" xfId="0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/>
    <xf numFmtId="0" fontId="0" fillId="0" borderId="4" xfId="0" applyBorder="1" applyAlignment="1">
      <alignment horizontal="left"/>
    </xf>
    <xf numFmtId="164" fontId="1" fillId="0" borderId="7" xfId="0" applyNumberFormat="1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2" fillId="0" borderId="0" xfId="0" applyFont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68" fontId="1" fillId="0" borderId="14" xfId="0" applyNumberFormat="1" applyFont="1" applyBorder="1" applyProtection="1">
      <protection locked="0"/>
    </xf>
    <xf numFmtId="0" fontId="1" fillId="0" borderId="14" xfId="0" applyFont="1" applyBorder="1" applyAlignment="1">
      <alignment horizontal="center"/>
    </xf>
    <xf numFmtId="0" fontId="0" fillId="0" borderId="2" xfId="0" applyBorder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9" xfId="0" applyFont="1" applyBorder="1"/>
    <xf numFmtId="0" fontId="6" fillId="0" borderId="0" xfId="0" applyFont="1"/>
    <xf numFmtId="0" fontId="6" fillId="0" borderId="4" xfId="0" applyFont="1" applyBorder="1"/>
    <xf numFmtId="0" fontId="7" fillId="0" borderId="0" xfId="0" applyFont="1"/>
    <xf numFmtId="0" fontId="9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0" fontId="0" fillId="0" borderId="7" xfId="0" applyBorder="1"/>
    <xf numFmtId="0" fontId="0" fillId="3" borderId="0" xfId="0" applyFill="1"/>
    <xf numFmtId="0" fontId="7" fillId="0" borderId="0" xfId="0" applyFont="1" applyBorder="1"/>
    <xf numFmtId="2" fontId="6" fillId="0" borderId="0" xfId="0" applyNumberFormat="1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1" fillId="0" borderId="0" xfId="0" applyFont="1"/>
    <xf numFmtId="2" fontId="0" fillId="0" borderId="0" xfId="0" applyNumberFormat="1"/>
    <xf numFmtId="0" fontId="11" fillId="0" borderId="2" xfId="0" applyFont="1" applyBorder="1"/>
    <xf numFmtId="0" fontId="7" fillId="0" borderId="0" xfId="0" applyFont="1" applyAlignment="1">
      <alignment horizontal="center"/>
    </xf>
    <xf numFmtId="0" fontId="0" fillId="0" borderId="15" xfId="0" applyBorder="1" applyAlignment="1">
      <alignment horizontal="center"/>
    </xf>
    <xf numFmtId="0" fontId="7" fillId="0" borderId="0" xfId="0" applyFont="1" applyAlignment="1">
      <alignment horizontal="right"/>
    </xf>
    <xf numFmtId="0" fontId="2" fillId="0" borderId="4" xfId="0" applyFont="1" applyBorder="1" applyAlignment="1">
      <alignment horizontal="left"/>
    </xf>
    <xf numFmtId="0" fontId="0" fillId="2" borderId="0" xfId="0" applyFill="1" applyBorder="1"/>
    <xf numFmtId="2" fontId="1" fillId="2" borderId="0" xfId="0" applyNumberFormat="1" applyFont="1" applyFill="1" applyBorder="1" applyAlignment="1">
      <alignment horizontal="center"/>
    </xf>
    <xf numFmtId="0" fontId="0" fillId="3" borderId="4" xfId="0" applyFill="1" applyBorder="1"/>
    <xf numFmtId="2" fontId="10" fillId="3" borderId="2" xfId="0" applyNumberFormat="1" applyFont="1" applyFill="1" applyBorder="1" applyAlignment="1">
      <alignment horizontal="center"/>
    </xf>
    <xf numFmtId="0" fontId="14" fillId="0" borderId="4" xfId="0" applyFont="1" applyBorder="1"/>
    <xf numFmtId="0" fontId="0" fillId="3" borderId="2" xfId="0" applyFill="1" applyBorder="1"/>
    <xf numFmtId="0" fontId="9" fillId="0" borderId="0" xfId="0" applyFont="1"/>
    <xf numFmtId="0" fontId="9" fillId="0" borderId="2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167" fontId="7" fillId="0" borderId="0" xfId="0" applyNumberFormat="1" applyFont="1"/>
    <xf numFmtId="0" fontId="7" fillId="0" borderId="2" xfId="0" applyFont="1" applyBorder="1" applyAlignment="1">
      <alignment horizontal="center" vertical="top" wrapText="1"/>
    </xf>
    <xf numFmtId="0" fontId="7" fillId="0" borderId="2" xfId="0" applyFont="1" applyBorder="1" applyAlignment="1">
      <alignment vertical="top" wrapText="1"/>
    </xf>
    <xf numFmtId="0" fontId="7" fillId="0" borderId="16" xfId="0" applyFont="1" applyBorder="1" applyAlignment="1">
      <alignment horizontal="center" vertical="top" wrapText="1"/>
    </xf>
    <xf numFmtId="0" fontId="7" fillId="0" borderId="16" xfId="0" applyFont="1" applyBorder="1" applyAlignment="1">
      <alignment vertical="top" wrapText="1"/>
    </xf>
    <xf numFmtId="0" fontId="7" fillId="0" borderId="0" xfId="0" applyFont="1" applyBorder="1" applyAlignment="1">
      <alignment horizontal="center" vertical="top" wrapText="1"/>
    </xf>
    <xf numFmtId="0" fontId="5" fillId="0" borderId="17" xfId="0" applyFont="1" applyBorder="1" applyAlignment="1">
      <alignment horizontal="center" wrapText="1"/>
    </xf>
    <xf numFmtId="0" fontId="5" fillId="0" borderId="13" xfId="0" applyFont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0" fontId="5" fillId="0" borderId="2" xfId="0" applyNumberFormat="1" applyFont="1" applyBorder="1" applyAlignment="1">
      <alignment horizontal="center" vertical="justify" wrapText="1"/>
    </xf>
    <xf numFmtId="0" fontId="5" fillId="0" borderId="9" xfId="0" applyFont="1" applyBorder="1" applyAlignment="1">
      <alignment horizontal="center" wrapText="1"/>
    </xf>
    <xf numFmtId="0" fontId="0" fillId="0" borderId="2" xfId="0" applyNumberFormat="1" applyBorder="1" applyAlignment="1">
      <alignment horizontal="center" vertical="justify" wrapText="1"/>
    </xf>
    <xf numFmtId="0" fontId="0" fillId="0" borderId="17" xfId="0" applyBorder="1"/>
    <xf numFmtId="2" fontId="9" fillId="0" borderId="2" xfId="0" applyNumberFormat="1" applyFont="1" applyBorder="1" applyAlignment="1">
      <alignment horizontal="center"/>
    </xf>
    <xf numFmtId="0" fontId="1" fillId="0" borderId="7" xfId="0" applyFont="1" applyBorder="1" applyAlignment="1" applyProtection="1">
      <alignment horizontal="center"/>
      <protection locked="0"/>
    </xf>
    <xf numFmtId="0" fontId="10" fillId="0" borderId="4" xfId="0" applyFont="1" applyBorder="1"/>
    <xf numFmtId="2" fontId="1" fillId="0" borderId="7" xfId="0" applyNumberFormat="1" applyFont="1" applyBorder="1" applyAlignment="1" applyProtection="1">
      <alignment horizontal="center"/>
      <protection locked="0"/>
    </xf>
    <xf numFmtId="0" fontId="10" fillId="0" borderId="0" xfId="0" applyFont="1" applyBorder="1"/>
    <xf numFmtId="1" fontId="1" fillId="0" borderId="7" xfId="0" applyNumberFormat="1" applyFont="1" applyBorder="1" applyAlignment="1" applyProtection="1">
      <alignment horizontal="center"/>
      <protection locked="0"/>
    </xf>
    <xf numFmtId="0" fontId="1" fillId="3" borderId="14" xfId="0" applyFont="1" applyFill="1" applyBorder="1" applyAlignment="1" applyProtection="1">
      <alignment horizontal="center"/>
      <protection locked="0"/>
    </xf>
    <xf numFmtId="0" fontId="5" fillId="0" borderId="7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2" fillId="0" borderId="4" xfId="0" applyFont="1" applyBorder="1" applyAlignment="1"/>
    <xf numFmtId="0" fontId="2" fillId="0" borderId="2" xfId="0" applyFont="1" applyBorder="1"/>
    <xf numFmtId="0" fontId="10" fillId="0" borderId="2" xfId="0" applyFont="1" applyBorder="1" applyAlignment="1">
      <alignment horizontal="right"/>
    </xf>
    <xf numFmtId="0" fontId="1" fillId="0" borderId="18" xfId="0" applyFont="1" applyBorder="1"/>
    <xf numFmtId="0" fontId="5" fillId="0" borderId="2" xfId="0" applyFont="1" applyBorder="1"/>
    <xf numFmtId="0" fontId="5" fillId="0" borderId="4" xfId="0" applyFont="1" applyBorder="1" applyAlignment="1">
      <alignment horizontal="right"/>
    </xf>
    <xf numFmtId="0" fontId="5" fillId="0" borderId="11" xfId="0" applyFont="1" applyBorder="1"/>
    <xf numFmtId="2" fontId="5" fillId="0" borderId="11" xfId="0" applyNumberFormat="1" applyFont="1" applyBorder="1" applyAlignment="1">
      <alignment horizontal="center"/>
    </xf>
    <xf numFmtId="2" fontId="5" fillId="0" borderId="2" xfId="0" applyNumberFormat="1" applyFont="1" applyFill="1" applyBorder="1"/>
    <xf numFmtId="0" fontId="0" fillId="0" borderId="0" xfId="0" applyAlignment="1"/>
    <xf numFmtId="0" fontId="0" fillId="0" borderId="8" xfId="0" applyFill="1" applyBorder="1" applyAlignment="1">
      <alignment horizontal="left"/>
    </xf>
    <xf numFmtId="0" fontId="10" fillId="0" borderId="10" xfId="0" applyFont="1" applyBorder="1"/>
    <xf numFmtId="0" fontId="10" fillId="0" borderId="9" xfId="0" applyFont="1" applyBorder="1"/>
    <xf numFmtId="0" fontId="10" fillId="0" borderId="0" xfId="0" applyFont="1" applyFill="1" applyBorder="1"/>
    <xf numFmtId="2" fontId="5" fillId="0" borderId="0" xfId="0" applyNumberFormat="1" applyFont="1" applyBorder="1" applyAlignment="1">
      <alignment horizontal="center"/>
    </xf>
    <xf numFmtId="0" fontId="0" fillId="0" borderId="19" xfId="0" applyBorder="1"/>
    <xf numFmtId="2" fontId="0" fillId="0" borderId="20" xfId="0" applyNumberFormat="1" applyBorder="1" applyAlignment="1">
      <alignment horizontal="center"/>
    </xf>
    <xf numFmtId="0" fontId="0" fillId="0" borderId="2" xfId="0" applyFill="1" applyBorder="1"/>
    <xf numFmtId="0" fontId="1" fillId="0" borderId="7" xfId="0" applyFont="1" applyFill="1" applyBorder="1" applyAlignment="1" applyProtection="1">
      <alignment horizontal="center"/>
      <protection locked="0"/>
    </xf>
    <xf numFmtId="49" fontId="6" fillId="0" borderId="21" xfId="0" applyNumberFormat="1" applyFont="1" applyBorder="1" applyAlignment="1"/>
    <xf numFmtId="0" fontId="0" fillId="0" borderId="17" xfId="0" applyBorder="1" applyAlignment="1">
      <alignment horizontal="center" vertical="top"/>
    </xf>
    <xf numFmtId="0" fontId="0" fillId="0" borderId="17" xfId="0" applyFont="1" applyBorder="1" applyAlignment="1">
      <alignment horizontal="left" vertical="top" wrapText="1"/>
    </xf>
    <xf numFmtId="0" fontId="1" fillId="0" borderId="0" xfId="0" applyFont="1" applyAlignment="1">
      <alignment horizontal="center"/>
    </xf>
    <xf numFmtId="0" fontId="8" fillId="0" borderId="1" xfId="0" applyNumberFormat="1" applyFont="1" applyBorder="1" applyAlignment="1">
      <alignment horizontal="center" vertical="center" wrapText="1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0" fontId="15" fillId="0" borderId="0" xfId="0" applyFont="1"/>
    <xf numFmtId="0" fontId="15" fillId="0" borderId="0" xfId="0" applyFont="1" applyBorder="1"/>
    <xf numFmtId="0" fontId="10" fillId="0" borderId="0" xfId="0" applyFont="1"/>
    <xf numFmtId="0" fontId="20" fillId="0" borderId="0" xfId="0" applyFont="1" applyAlignment="1">
      <alignment horizontal="right"/>
    </xf>
    <xf numFmtId="0" fontId="20" fillId="0" borderId="0" xfId="0" applyFont="1" applyBorder="1" applyAlignment="1">
      <alignment horizontal="center" vertical="top" wrapText="1"/>
    </xf>
    <xf numFmtId="0" fontId="20" fillId="0" borderId="17" xfId="0" applyFont="1" applyBorder="1" applyAlignment="1">
      <alignment horizontal="center" wrapText="1"/>
    </xf>
    <xf numFmtId="0" fontId="20" fillId="0" borderId="17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wrapText="1"/>
    </xf>
    <xf numFmtId="0" fontId="20" fillId="0" borderId="19" xfId="0" applyFont="1" applyBorder="1" applyAlignment="1">
      <alignment horizontal="center" wrapText="1"/>
    </xf>
    <xf numFmtId="0" fontId="20" fillId="0" borderId="4" xfId="0" applyFont="1" applyBorder="1" applyAlignment="1">
      <alignment horizontal="center" wrapText="1"/>
    </xf>
    <xf numFmtId="0" fontId="20" fillId="0" borderId="2" xfId="0" applyFont="1" applyBorder="1" applyAlignment="1">
      <alignment horizontal="center" wrapText="1"/>
    </xf>
    <xf numFmtId="0" fontId="20" fillId="0" borderId="16" xfId="0" applyFont="1" applyBorder="1" applyAlignment="1">
      <alignment horizontal="center" wrapText="1"/>
    </xf>
    <xf numFmtId="0" fontId="20" fillId="0" borderId="0" xfId="0" applyFont="1"/>
    <xf numFmtId="0" fontId="20" fillId="0" borderId="0" xfId="0" applyFont="1" applyBorder="1"/>
    <xf numFmtId="0" fontId="20" fillId="0" borderId="11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center" vertical="top" wrapText="1"/>
    </xf>
    <xf numFmtId="0" fontId="11" fillId="0" borderId="0" xfId="0" applyFont="1" applyBorder="1"/>
    <xf numFmtId="0" fontId="21" fillId="0" borderId="0" xfId="0" applyFont="1" applyBorder="1"/>
    <xf numFmtId="0" fontId="20" fillId="0" borderId="10" xfId="0" applyFont="1" applyBorder="1" applyAlignment="1">
      <alignment horizontal="center" wrapText="1"/>
    </xf>
    <xf numFmtId="0" fontId="20" fillId="0" borderId="1" xfId="0" applyFont="1" applyBorder="1" applyAlignment="1">
      <alignment horizontal="center" wrapText="1"/>
    </xf>
    <xf numFmtId="0" fontId="22" fillId="0" borderId="0" xfId="0" applyFont="1" applyAlignment="1">
      <alignment horizontal="center"/>
    </xf>
    <xf numFmtId="0" fontId="20" fillId="0" borderId="12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left" vertical="top" wrapText="1"/>
    </xf>
    <xf numFmtId="0" fontId="20" fillId="0" borderId="8" xfId="0" applyFont="1" applyBorder="1" applyAlignment="1">
      <alignment vertical="top" wrapText="1"/>
    </xf>
    <xf numFmtId="0" fontId="20" fillId="0" borderId="6" xfId="0" applyFont="1" applyBorder="1" applyAlignment="1">
      <alignment horizontal="center" vertical="top" wrapText="1"/>
    </xf>
    <xf numFmtId="0" fontId="20" fillId="0" borderId="1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vertical="top" wrapText="1"/>
    </xf>
    <xf numFmtId="0" fontId="20" fillId="0" borderId="16" xfId="0" applyNumberFormat="1" applyFont="1" applyBorder="1" applyAlignment="1">
      <alignment horizontal="center" vertical="top" wrapText="1"/>
    </xf>
    <xf numFmtId="0" fontId="20" fillId="0" borderId="19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top" wrapText="1"/>
    </xf>
    <xf numFmtId="14" fontId="20" fillId="0" borderId="6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horizontal="left" vertical="top"/>
    </xf>
    <xf numFmtId="0" fontId="20" fillId="0" borderId="0" xfId="0" applyFont="1" applyBorder="1" applyAlignment="1">
      <alignment wrapText="1"/>
    </xf>
    <xf numFmtId="0" fontId="11" fillId="0" borderId="0" xfId="0" applyFont="1" applyAlignment="1">
      <alignment horizontal="justify"/>
    </xf>
    <xf numFmtId="169" fontId="20" fillId="0" borderId="4" xfId="0" applyNumberFormat="1" applyFont="1" applyBorder="1" applyAlignment="1">
      <alignment horizontal="center" vertical="top" wrapText="1"/>
    </xf>
    <xf numFmtId="169" fontId="20" fillId="0" borderId="8" xfId="0" applyNumberFormat="1" applyFont="1" applyBorder="1" applyAlignment="1">
      <alignment horizontal="center" vertical="top" wrapText="1"/>
    </xf>
    <xf numFmtId="169" fontId="20" fillId="0" borderId="1" xfId="0" applyNumberFormat="1" applyFont="1" applyBorder="1" applyAlignment="1">
      <alignment horizontal="center" vertical="top" wrapText="1"/>
    </xf>
    <xf numFmtId="169" fontId="20" fillId="0" borderId="17" xfId="0" applyNumberFormat="1" applyFont="1" applyBorder="1" applyAlignment="1">
      <alignment horizontal="center" vertical="top" wrapText="1"/>
    </xf>
    <xf numFmtId="0" fontId="17" fillId="0" borderId="0" xfId="0" applyFont="1"/>
    <xf numFmtId="0" fontId="0" fillId="0" borderId="2" xfId="0" applyBorder="1" applyAlignment="1">
      <alignment horizontal="center" vertical="top"/>
    </xf>
    <xf numFmtId="167" fontId="0" fillId="0" borderId="0" xfId="0" applyNumberFormat="1"/>
    <xf numFmtId="0" fontId="5" fillId="0" borderId="6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left" vertical="center" wrapText="1"/>
    </xf>
    <xf numFmtId="0" fontId="6" fillId="0" borderId="1" xfId="0" applyNumberFormat="1" applyFont="1" applyBorder="1" applyAlignment="1">
      <alignment horizontal="center" vertical="center" wrapText="1"/>
    </xf>
    <xf numFmtId="0" fontId="0" fillId="0" borderId="0" xfId="0" applyFont="1"/>
    <xf numFmtId="0" fontId="0" fillId="0" borderId="6" xfId="0" applyBorder="1" applyAlignment="1">
      <alignment horizontal="left" vertical="center" wrapText="1"/>
    </xf>
    <xf numFmtId="0" fontId="0" fillId="0" borderId="2" xfId="0" applyFill="1" applyBorder="1" applyAlignment="1">
      <alignment horizontal="center"/>
    </xf>
    <xf numFmtId="0" fontId="10" fillId="0" borderId="4" xfId="0" applyFont="1" applyFill="1" applyBorder="1"/>
    <xf numFmtId="0" fontId="0" fillId="0" borderId="9" xfId="0" applyFill="1" applyBorder="1"/>
    <xf numFmtId="0" fontId="0" fillId="0" borderId="11" xfId="0" applyFill="1" applyBorder="1"/>
    <xf numFmtId="0" fontId="0" fillId="0" borderId="0" xfId="0" applyFill="1"/>
    <xf numFmtId="0" fontId="23" fillId="0" borderId="0" xfId="0" applyFont="1" applyAlignment="1">
      <alignment horizontal="left" vertical="top"/>
    </xf>
    <xf numFmtId="0" fontId="23" fillId="0" borderId="24" xfId="0" applyFont="1" applyBorder="1" applyAlignment="1">
      <alignment horizontal="center" vertical="top"/>
    </xf>
    <xf numFmtId="0" fontId="23" fillId="0" borderId="4" xfId="0" applyFont="1" applyBorder="1" applyAlignment="1">
      <alignment horizontal="left" vertical="top"/>
    </xf>
    <xf numFmtId="0" fontId="23" fillId="0" borderId="4" xfId="0" applyFont="1" applyBorder="1" applyAlignment="1">
      <alignment horizontal="left" vertical="top" wrapText="1"/>
    </xf>
    <xf numFmtId="0" fontId="23" fillId="0" borderId="25" xfId="0" applyFont="1" applyBorder="1" applyAlignment="1">
      <alignment horizontal="left" vertical="top"/>
    </xf>
    <xf numFmtId="0" fontId="23" fillId="0" borderId="15" xfId="0" applyFont="1" applyBorder="1" applyAlignment="1">
      <alignment horizontal="center" vertical="top"/>
    </xf>
    <xf numFmtId="0" fontId="23" fillId="0" borderId="26" xfId="0" applyFont="1" applyBorder="1" applyAlignment="1">
      <alignment horizontal="center" vertical="top" wrapText="1"/>
    </xf>
    <xf numFmtId="0" fontId="23" fillId="0" borderId="27" xfId="0" applyFont="1" applyBorder="1" applyAlignment="1">
      <alignment horizontal="center" vertical="top"/>
    </xf>
    <xf numFmtId="2" fontId="7" fillId="0" borderId="2" xfId="0" applyNumberFormat="1" applyFont="1" applyFill="1" applyBorder="1" applyAlignment="1">
      <alignment horizontal="center"/>
    </xf>
    <xf numFmtId="0" fontId="7" fillId="0" borderId="0" xfId="0" applyFont="1" applyAlignment="1">
      <alignment wrapText="1"/>
    </xf>
    <xf numFmtId="0" fontId="7" fillId="0" borderId="0" xfId="0" applyNumberFormat="1" applyFont="1" applyFill="1" applyBorder="1" applyAlignment="1">
      <alignment wrapText="1"/>
    </xf>
    <xf numFmtId="0" fontId="7" fillId="0" borderId="0" xfId="0" applyFont="1" applyBorder="1" applyAlignment="1">
      <alignment wrapText="1"/>
    </xf>
    <xf numFmtId="0" fontId="9" fillId="0" borderId="0" xfId="0" applyNumberFormat="1" applyFont="1" applyFill="1" applyBorder="1" applyAlignment="1">
      <alignment horizontal="left" wrapText="1"/>
    </xf>
    <xf numFmtId="0" fontId="9" fillId="0" borderId="0" xfId="0" applyNumberFormat="1" applyFont="1" applyFill="1" applyBorder="1" applyAlignment="1">
      <alignment horizontal="center" wrapText="1"/>
    </xf>
    <xf numFmtId="0" fontId="9" fillId="0" borderId="2" xfId="0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0" fontId="9" fillId="0" borderId="11" xfId="0" applyFont="1" applyBorder="1" applyAlignment="1">
      <alignment horizontal="center" wrapText="1"/>
    </xf>
    <xf numFmtId="2" fontId="7" fillId="0" borderId="2" xfId="0" applyNumberFormat="1" applyFont="1" applyBorder="1" applyAlignment="1">
      <alignment horizontal="center" wrapText="1"/>
    </xf>
    <xf numFmtId="0" fontId="9" fillId="0" borderId="0" xfId="0" applyFont="1" applyBorder="1" applyAlignment="1">
      <alignment horizontal="center" wrapText="1"/>
    </xf>
    <xf numFmtId="0" fontId="9" fillId="0" borderId="9" xfId="0" applyFont="1" applyBorder="1" applyAlignment="1">
      <alignment horizontal="center" wrapText="1"/>
    </xf>
    <xf numFmtId="2" fontId="9" fillId="0" borderId="7" xfId="0" applyNumberFormat="1" applyFont="1" applyBorder="1" applyAlignment="1">
      <alignment horizontal="center" wrapText="1"/>
    </xf>
    <xf numFmtId="169" fontId="7" fillId="0" borderId="2" xfId="0" applyNumberFormat="1" applyFont="1" applyBorder="1" applyAlignment="1">
      <alignment horizontal="center" wrapText="1"/>
    </xf>
    <xf numFmtId="0" fontId="7" fillId="0" borderId="0" xfId="0" applyFont="1" applyAlignment="1">
      <alignment horizontal="left" wrapText="1"/>
    </xf>
    <xf numFmtId="2" fontId="7" fillId="0" borderId="8" xfId="0" applyNumberFormat="1" applyFont="1" applyFill="1" applyBorder="1" applyAlignment="1">
      <alignment vertical="distributed" wrapText="1"/>
    </xf>
    <xf numFmtId="0" fontId="7" fillId="0" borderId="2" xfId="0" applyFont="1" applyBorder="1" applyAlignment="1">
      <alignment horizontal="center" wrapText="1"/>
    </xf>
    <xf numFmtId="0" fontId="9" fillId="0" borderId="4" xfId="0" applyNumberFormat="1" applyFont="1" applyFill="1" applyBorder="1" applyAlignment="1">
      <alignment wrapText="1"/>
    </xf>
    <xf numFmtId="0" fontId="7" fillId="0" borderId="9" xfId="0" applyFont="1" applyBorder="1" applyAlignment="1">
      <alignment wrapText="1"/>
    </xf>
    <xf numFmtId="0" fontId="7" fillId="0" borderId="23" xfId="0" applyNumberFormat="1" applyFont="1" applyFill="1" applyBorder="1" applyAlignment="1">
      <alignment wrapText="1"/>
    </xf>
    <xf numFmtId="0" fontId="7" fillId="0" borderId="23" xfId="0" applyFont="1" applyBorder="1" applyAlignment="1">
      <alignment wrapText="1"/>
    </xf>
    <xf numFmtId="2" fontId="7" fillId="0" borderId="0" xfId="0" applyNumberFormat="1" applyFont="1" applyBorder="1" applyAlignment="1">
      <alignment horizontal="center" wrapText="1"/>
    </xf>
    <xf numFmtId="2" fontId="9" fillId="0" borderId="0" xfId="0" applyNumberFormat="1" applyFont="1" applyBorder="1" applyAlignment="1">
      <alignment horizontal="center" wrapText="1"/>
    </xf>
    <xf numFmtId="2" fontId="7" fillId="0" borderId="2" xfId="0" applyNumberFormat="1" applyFont="1" applyFill="1" applyBorder="1" applyAlignment="1">
      <alignment vertical="distributed" wrapText="1"/>
    </xf>
    <xf numFmtId="0" fontId="7" fillId="0" borderId="2" xfId="0" applyFont="1" applyFill="1" applyBorder="1" applyAlignment="1">
      <alignment wrapText="1"/>
    </xf>
    <xf numFmtId="0" fontId="7" fillId="0" borderId="11" xfId="0" applyFont="1" applyBorder="1" applyAlignment="1">
      <alignment horizontal="center" wrapText="1"/>
    </xf>
    <xf numFmtId="0" fontId="7" fillId="0" borderId="2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2" xfId="0" applyFont="1" applyBorder="1" applyAlignment="1">
      <alignment horizontal="center" wrapText="1"/>
    </xf>
    <xf numFmtId="0" fontId="7" fillId="0" borderId="11" xfId="0" applyFont="1" applyFill="1" applyBorder="1" applyAlignment="1">
      <alignment horizontal="center" wrapText="1"/>
    </xf>
    <xf numFmtId="2" fontId="7" fillId="0" borderId="7" xfId="0" applyNumberFormat="1" applyFont="1" applyBorder="1" applyAlignment="1">
      <alignment horizontal="center" wrapText="1"/>
    </xf>
    <xf numFmtId="0" fontId="9" fillId="0" borderId="0" xfId="0" applyNumberFormat="1" applyFont="1" applyFill="1" applyBorder="1" applyAlignment="1">
      <alignment wrapText="1"/>
    </xf>
    <xf numFmtId="0" fontId="9" fillId="0" borderId="0" xfId="0" applyFont="1" applyBorder="1" applyAlignment="1">
      <alignment wrapText="1"/>
    </xf>
    <xf numFmtId="0" fontId="7" fillId="0" borderId="0" xfId="0" applyFont="1" applyAlignment="1">
      <alignment horizontal="center" wrapText="1"/>
    </xf>
    <xf numFmtId="0" fontId="9" fillId="0" borderId="10" xfId="0" applyNumberFormat="1" applyFont="1" applyFill="1" applyBorder="1" applyAlignment="1">
      <alignment wrapText="1"/>
    </xf>
    <xf numFmtId="0" fontId="7" fillId="0" borderId="6" xfId="0" applyFont="1" applyBorder="1" applyAlignment="1">
      <alignment wrapText="1"/>
    </xf>
    <xf numFmtId="2" fontId="9" fillId="0" borderId="3" xfId="0" applyNumberFormat="1" applyFont="1" applyBorder="1" applyAlignment="1">
      <alignment horizontal="center" wrapText="1"/>
    </xf>
    <xf numFmtId="0" fontId="7" fillId="3" borderId="2" xfId="0" applyFont="1" applyFill="1" applyBorder="1" applyAlignment="1">
      <alignment wrapText="1"/>
    </xf>
    <xf numFmtId="2" fontId="7" fillId="0" borderId="2" xfId="0" applyNumberFormat="1" applyFont="1" applyFill="1" applyBorder="1" applyAlignment="1">
      <alignment wrapText="1"/>
    </xf>
    <xf numFmtId="2" fontId="0" fillId="0" borderId="2" xfId="0" applyNumberFormat="1" applyFill="1" applyBorder="1" applyAlignment="1">
      <alignment horizontal="center"/>
    </xf>
    <xf numFmtId="0" fontId="0" fillId="0" borderId="19" xfId="0" applyFill="1" applyBorder="1" applyAlignment="1">
      <alignment horizontal="left"/>
    </xf>
    <xf numFmtId="0" fontId="0" fillId="0" borderId="0" xfId="0" applyFill="1" applyBorder="1"/>
    <xf numFmtId="0" fontId="0" fillId="0" borderId="22" xfId="0" applyFill="1" applyBorder="1"/>
    <xf numFmtId="0" fontId="0" fillId="0" borderId="10" xfId="0" applyFill="1" applyBorder="1" applyAlignment="1">
      <alignment horizontal="left"/>
    </xf>
    <xf numFmtId="0" fontId="0" fillId="0" borderId="6" xfId="0" applyFill="1" applyBorder="1"/>
    <xf numFmtId="0" fontId="0" fillId="0" borderId="12" xfId="0" applyFill="1" applyBorder="1"/>
    <xf numFmtId="0" fontId="10" fillId="0" borderId="2" xfId="0" applyFont="1" applyFill="1" applyBorder="1"/>
    <xf numFmtId="167" fontId="0" fillId="0" borderId="2" xfId="0" applyNumberFormat="1" applyFill="1" applyBorder="1" applyAlignment="1">
      <alignment horizontal="center"/>
    </xf>
    <xf numFmtId="2" fontId="0" fillId="0" borderId="11" xfId="0" applyNumberFormat="1" applyFill="1" applyBorder="1" applyAlignment="1">
      <alignment horizontal="left"/>
    </xf>
    <xf numFmtId="0" fontId="0" fillId="0" borderId="17" xfId="0" applyFill="1" applyBorder="1" applyAlignment="1">
      <alignment horizontal="center"/>
    </xf>
    <xf numFmtId="0" fontId="0" fillId="0" borderId="8" xfId="0" applyFill="1" applyBorder="1"/>
    <xf numFmtId="0" fontId="5" fillId="0" borderId="1" xfId="0" applyFont="1" applyFill="1" applyBorder="1" applyAlignment="1">
      <alignment horizontal="right"/>
    </xf>
    <xf numFmtId="0" fontId="6" fillId="0" borderId="4" xfId="0" applyFont="1" applyFill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6" fillId="0" borderId="0" xfId="0" applyFont="1" applyFill="1"/>
    <xf numFmtId="0" fontId="0" fillId="0" borderId="0" xfId="0" applyFill="1" applyAlignment="1"/>
    <xf numFmtId="0" fontId="0" fillId="0" borderId="23" xfId="0" applyFill="1" applyBorder="1"/>
    <xf numFmtId="0" fontId="0" fillId="0" borderId="13" xfId="0" applyFill="1" applyBorder="1"/>
    <xf numFmtId="0" fontId="0" fillId="0" borderId="10" xfId="0" applyFill="1" applyBorder="1"/>
    <xf numFmtId="0" fontId="5" fillId="0" borderId="0" xfId="0" applyFont="1" applyFill="1" applyBorder="1" applyAlignment="1">
      <alignment horizontal="center" vertical="justify" wrapText="1"/>
    </xf>
    <xf numFmtId="0" fontId="0" fillId="0" borderId="4" xfId="0" applyFill="1" applyBorder="1" applyAlignment="1">
      <alignment horizontal="left"/>
    </xf>
    <xf numFmtId="0" fontId="0" fillId="0" borderId="10" xfId="0" applyBorder="1" applyAlignment="1">
      <alignment horizontal="left"/>
    </xf>
    <xf numFmtId="167" fontId="0" fillId="0" borderId="2" xfId="0" applyNumberFormat="1" applyBorder="1" applyAlignment="1">
      <alignment horizontal="center"/>
    </xf>
    <xf numFmtId="49" fontId="8" fillId="0" borderId="28" xfId="0" applyNumberFormat="1" applyFont="1" applyFill="1" applyBorder="1" applyAlignment="1"/>
    <xf numFmtId="49" fontId="8" fillId="0" borderId="0" xfId="0" applyNumberFormat="1" applyFont="1" applyFill="1" applyBorder="1" applyAlignment="1"/>
    <xf numFmtId="167" fontId="5" fillId="0" borderId="0" xfId="0" applyNumberFormat="1" applyFont="1"/>
    <xf numFmtId="169" fontId="0" fillId="0" borderId="0" xfId="0" applyNumberFormat="1"/>
    <xf numFmtId="171" fontId="5" fillId="0" borderId="0" xfId="0" applyNumberFormat="1" applyFont="1"/>
    <xf numFmtId="0" fontId="3" fillId="0" borderId="29" xfId="0" applyFont="1" applyBorder="1"/>
    <xf numFmtId="0" fontId="3" fillId="0" borderId="29" xfId="0" applyFont="1" applyBorder="1" applyAlignment="1">
      <alignment horizontal="center"/>
    </xf>
    <xf numFmtId="0" fontId="38" fillId="0" borderId="0" xfId="0" applyFont="1"/>
    <xf numFmtId="167" fontId="0" fillId="0" borderId="2" xfId="0" applyNumberFormat="1" applyBorder="1"/>
    <xf numFmtId="0" fontId="0" fillId="0" borderId="0" xfId="0" applyAlignment="1">
      <alignment vertical="center"/>
    </xf>
    <xf numFmtId="4" fontId="20" fillId="0" borderId="16" xfId="0" applyNumberFormat="1" applyFont="1" applyBorder="1" applyAlignment="1">
      <alignment horizontal="center" vertical="center"/>
    </xf>
    <xf numFmtId="4" fontId="20" fillId="0" borderId="2" xfId="0" applyNumberFormat="1" applyFont="1" applyBorder="1" applyAlignment="1">
      <alignment horizontal="center" vertical="center"/>
    </xf>
    <xf numFmtId="0" fontId="23" fillId="4" borderId="15" xfId="0" applyFont="1" applyFill="1" applyBorder="1" applyAlignment="1">
      <alignment horizontal="center" vertical="top"/>
    </xf>
    <xf numFmtId="0" fontId="23" fillId="4" borderId="24" xfId="0" applyFont="1" applyFill="1" applyBorder="1" applyAlignment="1">
      <alignment horizontal="center" vertical="top"/>
    </xf>
    <xf numFmtId="0" fontId="23" fillId="4" borderId="30" xfId="0" applyFont="1" applyFill="1" applyBorder="1" applyAlignment="1">
      <alignment horizontal="center" vertical="top"/>
    </xf>
    <xf numFmtId="0" fontId="23" fillId="4" borderId="31" xfId="0" applyFont="1" applyFill="1" applyBorder="1" applyAlignment="1">
      <alignment horizontal="center" vertical="top"/>
    </xf>
    <xf numFmtId="4" fontId="0" fillId="0" borderId="2" xfId="0" applyNumberFormat="1" applyBorder="1" applyAlignment="1">
      <alignment horizontal="center"/>
    </xf>
    <xf numFmtId="0" fontId="7" fillId="0" borderId="0" xfId="0" applyNumberFormat="1" applyFont="1"/>
    <xf numFmtId="0" fontId="0" fillId="0" borderId="0" xfId="0" applyNumberFormat="1"/>
    <xf numFmtId="0" fontId="5" fillId="0" borderId="13" xfId="0" applyNumberFormat="1" applyFont="1" applyBorder="1" applyAlignment="1">
      <alignment horizontal="center" wrapText="1"/>
    </xf>
    <xf numFmtId="0" fontId="5" fillId="0" borderId="22" xfId="0" applyNumberFormat="1" applyFont="1" applyFill="1" applyBorder="1" applyAlignment="1">
      <alignment horizontal="center" wrapText="1"/>
    </xf>
    <xf numFmtId="0" fontId="5" fillId="0" borderId="0" xfId="0" applyNumberFormat="1" applyFont="1" applyFill="1" applyBorder="1" applyAlignment="1">
      <alignment horizontal="center" wrapText="1"/>
    </xf>
    <xf numFmtId="0" fontId="0" fillId="0" borderId="2" xfId="0" applyBorder="1" applyAlignment="1">
      <alignment horizontal="left"/>
    </xf>
    <xf numFmtId="0" fontId="23" fillId="0" borderId="32" xfId="0" applyFont="1" applyBorder="1" applyAlignment="1">
      <alignment horizontal="left" vertical="top"/>
    </xf>
    <xf numFmtId="4" fontId="23" fillId="0" borderId="32" xfId="0" applyNumberFormat="1" applyFont="1" applyBorder="1" applyAlignment="1">
      <alignment horizontal="center" vertical="center"/>
    </xf>
    <xf numFmtId="0" fontId="23" fillId="0" borderId="33" xfId="0" applyFont="1" applyBorder="1" applyAlignment="1">
      <alignment horizontal="left" vertical="top" wrapText="1"/>
    </xf>
    <xf numFmtId="0" fontId="23" fillId="0" borderId="33" xfId="0" applyFont="1" applyBorder="1" applyAlignment="1">
      <alignment horizontal="left" vertical="top"/>
    </xf>
    <xf numFmtId="4" fontId="23" fillId="0" borderId="33" xfId="0" applyNumberFormat="1" applyFont="1" applyBorder="1" applyAlignment="1">
      <alignment horizontal="center" vertical="center"/>
    </xf>
    <xf numFmtId="0" fontId="23" fillId="0" borderId="34" xfId="0" applyFont="1" applyBorder="1" applyAlignment="1">
      <alignment horizontal="left" vertical="top" wrapText="1"/>
    </xf>
    <xf numFmtId="0" fontId="23" fillId="0" borderId="35" xfId="0" applyFont="1" applyBorder="1" applyAlignment="1">
      <alignment horizontal="left" vertical="top" wrapText="1"/>
    </xf>
    <xf numFmtId="0" fontId="23" fillId="0" borderId="36" xfId="0" applyFont="1" applyBorder="1" applyAlignment="1">
      <alignment vertical="top" wrapText="1"/>
    </xf>
    <xf numFmtId="0" fontId="23" fillId="0" borderId="33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 wrapText="1"/>
    </xf>
    <xf numFmtId="0" fontId="23" fillId="0" borderId="27" xfId="0" applyFont="1" applyBorder="1" applyAlignment="1">
      <alignment vertical="top"/>
    </xf>
    <xf numFmtId="0" fontId="23" fillId="0" borderId="27" xfId="0" applyFont="1" applyBorder="1" applyAlignment="1">
      <alignment horizontal="center" vertical="center"/>
    </xf>
    <xf numFmtId="0" fontId="24" fillId="0" borderId="0" xfId="0" applyFont="1" applyAlignment="1">
      <alignment horizontal="left" vertical="top"/>
    </xf>
    <xf numFmtId="171" fontId="24" fillId="0" borderId="0" xfId="0" applyNumberFormat="1" applyFont="1" applyAlignment="1">
      <alignment horizontal="center" vertical="top"/>
    </xf>
    <xf numFmtId="2" fontId="1" fillId="0" borderId="14" xfId="0" applyNumberFormat="1" applyFont="1" applyBorder="1" applyAlignment="1" applyProtection="1">
      <alignment horizontal="center"/>
      <protection locked="0"/>
    </xf>
    <xf numFmtId="2" fontId="0" fillId="3" borderId="17" xfId="0" applyNumberFormat="1" applyFill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1" fillId="0" borderId="0" xfId="0" applyFont="1" applyFill="1" applyBorder="1" applyAlignment="1" applyProtection="1">
      <alignment horizontal="center"/>
      <protection locked="0"/>
    </xf>
    <xf numFmtId="0" fontId="0" fillId="0" borderId="38" xfId="0" applyBorder="1" applyAlignment="1">
      <alignment horizontal="center" vertical="center"/>
    </xf>
    <xf numFmtId="2" fontId="10" fillId="3" borderId="2" xfId="0" applyNumberFormat="1" applyFont="1" applyFill="1" applyBorder="1" applyAlignment="1" applyProtection="1">
      <alignment horizontal="center" vertical="center"/>
    </xf>
    <xf numFmtId="0" fontId="1" fillId="0" borderId="0" xfId="0" applyFont="1" applyAlignment="1">
      <alignment horizontal="left"/>
    </xf>
    <xf numFmtId="0" fontId="0" fillId="0" borderId="2" xfId="0" applyBorder="1" applyAlignment="1">
      <alignment horizontal="left" vertical="center"/>
    </xf>
    <xf numFmtId="0" fontId="0" fillId="0" borderId="2" xfId="0" applyFill="1" applyBorder="1" applyAlignment="1">
      <alignment horizontal="left" vertical="justify" wrapText="1"/>
    </xf>
    <xf numFmtId="49" fontId="6" fillId="0" borderId="2" xfId="0" applyNumberFormat="1" applyFont="1" applyBorder="1" applyAlignment="1"/>
    <xf numFmtId="0" fontId="0" fillId="0" borderId="39" xfId="0" applyBorder="1"/>
    <xf numFmtId="0" fontId="0" fillId="0" borderId="15" xfId="0" applyBorder="1"/>
    <xf numFmtId="0" fontId="0" fillId="0" borderId="30" xfId="0" applyBorder="1"/>
    <xf numFmtId="2" fontId="0" fillId="0" borderId="40" xfId="0" applyNumberFormat="1" applyBorder="1"/>
    <xf numFmtId="2" fontId="0" fillId="0" borderId="24" xfId="0" applyNumberFormat="1" applyBorder="1"/>
    <xf numFmtId="2" fontId="0" fillId="0" borderId="31" xfId="0" applyNumberFormat="1" applyBorder="1"/>
    <xf numFmtId="0" fontId="0" fillId="0" borderId="17" xfId="0" applyFill="1" applyBorder="1"/>
    <xf numFmtId="169" fontId="7" fillId="0" borderId="0" xfId="0" applyNumberFormat="1" applyFont="1"/>
    <xf numFmtId="0" fontId="0" fillId="0" borderId="4" xfId="0" applyFont="1" applyBorder="1"/>
    <xf numFmtId="3" fontId="0" fillId="0" borderId="2" xfId="0" applyNumberFormat="1" applyFill="1" applyBorder="1" applyAlignment="1">
      <alignment horizontal="center"/>
    </xf>
    <xf numFmtId="3" fontId="0" fillId="0" borderId="11" xfId="0" applyNumberFormat="1" applyFill="1" applyBorder="1" applyAlignment="1">
      <alignment horizontal="center"/>
    </xf>
    <xf numFmtId="3" fontId="0" fillId="0" borderId="17" xfId="0" applyNumberFormat="1" applyFill="1" applyBorder="1" applyAlignment="1">
      <alignment horizontal="center"/>
    </xf>
    <xf numFmtId="3" fontId="0" fillId="0" borderId="17" xfId="0" applyNumberForma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3" fontId="5" fillId="0" borderId="7" xfId="0" applyNumberFormat="1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166" fontId="0" fillId="0" borderId="2" xfId="0" applyNumberFormat="1" applyFont="1" applyBorder="1" applyAlignment="1">
      <alignment horizontal="center"/>
    </xf>
    <xf numFmtId="166" fontId="5" fillId="0" borderId="2" xfId="0" applyNumberFormat="1" applyFont="1" applyBorder="1" applyAlignment="1">
      <alignment horizontal="center"/>
    </xf>
    <xf numFmtId="2" fontId="5" fillId="0" borderId="2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3" xfId="0" applyFont="1" applyBorder="1"/>
    <xf numFmtId="0" fontId="0" fillId="0" borderId="8" xfId="0" applyFont="1" applyBorder="1" applyAlignment="1">
      <alignment horizontal="center" wrapText="1"/>
    </xf>
    <xf numFmtId="0" fontId="0" fillId="0" borderId="11" xfId="0" applyFont="1" applyBorder="1" applyAlignment="1">
      <alignment horizontal="center"/>
    </xf>
    <xf numFmtId="0" fontId="5" fillId="0" borderId="8" xfId="0" applyFont="1" applyBorder="1"/>
    <xf numFmtId="0" fontId="0" fillId="0" borderId="4" xfId="0" applyFont="1" applyBorder="1" applyAlignment="1">
      <alignment horizontal="center"/>
    </xf>
    <xf numFmtId="0" fontId="5" fillId="0" borderId="9" xfId="0" applyFont="1" applyBorder="1" applyAlignment="1">
      <alignment horizontal="right"/>
    </xf>
    <xf numFmtId="0" fontId="0" fillId="0" borderId="9" xfId="0" applyFont="1" applyBorder="1"/>
    <xf numFmtId="0" fontId="0" fillId="0" borderId="10" xfId="0" applyFont="1" applyFill="1" applyBorder="1" applyAlignment="1">
      <alignment horizontal="center"/>
    </xf>
    <xf numFmtId="0" fontId="0" fillId="0" borderId="19" xfId="0" applyFont="1" applyBorder="1"/>
    <xf numFmtId="0" fontId="0" fillId="0" borderId="0" xfId="0" applyFont="1" applyBorder="1"/>
    <xf numFmtId="0" fontId="0" fillId="0" borderId="17" xfId="0" applyFont="1" applyFill="1" applyBorder="1" applyAlignment="1">
      <alignment horizontal="center"/>
    </xf>
    <xf numFmtId="0" fontId="0" fillId="0" borderId="8" xfId="0" applyFont="1" applyBorder="1"/>
    <xf numFmtId="0" fontId="0" fillId="0" borderId="23" xfId="0" applyFont="1" applyBorder="1"/>
    <xf numFmtId="0" fontId="0" fillId="0" borderId="8" xfId="0" applyFont="1" applyFill="1" applyBorder="1" applyAlignment="1">
      <alignment horizontal="center"/>
    </xf>
    <xf numFmtId="0" fontId="5" fillId="0" borderId="23" xfId="0" applyFont="1" applyBorder="1"/>
    <xf numFmtId="0" fontId="0" fillId="0" borderId="4" xfId="0" applyFont="1" applyFill="1" applyBorder="1" applyAlignment="1">
      <alignment horizontal="center"/>
    </xf>
    <xf numFmtId="0" fontId="0" fillId="0" borderId="11" xfId="0" applyFont="1" applyBorder="1"/>
    <xf numFmtId="166" fontId="0" fillId="0" borderId="0" xfId="0" applyNumberFormat="1" applyFont="1"/>
    <xf numFmtId="0" fontId="5" fillId="0" borderId="4" xfId="0" applyFont="1" applyBorder="1"/>
    <xf numFmtId="0" fontId="0" fillId="0" borderId="4" xfId="0" applyFont="1" applyBorder="1" applyAlignment="1">
      <alignment horizontal="center" vertical="justify" wrapText="1"/>
    </xf>
    <xf numFmtId="0" fontId="5" fillId="0" borderId="9" xfId="0" applyFont="1" applyBorder="1" applyAlignment="1">
      <alignment vertical="justify" wrapText="1"/>
    </xf>
    <xf numFmtId="166" fontId="0" fillId="0" borderId="13" xfId="0" applyNumberFormat="1" applyFont="1" applyBorder="1" applyAlignment="1">
      <alignment horizontal="center"/>
    </xf>
    <xf numFmtId="0" fontId="0" fillId="0" borderId="10" xfId="0" applyFont="1" applyBorder="1" applyAlignment="1">
      <alignment horizontal="center" vertical="justify" wrapText="1"/>
    </xf>
    <xf numFmtId="0" fontId="0" fillId="0" borderId="10" xfId="0" applyFont="1" applyBorder="1" applyAlignment="1">
      <alignment horizontal="left"/>
    </xf>
    <xf numFmtId="0" fontId="0" fillId="0" borderId="12" xfId="0" applyFont="1" applyBorder="1"/>
    <xf numFmtId="166" fontId="0" fillId="0" borderId="11" xfId="0" applyNumberFormat="1" applyFont="1" applyBorder="1" applyAlignment="1">
      <alignment horizontal="center"/>
    </xf>
    <xf numFmtId="0" fontId="0" fillId="0" borderId="4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justify" wrapText="1"/>
    </xf>
    <xf numFmtId="0" fontId="5" fillId="0" borderId="10" xfId="0" applyFont="1" applyBorder="1"/>
    <xf numFmtId="0" fontId="0" fillId="0" borderId="0" xfId="0" applyFont="1" applyBorder="1" applyAlignment="1">
      <alignment horizontal="center" vertical="justify" wrapText="1"/>
    </xf>
    <xf numFmtId="0" fontId="0" fillId="0" borderId="0" xfId="0" applyFont="1" applyBorder="1" applyAlignment="1">
      <alignment vertical="justify" wrapText="1"/>
    </xf>
    <xf numFmtId="0" fontId="0" fillId="0" borderId="0" xfId="0" applyFont="1" applyBorder="1" applyAlignment="1">
      <alignment horizontal="center"/>
    </xf>
    <xf numFmtId="49" fontId="0" fillId="0" borderId="0" xfId="0" applyNumberFormat="1" applyFont="1"/>
    <xf numFmtId="0" fontId="0" fillId="0" borderId="0" xfId="0" applyFont="1" applyFill="1" applyBorder="1" applyAlignment="1">
      <alignment vertical="justify" wrapText="1"/>
    </xf>
    <xf numFmtId="0" fontId="0" fillId="0" borderId="2" xfId="0" applyFont="1" applyBorder="1"/>
    <xf numFmtId="0" fontId="0" fillId="0" borderId="2" xfId="0" applyBorder="1" applyAlignment="1">
      <alignment horizontal="center" vertical="center"/>
    </xf>
    <xf numFmtId="2" fontId="0" fillId="0" borderId="11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2" fontId="7" fillId="0" borderId="2" xfId="0" applyNumberFormat="1" applyFont="1" applyFill="1" applyBorder="1" applyAlignment="1">
      <alignment horizontal="left" vertical="top" wrapText="1"/>
    </xf>
    <xf numFmtId="1" fontId="7" fillId="0" borderId="2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1" fontId="7" fillId="0" borderId="2" xfId="0" applyNumberFormat="1" applyFont="1" applyFill="1" applyBorder="1" applyAlignment="1">
      <alignment horizontal="center"/>
    </xf>
    <xf numFmtId="165" fontId="7" fillId="0" borderId="2" xfId="0" applyNumberFormat="1" applyFont="1" applyFill="1" applyBorder="1" applyAlignment="1">
      <alignment horizontal="center"/>
    </xf>
    <xf numFmtId="0" fontId="7" fillId="0" borderId="2" xfId="0" applyFont="1" applyFill="1" applyBorder="1" applyAlignment="1">
      <alignment horizontal="left" vertical="top" wrapText="1"/>
    </xf>
    <xf numFmtId="0" fontId="7" fillId="0" borderId="2" xfId="0" applyFont="1" applyFill="1" applyBorder="1" applyAlignment="1">
      <alignment horizontal="center"/>
    </xf>
    <xf numFmtId="0" fontId="7" fillId="0" borderId="2" xfId="0" applyNumberFormat="1" applyFont="1" applyFill="1" applyBorder="1" applyAlignment="1">
      <alignment horizontal="left" vertical="top" wrapText="1"/>
    </xf>
    <xf numFmtId="0" fontId="7" fillId="0" borderId="2" xfId="0" applyFont="1" applyBorder="1"/>
    <xf numFmtId="0" fontId="7" fillId="0" borderId="4" xfId="0" applyFont="1" applyFill="1" applyBorder="1"/>
    <xf numFmtId="0" fontId="0" fillId="0" borderId="17" xfId="0" applyBorder="1" applyAlignment="1">
      <alignment horizontal="left" vertical="top" wrapText="1"/>
    </xf>
    <xf numFmtId="2" fontId="9" fillId="0" borderId="5" xfId="0" applyNumberFormat="1" applyFont="1" applyBorder="1" applyAlignment="1">
      <alignment horizontal="center" wrapText="1"/>
    </xf>
    <xf numFmtId="0" fontId="9" fillId="0" borderId="41" xfId="0" applyFont="1" applyBorder="1" applyAlignment="1">
      <alignment horizontal="center" wrapText="1"/>
    </xf>
    <xf numFmtId="0" fontId="7" fillId="0" borderId="4" xfId="0" applyFont="1" applyBorder="1" applyAlignment="1">
      <alignment horizontal="left" wrapText="1"/>
    </xf>
    <xf numFmtId="170" fontId="7" fillId="0" borderId="2" xfId="0" applyNumberFormat="1" applyFont="1" applyBorder="1" applyAlignment="1">
      <alignment horizontal="center" wrapText="1"/>
    </xf>
    <xf numFmtId="0" fontId="7" fillId="0" borderId="9" xfId="0" applyNumberFormat="1" applyFont="1" applyFill="1" applyBorder="1" applyAlignment="1">
      <alignment horizontal="left" vertical="top" wrapText="1"/>
    </xf>
    <xf numFmtId="1" fontId="7" fillId="0" borderId="9" xfId="0" applyNumberFormat="1" applyFont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0" fontId="7" fillId="0" borderId="9" xfId="0" applyFont="1" applyBorder="1" applyAlignment="1">
      <alignment horizontal="center"/>
    </xf>
    <xf numFmtId="169" fontId="7" fillId="0" borderId="9" xfId="0" applyNumberFormat="1" applyFont="1" applyFill="1" applyBorder="1" applyAlignment="1">
      <alignment horizontal="center"/>
    </xf>
    <xf numFmtId="2" fontId="7" fillId="0" borderId="4" xfId="0" applyNumberFormat="1" applyFont="1" applyFill="1" applyBorder="1" applyAlignment="1">
      <alignment horizontal="center"/>
    </xf>
    <xf numFmtId="0" fontId="0" fillId="0" borderId="42" xfId="0" applyBorder="1"/>
    <xf numFmtId="0" fontId="5" fillId="0" borderId="0" xfId="0" applyFont="1" applyAlignment="1"/>
    <xf numFmtId="4" fontId="0" fillId="0" borderId="24" xfId="0" applyNumberFormat="1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11" fillId="0" borderId="0" xfId="0" applyFont="1" applyFill="1"/>
    <xf numFmtId="0" fontId="15" fillId="0" borderId="0" xfId="0" applyFont="1" applyFill="1" applyAlignment="1">
      <alignment horizontal="left"/>
    </xf>
    <xf numFmtId="0" fontId="11" fillId="0" borderId="0" xfId="0" applyFont="1" applyFill="1" applyAlignment="1">
      <alignment horizontal="right"/>
    </xf>
    <xf numFmtId="0" fontId="28" fillId="0" borderId="0" xfId="0" applyFont="1" applyFill="1"/>
    <xf numFmtId="0" fontId="15" fillId="0" borderId="0" xfId="0" applyFont="1" applyFill="1"/>
    <xf numFmtId="0" fontId="29" fillId="0" borderId="0" xfId="0" applyFont="1" applyFill="1"/>
    <xf numFmtId="0" fontId="11" fillId="0" borderId="0" xfId="0" applyFont="1" applyFill="1" applyAlignment="1">
      <alignment horizontal="center"/>
    </xf>
    <xf numFmtId="0" fontId="0" fillId="0" borderId="0" xfId="0" applyFill="1" applyAlignment="1">
      <alignment vertical="center"/>
    </xf>
    <xf numFmtId="0" fontId="28" fillId="0" borderId="0" xfId="0" applyFont="1" applyFill="1" applyAlignment="1">
      <alignment horizontal="left" indent="2"/>
    </xf>
    <xf numFmtId="0" fontId="28" fillId="0" borderId="0" xfId="0" applyFont="1" applyFill="1" applyAlignment="1">
      <alignment horizontal="justify"/>
    </xf>
    <xf numFmtId="0" fontId="0" fillId="0" borderId="20" xfId="0" applyFill="1" applyBorder="1"/>
    <xf numFmtId="0" fontId="30" fillId="0" borderId="0" xfId="0" applyFont="1" applyFill="1" applyAlignment="1">
      <alignment horizontal="left" indent="2"/>
    </xf>
    <xf numFmtId="0" fontId="20" fillId="0" borderId="0" xfId="0" applyFont="1" applyAlignment="1"/>
    <xf numFmtId="169" fontId="24" fillId="0" borderId="0" xfId="0" applyNumberFormat="1" applyFont="1" applyAlignment="1">
      <alignment horizontal="center" vertical="top"/>
    </xf>
    <xf numFmtId="4" fontId="23" fillId="0" borderId="7" xfId="0" applyNumberFormat="1" applyFont="1" applyBorder="1" applyAlignment="1">
      <alignment horizontal="center" vertical="center"/>
    </xf>
    <xf numFmtId="173" fontId="23" fillId="0" borderId="7" xfId="0" applyNumberFormat="1" applyFont="1" applyBorder="1" applyAlignment="1">
      <alignment horizontal="center" vertical="center"/>
    </xf>
    <xf numFmtId="1" fontId="20" fillId="0" borderId="1" xfId="0" applyNumberFormat="1" applyFont="1" applyBorder="1" applyAlignment="1">
      <alignment horizontal="center" vertical="top" wrapText="1"/>
    </xf>
    <xf numFmtId="1" fontId="10" fillId="0" borderId="1" xfId="0" applyNumberFormat="1" applyFont="1" applyBorder="1" applyAlignment="1">
      <alignment horizontal="center" vertical="top" wrapText="1"/>
    </xf>
    <xf numFmtId="164" fontId="20" fillId="0" borderId="2" xfId="0" applyNumberFormat="1" applyFont="1" applyBorder="1" applyAlignment="1">
      <alignment horizontal="center" vertical="top" wrapText="1"/>
    </xf>
    <xf numFmtId="1" fontId="20" fillId="0" borderId="16" xfId="0" applyNumberFormat="1" applyFont="1" applyBorder="1" applyAlignment="1">
      <alignment horizontal="center" vertical="top" wrapText="1"/>
    </xf>
    <xf numFmtId="164" fontId="20" fillId="0" borderId="16" xfId="0" applyNumberFormat="1" applyFont="1" applyBorder="1" applyAlignment="1">
      <alignment horizontal="center" vertical="top" wrapText="1"/>
    </xf>
    <xf numFmtId="1" fontId="20" fillId="0" borderId="2" xfId="0" applyNumberFormat="1" applyFont="1" applyBorder="1" applyAlignment="1">
      <alignment horizontal="center" vertical="top" wrapText="1"/>
    </xf>
    <xf numFmtId="1" fontId="20" fillId="0" borderId="17" xfId="0" applyNumberFormat="1" applyFont="1" applyBorder="1" applyAlignment="1">
      <alignment horizontal="center"/>
    </xf>
    <xf numFmtId="164" fontId="20" fillId="0" borderId="17" xfId="0" applyNumberFormat="1" applyFont="1" applyBorder="1" applyAlignment="1">
      <alignment horizontal="center"/>
    </xf>
    <xf numFmtId="1" fontId="20" fillId="0" borderId="2" xfId="0" applyNumberFormat="1" applyFont="1" applyBorder="1" applyAlignment="1">
      <alignment horizontal="center"/>
    </xf>
    <xf numFmtId="164" fontId="20" fillId="0" borderId="2" xfId="0" applyNumberFormat="1" applyFont="1" applyBorder="1" applyAlignment="1">
      <alignment horizontal="center"/>
    </xf>
    <xf numFmtId="1" fontId="20" fillId="0" borderId="16" xfId="0" applyNumberFormat="1" applyFont="1" applyBorder="1" applyAlignment="1">
      <alignment horizontal="center"/>
    </xf>
    <xf numFmtId="164" fontId="20" fillId="0" borderId="16" xfId="0" applyNumberFormat="1" applyFont="1" applyBorder="1" applyAlignment="1">
      <alignment horizontal="center"/>
    </xf>
    <xf numFmtId="164" fontId="20" fillId="0" borderId="1" xfId="0" applyNumberFormat="1" applyFont="1" applyBorder="1" applyAlignment="1">
      <alignment horizontal="center" vertical="top" wrapText="1"/>
    </xf>
    <xf numFmtId="4" fontId="0" fillId="0" borderId="24" xfId="0" applyNumberFormat="1" applyBorder="1" applyAlignment="1">
      <alignment horizontal="center" vertical="center"/>
    </xf>
    <xf numFmtId="0" fontId="17" fillId="0" borderId="0" xfId="0" applyFont="1" applyBorder="1"/>
    <xf numFmtId="0" fontId="39" fillId="0" borderId="0" xfId="0" applyFont="1" applyBorder="1"/>
    <xf numFmtId="0" fontId="39" fillId="0" borderId="0" xfId="0" applyFont="1"/>
    <xf numFmtId="0" fontId="17" fillId="0" borderId="0" xfId="0" applyFont="1" applyAlignment="1">
      <alignment horizontal="right"/>
    </xf>
    <xf numFmtId="0" fontId="40" fillId="0" borderId="0" xfId="0" applyFont="1" applyAlignment="1">
      <alignment horizontal="right"/>
    </xf>
    <xf numFmtId="1" fontId="0" fillId="0" borderId="0" xfId="0" applyNumberFormat="1"/>
    <xf numFmtId="3" fontId="0" fillId="0" borderId="0" xfId="0" applyNumberFormat="1"/>
    <xf numFmtId="0" fontId="0" fillId="0" borderId="2" xfId="0" applyFill="1" applyBorder="1" applyAlignment="1">
      <alignment horizontal="left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right"/>
    </xf>
    <xf numFmtId="0" fontId="0" fillId="0" borderId="2" xfId="0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2" fillId="0" borderId="2" xfId="0" applyFont="1" applyBorder="1" applyAlignment="1">
      <alignment horizontal="left"/>
    </xf>
    <xf numFmtId="0" fontId="9" fillId="0" borderId="4" xfId="0" applyFont="1" applyBorder="1" applyAlignment="1">
      <alignment horizontal="left" wrapText="1"/>
    </xf>
    <xf numFmtId="0" fontId="9" fillId="0" borderId="43" xfId="0" applyFont="1" applyBorder="1" applyAlignment="1">
      <alignment horizontal="left" wrapText="1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9" xfId="0" applyFont="1" applyFill="1" applyBorder="1" applyAlignment="1">
      <alignment horizontal="center"/>
    </xf>
    <xf numFmtId="169" fontId="7" fillId="0" borderId="9" xfId="0" applyNumberFormat="1" applyFont="1" applyBorder="1" applyAlignment="1">
      <alignment horizontal="center"/>
    </xf>
    <xf numFmtId="2" fontId="7" fillId="0" borderId="0" xfId="0" applyNumberFormat="1" applyFont="1"/>
    <xf numFmtId="0" fontId="7" fillId="0" borderId="23" xfId="0" applyNumberFormat="1" applyFont="1" applyFill="1" applyBorder="1" applyAlignment="1">
      <alignment horizontal="left" vertical="top" wrapText="1"/>
    </xf>
    <xf numFmtId="1" fontId="7" fillId="0" borderId="23" xfId="0" applyNumberFormat="1" applyFont="1" applyBorder="1" applyAlignment="1">
      <alignment horizontal="center"/>
    </xf>
    <xf numFmtId="2" fontId="7" fillId="0" borderId="23" xfId="0" applyNumberFormat="1" applyFont="1" applyFill="1" applyBorder="1" applyAlignment="1">
      <alignment horizontal="center"/>
    </xf>
    <xf numFmtId="0" fontId="7" fillId="0" borderId="23" xfId="0" applyFont="1" applyBorder="1" applyAlignment="1">
      <alignment horizontal="center"/>
    </xf>
    <xf numFmtId="169" fontId="7" fillId="0" borderId="23" xfId="0" applyNumberFormat="1" applyFont="1" applyFill="1" applyBorder="1" applyAlignment="1">
      <alignment horizontal="center"/>
    </xf>
    <xf numFmtId="0" fontId="7" fillId="0" borderId="4" xfId="0" applyFont="1" applyBorder="1" applyAlignment="1">
      <alignment horizontal="left" vertical="top" wrapText="1"/>
    </xf>
    <xf numFmtId="2" fontId="7" fillId="5" borderId="2" xfId="0" applyNumberFormat="1" applyFont="1" applyFill="1" applyBorder="1" applyAlignment="1">
      <alignment horizontal="left" vertical="top" wrapText="1"/>
    </xf>
    <xf numFmtId="2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2" fontId="7" fillId="6" borderId="2" xfId="0" applyNumberFormat="1" applyFont="1" applyFill="1" applyBorder="1" applyAlignment="1">
      <alignment horizontal="left" vertical="top" wrapText="1"/>
    </xf>
    <xf numFmtId="2" fontId="7" fillId="6" borderId="2" xfId="0" applyNumberFormat="1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2" fontId="7" fillId="7" borderId="2" xfId="0" applyNumberFormat="1" applyFont="1" applyFill="1" applyBorder="1" applyAlignment="1">
      <alignment horizontal="left" vertical="top" wrapText="1"/>
    </xf>
    <xf numFmtId="2" fontId="7" fillId="7" borderId="2" xfId="0" applyNumberFormat="1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 vertical="center"/>
    </xf>
    <xf numFmtId="2" fontId="7" fillId="5" borderId="1" xfId="0" applyNumberFormat="1" applyFont="1" applyFill="1" applyBorder="1" applyAlignment="1">
      <alignment horizontal="left" vertical="top" wrapText="1"/>
    </xf>
    <xf numFmtId="2" fontId="7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2" fontId="7" fillId="5" borderId="10" xfId="0" applyNumberFormat="1" applyFont="1" applyFill="1" applyBorder="1" applyAlignment="1">
      <alignment horizontal="center"/>
    </xf>
    <xf numFmtId="1" fontId="7" fillId="5" borderId="1" xfId="0" applyNumberFormat="1" applyFont="1" applyFill="1" applyBorder="1" applyAlignment="1">
      <alignment horizontal="center" vertical="center"/>
    </xf>
    <xf numFmtId="1" fontId="7" fillId="5" borderId="2" xfId="0" applyNumberFormat="1" applyFont="1" applyFill="1" applyBorder="1" applyAlignment="1">
      <alignment horizontal="center" vertical="center"/>
    </xf>
    <xf numFmtId="1" fontId="7" fillId="6" borderId="2" xfId="0" applyNumberFormat="1" applyFont="1" applyFill="1" applyBorder="1" applyAlignment="1">
      <alignment horizontal="center" vertical="center"/>
    </xf>
    <xf numFmtId="1" fontId="7" fillId="7" borderId="2" xfId="0" applyNumberFormat="1" applyFont="1" applyFill="1" applyBorder="1" applyAlignment="1">
      <alignment horizontal="center" vertical="center"/>
    </xf>
    <xf numFmtId="0" fontId="42" fillId="0" borderId="7" xfId="0" applyFont="1" applyBorder="1" applyAlignment="1">
      <alignment horizontal="center"/>
    </xf>
    <xf numFmtId="0" fontId="43" fillId="0" borderId="0" xfId="0" applyFont="1"/>
    <xf numFmtId="2" fontId="7" fillId="2" borderId="1" xfId="0" applyNumberFormat="1" applyFont="1" applyFill="1" applyBorder="1" applyAlignment="1">
      <alignment horizontal="left" vertical="top" wrapText="1"/>
    </xf>
    <xf numFmtId="2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2" fontId="7" fillId="2" borderId="10" xfId="0" applyNumberFormat="1" applyFont="1" applyFill="1" applyBorder="1" applyAlignment="1">
      <alignment horizontal="center"/>
    </xf>
    <xf numFmtId="1" fontId="7" fillId="2" borderId="1" xfId="0" applyNumberFormat="1" applyFont="1" applyFill="1" applyBorder="1" applyAlignment="1">
      <alignment horizontal="center" vertical="center"/>
    </xf>
    <xf numFmtId="2" fontId="7" fillId="2" borderId="1" xfId="0" applyNumberFormat="1" applyFont="1" applyFill="1" applyBorder="1" applyAlignment="1">
      <alignment horizontal="center" vertical="center"/>
    </xf>
    <xf numFmtId="2" fontId="7" fillId="5" borderId="1" xfId="0" applyNumberFormat="1" applyFont="1" applyFill="1" applyBorder="1" applyAlignment="1">
      <alignment horizontal="center" vertical="center"/>
    </xf>
    <xf numFmtId="2" fontId="7" fillId="5" borderId="2" xfId="0" applyNumberFormat="1" applyFont="1" applyFill="1" applyBorder="1" applyAlignment="1">
      <alignment horizontal="center" vertical="center"/>
    </xf>
    <xf numFmtId="2" fontId="7" fillId="6" borderId="2" xfId="0" applyNumberFormat="1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2" fontId="9" fillId="0" borderId="0" xfId="0" applyNumberFormat="1" applyFont="1"/>
    <xf numFmtId="1" fontId="7" fillId="2" borderId="1" xfId="0" applyNumberFormat="1" applyFont="1" applyFill="1" applyBorder="1" applyAlignment="1">
      <alignment horizontal="left" vertical="top" wrapText="1"/>
    </xf>
    <xf numFmtId="4" fontId="0" fillId="0" borderId="0" xfId="0" applyNumberFormat="1"/>
    <xf numFmtId="1" fontId="5" fillId="0" borderId="3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0" fontId="0" fillId="0" borderId="44" xfId="0" applyBorder="1" applyAlignment="1">
      <alignment wrapText="1"/>
    </xf>
    <xf numFmtId="0" fontId="1" fillId="0" borderId="32" xfId="0" applyFon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44" xfId="0" applyBorder="1" applyAlignment="1"/>
    <xf numFmtId="0" fontId="0" fillId="0" borderId="15" xfId="0" applyFill="1" applyBorder="1" applyAlignment="1">
      <alignment horizontal="center"/>
    </xf>
    <xf numFmtId="0" fontId="0" fillId="0" borderId="45" xfId="0" applyBorder="1"/>
    <xf numFmtId="0" fontId="0" fillId="0" borderId="4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7" xfId="0" applyBorder="1"/>
    <xf numFmtId="4" fontId="0" fillId="0" borderId="40" xfId="0" applyNumberFormat="1" applyBorder="1" applyAlignment="1">
      <alignment horizontal="center"/>
    </xf>
    <xf numFmtId="3" fontId="5" fillId="0" borderId="24" xfId="0" applyNumberFormat="1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5" fillId="0" borderId="7" xfId="0" applyFont="1" applyBorder="1" applyAlignment="1" applyProtection="1">
      <alignment horizontal="center"/>
    </xf>
    <xf numFmtId="0" fontId="5" fillId="0" borderId="3" xfId="0" applyFont="1" applyBorder="1" applyAlignment="1" applyProtection="1">
      <alignment horizontal="center"/>
    </xf>
    <xf numFmtId="0" fontId="7" fillId="0" borderId="2" xfId="0" applyNumberFormat="1" applyFont="1" applyFill="1" applyBorder="1"/>
    <xf numFmtId="2" fontId="0" fillId="0" borderId="11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7" xfId="0" applyFont="1" applyFill="1" applyBorder="1" applyAlignment="1" applyProtection="1">
      <alignment horizontal="center"/>
    </xf>
    <xf numFmtId="0" fontId="7" fillId="40" borderId="2" xfId="0" applyFont="1" applyFill="1" applyBorder="1"/>
    <xf numFmtId="0" fontId="9" fillId="40" borderId="2" xfId="0" applyFont="1" applyFill="1" applyBorder="1"/>
    <xf numFmtId="0" fontId="0" fillId="41" borderId="0" xfId="0" applyFill="1"/>
    <xf numFmtId="166" fontId="0" fillId="0" borderId="2" xfId="0" applyNumberFormat="1" applyFont="1" applyBorder="1" applyAlignment="1">
      <alignment wrapText="1"/>
    </xf>
    <xf numFmtId="0" fontId="0" fillId="0" borderId="4" xfId="0" applyBorder="1" applyAlignment="1"/>
    <xf numFmtId="2" fontId="0" fillId="8" borderId="0" xfId="0" applyNumberFormat="1" applyFill="1"/>
    <xf numFmtId="49" fontId="61" fillId="0" borderId="7" xfId="0" applyNumberFormat="1" applyFont="1" applyBorder="1" applyAlignment="1">
      <alignment horizontal="center"/>
    </xf>
    <xf numFmtId="2" fontId="0" fillId="0" borderId="40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5" fillId="0" borderId="24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center" wrapText="1"/>
    </xf>
    <xf numFmtId="166" fontId="0" fillId="0" borderId="12" xfId="0" applyNumberFormat="1" applyFont="1" applyBorder="1" applyAlignment="1">
      <alignment horizontal="center" wrapText="1"/>
    </xf>
    <xf numFmtId="166" fontId="0" fillId="0" borderId="1" xfId="0" applyNumberFormat="1" applyFont="1" applyBorder="1" applyAlignment="1">
      <alignment horizontal="right" wrapText="1"/>
    </xf>
    <xf numFmtId="166" fontId="0" fillId="0" borderId="12" xfId="0" applyNumberFormat="1" applyFont="1" applyBorder="1" applyAlignment="1">
      <alignment horizontal="right" wrapText="1"/>
    </xf>
    <xf numFmtId="166" fontId="0" fillId="0" borderId="2" xfId="0" applyNumberFormat="1" applyFont="1" applyBorder="1" applyAlignment="1">
      <alignment vertical="justify" wrapText="1"/>
    </xf>
    <xf numFmtId="166" fontId="0" fillId="0" borderId="2" xfId="0" applyNumberFormat="1" applyFont="1" applyBorder="1" applyAlignment="1"/>
    <xf numFmtId="166" fontId="5" fillId="0" borderId="0" xfId="0" applyNumberFormat="1" applyFont="1"/>
    <xf numFmtId="166" fontId="0" fillId="0" borderId="0" xfId="0" applyNumberFormat="1"/>
    <xf numFmtId="166" fontId="0" fillId="0" borderId="2" xfId="0" applyNumberFormat="1" applyBorder="1"/>
    <xf numFmtId="166" fontId="0" fillId="0" borderId="9" xfId="0" applyNumberFormat="1" applyBorder="1" applyAlignment="1"/>
    <xf numFmtId="166" fontId="0" fillId="0" borderId="11" xfId="0" applyNumberFormat="1" applyBorder="1" applyAlignment="1"/>
    <xf numFmtId="166" fontId="0" fillId="0" borderId="2" xfId="0" applyNumberFormat="1" applyBorder="1" applyAlignment="1">
      <alignment horizontal="right"/>
    </xf>
    <xf numFmtId="166" fontId="0" fillId="0" borderId="9" xfId="0" applyNumberFormat="1" applyBorder="1" applyAlignment="1">
      <alignment horizontal="left"/>
    </xf>
    <xf numFmtId="166" fontId="0" fillId="0" borderId="11" xfId="0" applyNumberFormat="1" applyBorder="1" applyAlignment="1">
      <alignment horizontal="left"/>
    </xf>
    <xf numFmtId="166" fontId="0" fillId="0" borderId="9" xfId="0" applyNumberFormat="1" applyFill="1" applyBorder="1" applyAlignment="1"/>
    <xf numFmtId="166" fontId="0" fillId="0" borderId="11" xfId="0" applyNumberFormat="1" applyFill="1" applyBorder="1" applyAlignment="1"/>
    <xf numFmtId="0" fontId="0" fillId="0" borderId="0" xfId="0" applyBorder="1" applyAlignment="1">
      <alignment horizontal="right"/>
    </xf>
    <xf numFmtId="0" fontId="7" fillId="0" borderId="0" xfId="0" applyFont="1" applyFill="1"/>
    <xf numFmtId="169" fontId="7" fillId="0" borderId="0" xfId="0" applyNumberFormat="1" applyFont="1" applyFill="1"/>
    <xf numFmtId="164" fontId="7" fillId="0" borderId="2" xfId="0" applyNumberFormat="1" applyFont="1" applyBorder="1" applyAlignment="1">
      <alignment horizontal="center" vertical="top" wrapText="1"/>
    </xf>
    <xf numFmtId="164" fontId="7" fillId="0" borderId="2" xfId="0" applyNumberFormat="1" applyFont="1" applyBorder="1" applyAlignment="1">
      <alignment horizontal="center" wrapText="1"/>
    </xf>
    <xf numFmtId="164" fontId="7" fillId="0" borderId="16" xfId="0" applyNumberFormat="1" applyFont="1" applyBorder="1" applyAlignment="1">
      <alignment horizontal="center" vertical="top" wrapText="1"/>
    </xf>
    <xf numFmtId="166" fontId="0" fillId="0" borderId="1" xfId="0" applyNumberFormat="1" applyBorder="1" applyAlignment="1">
      <alignment horizontal="right"/>
    </xf>
    <xf numFmtId="0" fontId="0" fillId="0" borderId="4" xfId="0" applyFont="1" applyFill="1" applyBorder="1"/>
    <xf numFmtId="0" fontId="7" fillId="0" borderId="2" xfId="0" applyFont="1" applyFill="1" applyBorder="1" applyAlignment="1">
      <alignment horizontal="left" vertical="center" wrapText="1"/>
    </xf>
    <xf numFmtId="164" fontId="7" fillId="0" borderId="2" xfId="0" applyNumberFormat="1" applyFont="1" applyBorder="1" applyAlignment="1">
      <alignment horizontal="center"/>
    </xf>
    <xf numFmtId="0" fontId="7" fillId="0" borderId="2" xfId="0" applyFont="1" applyBorder="1" applyAlignment="1">
      <alignment horizontal="left"/>
    </xf>
    <xf numFmtId="0" fontId="0" fillId="0" borderId="16" xfId="0" applyFill="1" applyBorder="1" applyAlignment="1">
      <alignment horizontal="center"/>
    </xf>
    <xf numFmtId="0" fontId="7" fillId="0" borderId="17" xfId="0" applyFont="1" applyBorder="1"/>
    <xf numFmtId="0" fontId="7" fillId="3" borderId="17" xfId="0" applyFont="1" applyFill="1" applyBorder="1"/>
    <xf numFmtId="0" fontId="7" fillId="0" borderId="17" xfId="0" applyFont="1" applyBorder="1" applyAlignment="1">
      <alignment horizontal="center"/>
    </xf>
    <xf numFmtId="0" fontId="7" fillId="0" borderId="16" xfId="0" applyFont="1" applyBorder="1"/>
    <xf numFmtId="0" fontId="7" fillId="0" borderId="16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4" xfId="0" applyFont="1" applyBorder="1" applyAlignment="1">
      <alignment horizontal="left"/>
    </xf>
    <xf numFmtId="0" fontId="7" fillId="0" borderId="2" xfId="0" applyFont="1" applyFill="1" applyBorder="1"/>
    <xf numFmtId="2" fontId="7" fillId="0" borderId="4" xfId="0" applyNumberFormat="1" applyFont="1" applyBorder="1" applyAlignment="1">
      <alignment horizontal="center"/>
    </xf>
    <xf numFmtId="0" fontId="9" fillId="0" borderId="4" xfId="0" applyNumberFormat="1" applyFont="1" applyFill="1" applyBorder="1"/>
    <xf numFmtId="0" fontId="7" fillId="0" borderId="9" xfId="0" applyFont="1" applyBorder="1"/>
    <xf numFmtId="2" fontId="7" fillId="0" borderId="7" xfId="0" applyNumberFormat="1" applyFont="1" applyBorder="1" applyAlignment="1">
      <alignment horizontal="center"/>
    </xf>
    <xf numFmtId="166" fontId="7" fillId="0" borderId="11" xfId="0" applyNumberFormat="1" applyFont="1" applyBorder="1" applyAlignment="1">
      <alignment horizontal="center" wrapText="1"/>
    </xf>
    <xf numFmtId="166" fontId="0" fillId="0" borderId="4" xfId="0" applyNumberFormat="1" applyBorder="1" applyAlignment="1">
      <alignment horizontal="center"/>
    </xf>
    <xf numFmtId="2" fontId="7" fillId="0" borderId="11" xfId="0" applyNumberFormat="1" applyFont="1" applyBorder="1" applyAlignment="1">
      <alignment horizontal="center" wrapText="1"/>
    </xf>
    <xf numFmtId="0" fontId="2" fillId="0" borderId="4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1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41" fillId="0" borderId="0" xfId="0" applyFont="1" applyAlignment="1">
      <alignment horizontal="center" vertical="center" wrapText="1"/>
    </xf>
    <xf numFmtId="0" fontId="10" fillId="0" borderId="2" xfId="0" applyFont="1" applyFill="1" applyBorder="1" applyAlignment="1">
      <alignment horizontal="left"/>
    </xf>
    <xf numFmtId="0" fontId="10" fillId="0" borderId="4" xfId="0" applyFont="1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5" fillId="0" borderId="49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1" fillId="0" borderId="50" xfId="0" applyFont="1" applyBorder="1" applyAlignment="1">
      <alignment horizontal="left"/>
    </xf>
    <xf numFmtId="0" fontId="1" fillId="0" borderId="49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2" fillId="0" borderId="2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0" fillId="0" borderId="4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9" xfId="0" applyFill="1" applyBorder="1" applyAlignment="1">
      <alignment horizontal="left"/>
    </xf>
    <xf numFmtId="0" fontId="0" fillId="0" borderId="36" xfId="0" applyFill="1" applyBorder="1" applyAlignment="1">
      <alignment horizontal="left"/>
    </xf>
    <xf numFmtId="0" fontId="0" fillId="0" borderId="17" xfId="0" applyBorder="1" applyAlignment="1">
      <alignment horizontal="center" vertical="top"/>
    </xf>
    <xf numFmtId="0" fontId="0" fillId="0" borderId="16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2" fillId="0" borderId="2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62" fillId="0" borderId="2" xfId="0" applyFont="1" applyBorder="1" applyAlignment="1">
      <alignment horizontal="left"/>
    </xf>
    <xf numFmtId="0" fontId="62" fillId="0" borderId="4" xfId="0" applyFont="1" applyBorder="1" applyAlignment="1">
      <alignment horizontal="left"/>
    </xf>
    <xf numFmtId="0" fontId="2" fillId="0" borderId="4" xfId="0" applyFont="1" applyBorder="1" applyAlignment="1">
      <alignment horizontal="left" wrapText="1"/>
    </xf>
    <xf numFmtId="0" fontId="2" fillId="0" borderId="36" xfId="0" applyFont="1" applyBorder="1" applyAlignment="1">
      <alignment horizontal="left" wrapText="1"/>
    </xf>
    <xf numFmtId="0" fontId="2" fillId="0" borderId="10" xfId="0" applyFont="1" applyBorder="1" applyAlignment="1">
      <alignment horizontal="left" wrapText="1"/>
    </xf>
    <xf numFmtId="0" fontId="2" fillId="0" borderId="48" xfId="0" applyFont="1" applyBorder="1" applyAlignment="1">
      <alignment horizontal="left" wrapText="1"/>
    </xf>
    <xf numFmtId="0" fontId="0" fillId="0" borderId="17" xfId="0" applyFill="1" applyBorder="1" applyAlignment="1">
      <alignment horizontal="center" vertical="top"/>
    </xf>
    <xf numFmtId="0" fontId="0" fillId="0" borderId="16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/>
    </xf>
    <xf numFmtId="0" fontId="0" fillId="0" borderId="11" xfId="0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2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2" xfId="0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8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7" fillId="0" borderId="8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2" xfId="0" applyFont="1" applyBorder="1" applyAlignment="1">
      <alignment horizontal="center" wrapText="1"/>
    </xf>
    <xf numFmtId="0" fontId="7" fillId="0" borderId="10" xfId="0" applyFont="1" applyBorder="1" applyAlignment="1">
      <alignment horizontal="center" wrapText="1"/>
    </xf>
    <xf numFmtId="0" fontId="7" fillId="0" borderId="12" xfId="0" applyFont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0" fontId="0" fillId="0" borderId="40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23" fillId="0" borderId="15" xfId="0" applyFont="1" applyBorder="1" applyAlignment="1">
      <alignment horizontal="left" vertical="top"/>
    </xf>
    <xf numFmtId="0" fontId="23" fillId="0" borderId="2" xfId="0" applyFont="1" applyBorder="1" applyAlignment="1">
      <alignment horizontal="left" vertical="top"/>
    </xf>
    <xf numFmtId="0" fontId="23" fillId="0" borderId="4" xfId="0" applyFont="1" applyBorder="1" applyAlignment="1">
      <alignment horizontal="left" vertical="top"/>
    </xf>
    <xf numFmtId="0" fontId="24" fillId="0" borderId="30" xfId="0" applyFont="1" applyBorder="1" applyAlignment="1">
      <alignment horizontal="left" vertical="top" wrapText="1"/>
    </xf>
    <xf numFmtId="0" fontId="24" fillId="0" borderId="42" xfId="0" applyFont="1" applyBorder="1" applyAlignment="1">
      <alignment horizontal="left" vertical="top" wrapText="1"/>
    </xf>
    <xf numFmtId="0" fontId="24" fillId="0" borderId="25" xfId="0" applyFont="1" applyBorder="1" applyAlignment="1">
      <alignment horizontal="left" vertical="top" wrapText="1"/>
    </xf>
    <xf numFmtId="0" fontId="23" fillId="0" borderId="39" xfId="0" applyFont="1" applyBorder="1" applyAlignment="1">
      <alignment horizontal="left" vertical="top" wrapText="1"/>
    </xf>
    <xf numFmtId="0" fontId="23" fillId="0" borderId="47" xfId="0" applyFont="1" applyBorder="1" applyAlignment="1">
      <alignment horizontal="left" vertical="top" wrapText="1"/>
    </xf>
    <xf numFmtId="0" fontId="23" fillId="0" borderId="54" xfId="0" applyFont="1" applyBorder="1" applyAlignment="1">
      <alignment horizontal="left" vertical="top" wrapText="1"/>
    </xf>
    <xf numFmtId="0" fontId="23" fillId="0" borderId="9" xfId="0" applyFont="1" applyBorder="1" applyAlignment="1">
      <alignment horizontal="left" vertical="top" wrapText="1"/>
    </xf>
    <xf numFmtId="0" fontId="15" fillId="0" borderId="0" xfId="0" applyFont="1" applyAlignment="1">
      <alignment horizontal="center" vertical="top"/>
    </xf>
    <xf numFmtId="0" fontId="23" fillId="0" borderId="11" xfId="0" applyFont="1" applyBorder="1" applyAlignment="1">
      <alignment horizontal="left" vertical="top" wrapText="1"/>
    </xf>
    <xf numFmtId="0" fontId="23" fillId="0" borderId="54" xfId="0" applyFont="1" applyBorder="1" applyAlignment="1">
      <alignment horizontal="left" vertical="top"/>
    </xf>
    <xf numFmtId="0" fontId="23" fillId="0" borderId="9" xfId="0" applyFont="1" applyBorder="1" applyAlignment="1">
      <alignment horizontal="left" vertical="top"/>
    </xf>
    <xf numFmtId="0" fontId="23" fillId="0" borderId="11" xfId="0" applyFont="1" applyBorder="1" applyAlignment="1">
      <alignment horizontal="left" vertical="top"/>
    </xf>
    <xf numFmtId="0" fontId="24" fillId="0" borderId="51" xfId="0" applyFont="1" applyBorder="1" applyAlignment="1">
      <alignment horizontal="left" vertical="top"/>
    </xf>
    <xf numFmtId="0" fontId="24" fillId="0" borderId="52" xfId="0" applyFont="1" applyBorder="1" applyAlignment="1">
      <alignment horizontal="left" vertical="top"/>
    </xf>
    <xf numFmtId="0" fontId="24" fillId="0" borderId="53" xfId="0" applyFont="1" applyBorder="1" applyAlignment="1">
      <alignment horizontal="left" vertical="top"/>
    </xf>
    <xf numFmtId="0" fontId="23" fillId="0" borderId="0" xfId="0" applyFont="1" applyAlignment="1">
      <alignment horizontal="left" vertical="top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0" xfId="0" applyFont="1" applyBorder="1" applyAlignment="1">
      <alignment horizontal="left" vertical="top"/>
    </xf>
    <xf numFmtId="0" fontId="23" fillId="0" borderId="42" xfId="0" applyFont="1" applyBorder="1" applyAlignment="1">
      <alignment horizontal="left" vertical="top"/>
    </xf>
    <xf numFmtId="0" fontId="23" fillId="0" borderId="34" xfId="0" applyFont="1" applyBorder="1" applyAlignment="1">
      <alignment horizontal="left" vertical="top" wrapText="1"/>
    </xf>
    <xf numFmtId="0" fontId="23" fillId="0" borderId="35" xfId="0" applyFont="1" applyBorder="1" applyAlignment="1">
      <alignment horizontal="left" vertical="top" wrapText="1"/>
    </xf>
    <xf numFmtId="0" fontId="25" fillId="0" borderId="0" xfId="0" applyFont="1" applyAlignment="1">
      <alignment horizontal="center" vertical="top"/>
    </xf>
    <xf numFmtId="0" fontId="23" fillId="0" borderId="32" xfId="0" applyFont="1" applyBorder="1" applyAlignment="1">
      <alignment horizontal="left" vertical="top" wrapText="1"/>
    </xf>
    <xf numFmtId="0" fontId="23" fillId="0" borderId="33" xfId="0" applyFont="1" applyBorder="1" applyAlignment="1">
      <alignment horizontal="left" vertical="top" wrapText="1"/>
    </xf>
    <xf numFmtId="4" fontId="23" fillId="0" borderId="34" xfId="0" applyNumberFormat="1" applyFont="1" applyBorder="1" applyAlignment="1">
      <alignment horizontal="center" vertical="center"/>
    </xf>
    <xf numFmtId="4" fontId="23" fillId="0" borderId="35" xfId="0" applyNumberFormat="1" applyFont="1" applyBorder="1" applyAlignment="1">
      <alignment horizontal="center" vertical="center"/>
    </xf>
    <xf numFmtId="0" fontId="23" fillId="0" borderId="15" xfId="0" applyFont="1" applyFill="1" applyBorder="1" applyAlignment="1">
      <alignment horizontal="center" vertical="top"/>
    </xf>
    <xf numFmtId="0" fontId="23" fillId="0" borderId="24" xfId="0" applyFont="1" applyFill="1" applyBorder="1" applyAlignment="1">
      <alignment horizontal="center" vertical="top"/>
    </xf>
    <xf numFmtId="0" fontId="23" fillId="0" borderId="15" xfId="0" applyFont="1" applyBorder="1" applyAlignment="1">
      <alignment horizontal="center" vertical="top"/>
    </xf>
    <xf numFmtId="0" fontId="23" fillId="0" borderId="24" xfId="0" applyFont="1" applyBorder="1" applyAlignment="1">
      <alignment horizontal="center" vertical="top"/>
    </xf>
    <xf numFmtId="0" fontId="23" fillId="4" borderId="15" xfId="0" applyFont="1" applyFill="1" applyBorder="1" applyAlignment="1">
      <alignment horizontal="center" vertical="top"/>
    </xf>
    <xf numFmtId="0" fontId="23" fillId="4" borderId="24" xfId="0" applyFont="1" applyFill="1" applyBorder="1" applyAlignment="1">
      <alignment horizontal="center" vertical="top"/>
    </xf>
    <xf numFmtId="0" fontId="24" fillId="0" borderId="39" xfId="0" applyFont="1" applyBorder="1" applyAlignment="1">
      <alignment horizontal="center" vertical="top"/>
    </xf>
    <xf numFmtId="0" fontId="24" fillId="0" borderId="40" xfId="0" applyFont="1" applyBorder="1" applyAlignment="1">
      <alignment horizontal="center" vertical="top"/>
    </xf>
    <xf numFmtId="0" fontId="23" fillId="0" borderId="39" xfId="0" applyFont="1" applyBorder="1" applyAlignment="1">
      <alignment horizontal="left" vertical="top"/>
    </xf>
    <xf numFmtId="0" fontId="23" fillId="0" borderId="47" xfId="0" applyFont="1" applyBorder="1" applyAlignment="1">
      <alignment horizontal="left" vertical="top"/>
    </xf>
    <xf numFmtId="0" fontId="23" fillId="0" borderId="18" xfId="0" applyFont="1" applyBorder="1" applyAlignment="1">
      <alignment horizontal="left" vertical="top"/>
    </xf>
    <xf numFmtId="0" fontId="23" fillId="0" borderId="15" xfId="0" applyFont="1" applyBorder="1" applyAlignment="1">
      <alignment horizontal="left" vertical="top" wrapText="1"/>
    </xf>
    <xf numFmtId="0" fontId="23" fillId="0" borderId="2" xfId="0" applyFont="1" applyBorder="1" applyAlignment="1">
      <alignment horizontal="left" vertical="top" wrapText="1"/>
    </xf>
    <xf numFmtId="0" fontId="23" fillId="0" borderId="34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0" fillId="0" borderId="17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0" fillId="0" borderId="10" xfId="0" applyFont="1" applyBorder="1" applyAlignment="1">
      <alignment horizontal="left" vertical="center" wrapText="1"/>
    </xf>
    <xf numFmtId="0" fontId="20" fillId="0" borderId="12" xfId="0" applyFont="1" applyBorder="1" applyAlignment="1">
      <alignment horizontal="left" vertical="center" wrapText="1"/>
    </xf>
    <xf numFmtId="4" fontId="20" fillId="0" borderId="17" xfId="0" applyNumberFormat="1" applyFont="1" applyBorder="1" applyAlignment="1">
      <alignment horizontal="center" vertical="center"/>
    </xf>
    <xf numFmtId="4" fontId="20" fillId="0" borderId="1" xfId="0" applyNumberFormat="1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left" wrapText="1"/>
    </xf>
    <xf numFmtId="0" fontId="20" fillId="0" borderId="13" xfId="0" applyFont="1" applyBorder="1" applyAlignment="1">
      <alignment horizontal="left" wrapText="1"/>
    </xf>
    <xf numFmtId="0" fontId="20" fillId="0" borderId="10" xfId="0" applyFont="1" applyBorder="1" applyAlignment="1">
      <alignment horizontal="left" wrapText="1"/>
    </xf>
    <xf numFmtId="0" fontId="20" fillId="0" borderId="12" xfId="0" applyFont="1" applyBorder="1" applyAlignment="1">
      <alignment horizontal="left" wrapText="1"/>
    </xf>
    <xf numFmtId="0" fontId="20" fillId="0" borderId="8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horizontal="center" wrapText="1"/>
    </xf>
    <xf numFmtId="0" fontId="20" fillId="0" borderId="1" xfId="0" applyFont="1" applyBorder="1" applyAlignment="1">
      <alignment horizontal="center" wrapText="1"/>
    </xf>
    <xf numFmtId="0" fontId="20" fillId="0" borderId="16" xfId="0" applyFont="1" applyBorder="1" applyAlignment="1">
      <alignment horizontal="center" vertical="top" wrapText="1"/>
    </xf>
    <xf numFmtId="0" fontId="11" fillId="0" borderId="15" xfId="0" applyFont="1" applyBorder="1" applyAlignment="1">
      <alignment horizontal="left" wrapText="1"/>
    </xf>
    <xf numFmtId="0" fontId="11" fillId="0" borderId="2" xfId="0" applyFont="1" applyBorder="1" applyAlignment="1">
      <alignment horizontal="left" wrapText="1"/>
    </xf>
    <xf numFmtId="0" fontId="11" fillId="0" borderId="4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11" fillId="0" borderId="11" xfId="0" applyFont="1" applyBorder="1" applyAlignment="1">
      <alignment horizontal="left" vertical="center" wrapText="1"/>
    </xf>
    <xf numFmtId="0" fontId="11" fillId="0" borderId="0" xfId="0" applyFont="1" applyAlignment="1">
      <alignment horizontal="right"/>
    </xf>
    <xf numFmtId="0" fontId="5" fillId="0" borderId="15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11" fillId="0" borderId="2" xfId="0" applyFont="1" applyBorder="1" applyAlignment="1">
      <alignment horizontal="left"/>
    </xf>
    <xf numFmtId="0" fontId="11" fillId="0" borderId="51" xfId="0" applyFont="1" applyBorder="1" applyAlignment="1">
      <alignment horizontal="left" vertical="center"/>
    </xf>
    <xf numFmtId="0" fontId="11" fillId="0" borderId="52" xfId="0" applyFont="1" applyBorder="1" applyAlignment="1">
      <alignment horizontal="left" vertical="center"/>
    </xf>
    <xf numFmtId="0" fontId="11" fillId="0" borderId="55" xfId="0" applyFont="1" applyBorder="1" applyAlignment="1">
      <alignment horizontal="left" vertical="center"/>
    </xf>
    <xf numFmtId="0" fontId="5" fillId="0" borderId="39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20" fillId="0" borderId="20" xfId="0" applyFont="1" applyBorder="1" applyAlignment="1">
      <alignment horizontal="center" vertical="top"/>
    </xf>
    <xf numFmtId="0" fontId="20" fillId="0" borderId="6" xfId="0" applyFont="1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9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1" fillId="0" borderId="0" xfId="0" applyFont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11" xfId="0" applyFont="1" applyFill="1" applyBorder="1" applyAlignment="1">
      <alignment horizontal="center"/>
    </xf>
    <xf numFmtId="0" fontId="20" fillId="0" borderId="0" xfId="0" applyFont="1" applyBorder="1" applyAlignment="1">
      <alignment horizontal="center" vertical="top"/>
    </xf>
    <xf numFmtId="0" fontId="6" fillId="0" borderId="4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0" fontId="5" fillId="0" borderId="0" xfId="0" applyFont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40" borderId="2" xfId="0" applyFont="1" applyFill="1" applyBorder="1" applyAlignment="1">
      <alignment horizontal="center"/>
    </xf>
    <xf numFmtId="0" fontId="9" fillId="0" borderId="4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7" fillId="0" borderId="8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9" fillId="0" borderId="0" xfId="0" applyFont="1" applyAlignment="1">
      <alignment horizontal="center" wrapText="1"/>
    </xf>
    <xf numFmtId="0" fontId="9" fillId="0" borderId="0" xfId="0" applyNumberFormat="1" applyFont="1" applyFill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  <xf numFmtId="0" fontId="9" fillId="0" borderId="0" xfId="0" applyNumberFormat="1" applyFont="1" applyFill="1" applyBorder="1" applyAlignment="1">
      <alignment horizontal="center" wrapText="1"/>
    </xf>
    <xf numFmtId="0" fontId="9" fillId="0" borderId="2" xfId="0" applyNumberFormat="1" applyFont="1" applyFill="1" applyBorder="1" applyAlignment="1">
      <alignment horizontal="left" wrapText="1"/>
    </xf>
    <xf numFmtId="0" fontId="9" fillId="0" borderId="4" xfId="0" applyNumberFormat="1" applyFont="1" applyFill="1" applyBorder="1" applyAlignment="1">
      <alignment horizontal="left" wrapText="1"/>
    </xf>
    <xf numFmtId="0" fontId="9" fillId="0" borderId="0" xfId="0" applyFont="1" applyBorder="1" applyAlignment="1">
      <alignment horizontal="center" vertical="top" wrapText="1"/>
    </xf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8" fillId="0" borderId="17" xfId="0" applyNumberFormat="1" applyFont="1" applyBorder="1" applyAlignment="1">
      <alignment horizontal="center" vertical="center" wrapText="1"/>
    </xf>
    <xf numFmtId="0" fontId="8" fillId="0" borderId="1" xfId="0" applyNumberFormat="1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5" fillId="0" borderId="6" xfId="0" applyFont="1" applyBorder="1" applyAlignment="1">
      <alignment horizontal="center"/>
    </xf>
    <xf numFmtId="0" fontId="28" fillId="0" borderId="0" xfId="0" applyFont="1" applyFill="1" applyAlignment="1">
      <alignment horizontal="left"/>
    </xf>
    <xf numFmtId="172" fontId="35" fillId="0" borderId="0" xfId="0" applyNumberFormat="1" applyFont="1" applyFill="1" applyAlignment="1">
      <alignment horizontal="center"/>
    </xf>
    <xf numFmtId="0" fontId="30" fillId="0" borderId="0" xfId="0" applyFont="1" applyFill="1" applyAlignment="1">
      <alignment horizontal="left"/>
    </xf>
    <xf numFmtId="0" fontId="33" fillId="0" borderId="0" xfId="0" applyFont="1" applyFill="1" applyAlignment="1">
      <alignment horizontal="center" vertical="center"/>
    </xf>
    <xf numFmtId="0" fontId="3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30" fillId="0" borderId="0" xfId="0" applyFont="1" applyFill="1" applyAlignment="1">
      <alignment horizontal="left" wrapText="1"/>
    </xf>
    <xf numFmtId="0" fontId="34" fillId="0" borderId="0" xfId="0" applyFont="1" applyFill="1" applyAlignment="1">
      <alignment horizontal="center" vertical="center"/>
    </xf>
    <xf numFmtId="0" fontId="28" fillId="0" borderId="0" xfId="0" applyFont="1" applyFill="1" applyAlignment="1">
      <alignment horizontal="left" vertical="top" wrapText="1"/>
    </xf>
    <xf numFmtId="0" fontId="30" fillId="0" borderId="0" xfId="0" applyFont="1" applyFill="1" applyAlignment="1">
      <alignment horizontal="left" vertical="top" wrapText="1"/>
    </xf>
    <xf numFmtId="0" fontId="28" fillId="0" borderId="2" xfId="0" applyFont="1" applyFill="1" applyBorder="1" applyAlignment="1">
      <alignment horizontal="center" vertical="top" wrapText="1"/>
    </xf>
    <xf numFmtId="0" fontId="28" fillId="0" borderId="0" xfId="0" applyFont="1" applyFill="1" applyAlignment="1">
      <alignment horizontal="left" wrapText="1"/>
    </xf>
    <xf numFmtId="3" fontId="28" fillId="0" borderId="2" xfId="0" applyNumberFormat="1" applyFont="1" applyFill="1" applyBorder="1" applyAlignment="1">
      <alignment horizontal="center" vertical="top" wrapText="1"/>
    </xf>
    <xf numFmtId="4" fontId="28" fillId="0" borderId="2" xfId="0" applyNumberFormat="1" applyFont="1" applyFill="1" applyBorder="1" applyAlignment="1">
      <alignment horizontal="center" vertical="top" wrapText="1"/>
    </xf>
    <xf numFmtId="0" fontId="7" fillId="0" borderId="17" xfId="0" applyFont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</cellXfs>
  <cellStyles count="45">
    <cellStyle name="20% - Акцент1 2" xfId="1"/>
    <cellStyle name="20% - Акцент2 2" xfId="2"/>
    <cellStyle name="20% - Акцент3 2" xfId="3"/>
    <cellStyle name="20% - Акцент4 2" xfId="4"/>
    <cellStyle name="20% - Акцент5 2" xfId="5"/>
    <cellStyle name="20% - Акцент6 2" xfId="6"/>
    <cellStyle name="40% - Акцент1 2" xfId="7"/>
    <cellStyle name="40% - Акцент2 2" xfId="8"/>
    <cellStyle name="40% - Акцент3 2" xfId="9"/>
    <cellStyle name="40% - Акцент4 2" xfId="10"/>
    <cellStyle name="40% - Акцент5 2" xfId="11"/>
    <cellStyle name="40% - Акцент6 2" xfId="12"/>
    <cellStyle name="60% - Акцент1 2" xfId="13"/>
    <cellStyle name="60% - Акцент2 2" xfId="14"/>
    <cellStyle name="60% - Акцент3 2" xfId="15"/>
    <cellStyle name="60% - Акцент4 2" xfId="16"/>
    <cellStyle name="60% - Акцент5 2" xfId="17"/>
    <cellStyle name="60% - Акцент6 2" xfId="18"/>
    <cellStyle name="Акцент1 2" xfId="19"/>
    <cellStyle name="Акцент2 2" xfId="20"/>
    <cellStyle name="Акцент3 2" xfId="21"/>
    <cellStyle name="Акцент4 2" xfId="22"/>
    <cellStyle name="Акцент5 2" xfId="23"/>
    <cellStyle name="Акцент6 2" xfId="24"/>
    <cellStyle name="Ввод  2" xfId="25"/>
    <cellStyle name="Вывод 2" xfId="26"/>
    <cellStyle name="Вычисление 2" xfId="27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 2" xfId="32"/>
    <cellStyle name="Контрольная ячейка 2" xfId="33"/>
    <cellStyle name="Название" xfId="34" builtinId="15" customBuiltin="1"/>
    <cellStyle name="Нейтральный 2" xfId="35"/>
    <cellStyle name="Обычный" xfId="0" builtinId="0" customBuiltin="1"/>
    <cellStyle name="Обычный 2" xfId="36"/>
    <cellStyle name="Плохой 2" xfId="37"/>
    <cellStyle name="Пояснение 2" xfId="38"/>
    <cellStyle name="Примечание 2" xfId="39"/>
    <cellStyle name="Примечание 2 2" xfId="40"/>
    <cellStyle name="Процентный 2" xfId="41"/>
    <cellStyle name="Связанная ячейка 2" xfId="42"/>
    <cellStyle name="Текст предупреждения 2" xfId="43"/>
    <cellStyle name="Хороший 2" xfId="4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Коэффициент серийности Кс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Коэффициэнт серийности Кс</c:v>
          </c:tx>
          <c:cat>
            <c:numRef>
              <c:f>Коэфф!$A$9:$A$40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24</c:v>
                </c:pt>
                <c:pt idx="20">
                  <c:v>26</c:v>
                </c:pt>
                <c:pt idx="21">
                  <c:v>27</c:v>
                </c:pt>
                <c:pt idx="22">
                  <c:v>29</c:v>
                </c:pt>
                <c:pt idx="23">
                  <c:v>35</c:v>
                </c:pt>
                <c:pt idx="24">
                  <c:v>43</c:v>
                </c:pt>
                <c:pt idx="25">
                  <c:v>49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61</c:v>
                </c:pt>
                <c:pt idx="30">
                  <c:v>73</c:v>
                </c:pt>
                <c:pt idx="31">
                  <c:v>99</c:v>
                </c:pt>
              </c:numCache>
            </c:numRef>
          </c:cat>
          <c:val>
            <c:numRef>
              <c:f>Коэфф!$B$9:$B$40</c:f>
              <c:numCache>
                <c:formatCode>0.00</c:formatCode>
                <c:ptCount val="32"/>
                <c:pt idx="0">
                  <c:v>1.5</c:v>
                </c:pt>
                <c:pt idx="1">
                  <c:v>1.4</c:v>
                </c:pt>
                <c:pt idx="2">
                  <c:v>1.3</c:v>
                </c:pt>
                <c:pt idx="3">
                  <c:v>1.2</c:v>
                </c:pt>
                <c:pt idx="4">
                  <c:v>1.1499999999999999</c:v>
                </c:pt>
                <c:pt idx="5">
                  <c:v>1.1000000000000001</c:v>
                </c:pt>
                <c:pt idx="6">
                  <c:v>1.05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0.99000000000000288</c:v>
                </c:pt>
                <c:pt idx="29">
                  <c:v>0.98000000000000309</c:v>
                </c:pt>
                <c:pt idx="30">
                  <c:v>0.9700000000000033</c:v>
                </c:pt>
                <c:pt idx="31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157080960"/>
        <c:axId val="157087616"/>
      </c:lineChart>
      <c:dateAx>
        <c:axId val="1570809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Количество заготовок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57087616"/>
        <c:crosses val="autoZero"/>
        <c:auto val="0"/>
        <c:lblOffset val="100"/>
        <c:baseTimeUnit val="days"/>
        <c:majorUnit val="5"/>
        <c:majorTimeUnit val="days"/>
      </c:dateAx>
      <c:valAx>
        <c:axId val="157087616"/>
        <c:scaling>
          <c:orientation val="minMax"/>
          <c:max val="3.5"/>
          <c:min val="0.8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Кс</a:t>
                </a:r>
              </a:p>
            </c:rich>
          </c:tx>
          <c:layout>
            <c:manualLayout>
              <c:xMode val="edge"/>
              <c:yMode val="edge"/>
              <c:x val="2.4741372542996496E-2"/>
              <c:y val="0.107560704126643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57080960"/>
        <c:crosses val="autoZero"/>
        <c:crossBetween val="midCat"/>
        <c:majorUnit val="0.5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0" fmlaLink="FR" fmlaRange="выбор_материала_табл" noThreeD="1" sel="9" val="5"/>
</file>

<file path=xl/ctrlProps/ctrlProp2.xml><?xml version="1.0" encoding="utf-8"?>
<formControlPr xmlns="http://schemas.microsoft.com/office/spreadsheetml/2009/9/main" objectType="Drop" dropStyle="combo" dx="20" fmlaLink="FRINT" fmlaRange="выбор_материала_табл" noThreeD="1" val="0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22</xdr:row>
          <xdr:rowOff>133350</xdr:rowOff>
        </xdr:from>
        <xdr:to>
          <xdr:col>3</xdr:col>
          <xdr:colOff>142875</xdr:colOff>
          <xdr:row>23</xdr:row>
          <xdr:rowOff>133350</xdr:rowOff>
        </xdr:to>
        <xdr:sp macro="" textlink="">
          <xdr:nvSpPr>
            <xdr:cNvPr id="2098" name="Drop Down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23</xdr:row>
          <xdr:rowOff>133350</xdr:rowOff>
        </xdr:from>
        <xdr:to>
          <xdr:col>3</xdr:col>
          <xdr:colOff>142875</xdr:colOff>
          <xdr:row>42</xdr:row>
          <xdr:rowOff>123825</xdr:rowOff>
        </xdr:to>
        <xdr:sp macro="" textlink="">
          <xdr:nvSpPr>
            <xdr:cNvPr id="2100" name="Drop Down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28575</xdr:rowOff>
        </xdr:from>
        <xdr:to>
          <xdr:col>10</xdr:col>
          <xdr:colOff>0</xdr:colOff>
          <xdr:row>3</xdr:row>
          <xdr:rowOff>85725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Переписать базу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40</xdr:row>
      <xdr:rowOff>30480</xdr:rowOff>
    </xdr:from>
    <xdr:to>
      <xdr:col>11</xdr:col>
      <xdr:colOff>525780</xdr:colOff>
      <xdr:row>57</xdr:row>
      <xdr:rowOff>91440</xdr:rowOff>
    </xdr:to>
    <xdr:graphicFrame macro="">
      <xdr:nvGraphicFramePr>
        <xdr:cNvPr id="3628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&#1053;&#1072;&#1096;&#1080;%20&#1096;&#1072;&#1073;&#1083;&#1086;&#1085;&#1099;\&#1050;&#1086;&#1085;&#1089;&#1090;&#1088;&#1091;&#1082;&#1090;&#1086;&#1088;&#1089;&#1082;&#1080;&#1077;\&#1062;&#1077;&#1085;&#1099;%20&#1085;&#1072;%20&#1052;&#1072;&#1090;&#1077;&#1088;&#1080;&#1072;&#1083;&#109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териалы"/>
      <sheetName val="апрель 2016"/>
      <sheetName val="Июль 2016"/>
      <sheetName val="ноябрь 2016"/>
      <sheetName val="Январь 2017"/>
      <sheetName val="Цены на Материалы"/>
    </sheetNames>
    <definedNames>
      <definedName name="Всё" refersTo="='Материалы'!$A$4:$L$303"/>
      <definedName name="ПрайсНаМатериалы" refersTo="='Материалы'!$D$4:$L$303"/>
    </definedNames>
    <sheetDataSet>
      <sheetData sheetId="0">
        <row r="4">
          <cell r="A4" t="str">
            <v>Activator Neoganth LS Plus</v>
          </cell>
          <cell r="B4">
            <v>1</v>
          </cell>
          <cell r="C4" t="str">
            <v>Активатор NEOGANTH LS ACTIVATOR PLUS</v>
          </cell>
          <cell r="D4" t="str">
            <v>Activator Neoganth LS Plus</v>
          </cell>
          <cell r="E4" t="str">
            <v>кг</v>
          </cell>
          <cell r="F4">
            <v>6372.89</v>
          </cell>
          <cell r="G4" t="str">
            <v>ax220 от 17.03.2017 (ax220)</v>
          </cell>
          <cell r="H4" t="str">
            <v>ООО "Атотех-Хемета"</v>
          </cell>
          <cell r="I4">
            <v>5804.79</v>
          </cell>
        </row>
        <row r="5">
          <cell r="A5" t="str">
            <v>DE 104 ML 105/105-0.15</v>
          </cell>
          <cell r="B5">
            <v>2</v>
          </cell>
          <cell r="C5" t="str">
            <v>Стеклотекстолит фольгированный DE104ML 105/105-0.15</v>
          </cell>
          <cell r="D5" t="str">
            <v>DE 104 ML 105/105-0.15</v>
          </cell>
          <cell r="E5" t="str">
            <v>м2</v>
          </cell>
          <cell r="F5">
            <v>4828.3</v>
          </cell>
          <cell r="G5" t="str">
            <v>spb000000 от 02.04.2018 (spb000000)</v>
          </cell>
          <cell r="H5" t="str">
            <v>ООО "Петрокоммерц"</v>
          </cell>
          <cell r="I5">
            <v>0</v>
          </cell>
        </row>
        <row r="6">
          <cell r="A6" t="str">
            <v>DE 104 ML 12/12-0.1</v>
          </cell>
          <cell r="B6">
            <v>3</v>
          </cell>
          <cell r="C6" t="str">
            <v>Стеклотекстолит фольгированный DE104ML 12/12-0.1</v>
          </cell>
          <cell r="D6" t="str">
            <v>DE 104 ML 12/12-0.1</v>
          </cell>
          <cell r="E6" t="str">
            <v>м2</v>
          </cell>
          <cell r="F6">
            <v>1969.89</v>
          </cell>
          <cell r="G6" t="str">
            <v>spb14033106 от 31.03.2014 (spb140331006)</v>
          </cell>
          <cell r="H6" t="str">
            <v>ООО "Петрокоммерц"</v>
          </cell>
          <cell r="I6">
            <v>1969.89</v>
          </cell>
        </row>
        <row r="7">
          <cell r="A7" t="str">
            <v>DE 104 ML 18/105-0,1</v>
          </cell>
          <cell r="B7">
            <v>4</v>
          </cell>
          <cell r="C7" t="str">
            <v>Стеклотекстолит фольгированный DE104ML 18/105-0.1</v>
          </cell>
          <cell r="D7" t="str">
            <v>DE 104 ML 18/105-0,1</v>
          </cell>
          <cell r="E7" t="str">
            <v>м2</v>
          </cell>
          <cell r="F7">
            <v>3411.77</v>
          </cell>
          <cell r="G7" t="str">
            <v>spb17012601 от 26.01.2017 (spb170126001)</v>
          </cell>
          <cell r="H7" t="str">
            <v>ООО "Петрокоммерц"</v>
          </cell>
          <cell r="I7">
            <v>2983.84</v>
          </cell>
        </row>
        <row r="8">
          <cell r="A8" t="str">
            <v>DE 104 ML 18/18-0,1</v>
          </cell>
          <cell r="B8">
            <v>5</v>
          </cell>
          <cell r="C8" t="str">
            <v>Стеклотекстолит фольгированный DE104ML 18/18-0.1</v>
          </cell>
          <cell r="D8" t="str">
            <v>DE 104 ML 18/18-0,1</v>
          </cell>
          <cell r="E8" t="str">
            <v>м2</v>
          </cell>
          <cell r="F8">
            <v>1980</v>
          </cell>
          <cell r="G8" t="str">
            <v>555 от 08.06.2018 (556)</v>
          </cell>
          <cell r="H8" t="str">
            <v>ООО "БАЛТПРОМИЗОЛИТ"</v>
          </cell>
          <cell r="I8">
            <v>2263.83</v>
          </cell>
        </row>
        <row r="9">
          <cell r="A9" t="str">
            <v>DE 104 ML 18/18-0,15</v>
          </cell>
          <cell r="B9">
            <v>6</v>
          </cell>
          <cell r="C9" t="str">
            <v>Стеклотекстолит фольгированный DE104ML 18/18-0.15</v>
          </cell>
          <cell r="D9" t="str">
            <v>DE 104 ML 18/18-0,15</v>
          </cell>
          <cell r="E9" t="str">
            <v>м2</v>
          </cell>
          <cell r="F9">
            <v>1995.81</v>
          </cell>
          <cell r="G9" t="str">
            <v>164 от 21.08.2017 (185)</v>
          </cell>
          <cell r="H9" t="str">
            <v>ООО "Петроизолит"</v>
          </cell>
          <cell r="I9">
            <v>2281.91</v>
          </cell>
        </row>
        <row r="10">
          <cell r="A10" t="str">
            <v>DE 104 ML 18/18-0,18</v>
          </cell>
          <cell r="B10">
            <v>7</v>
          </cell>
          <cell r="C10" t="str">
            <v>Стеклотекстолит фольгированный DE104ML 18/18-0.18</v>
          </cell>
          <cell r="D10" t="str">
            <v>DE 104 ML 18/18-0,18</v>
          </cell>
          <cell r="E10" t="str">
            <v>м2</v>
          </cell>
          <cell r="F10">
            <v>1995.83</v>
          </cell>
          <cell r="G10" t="str">
            <v>165 от 21.08.2017 (186)</v>
          </cell>
          <cell r="H10" t="str">
            <v>ООО "Петроизолит"</v>
          </cell>
          <cell r="I10">
            <v>1994.47</v>
          </cell>
        </row>
        <row r="11">
          <cell r="A11" t="str">
            <v>DE 104 ML 18/18-0,2</v>
          </cell>
          <cell r="B11">
            <v>8</v>
          </cell>
          <cell r="C11" t="str">
            <v>Стеклотекстолит фольгированный DE104ML 18/18-0.2</v>
          </cell>
          <cell r="D11" t="str">
            <v>DE 104 ML 18/18-0,2</v>
          </cell>
          <cell r="E11" t="str">
            <v>м2</v>
          </cell>
          <cell r="F11">
            <v>1747.8</v>
          </cell>
          <cell r="G11" t="str">
            <v>ТН 50 от 16.03.2017 (50)</v>
          </cell>
          <cell r="H11" t="str">
            <v>ООО "БАЛТИЗОЛИТ"</v>
          </cell>
        </row>
        <row r="12">
          <cell r="A12" t="str">
            <v>DE 104 ML 18/18-0,25</v>
          </cell>
          <cell r="B12">
            <v>9</v>
          </cell>
          <cell r="C12" t="str">
            <v>Стеклотекстолит фольгированный DE104ML 18/18-0.25</v>
          </cell>
          <cell r="D12" t="str">
            <v>DE 104 ML 18/18-0,25</v>
          </cell>
          <cell r="E12" t="str">
            <v>м2</v>
          </cell>
          <cell r="F12">
            <v>2418.69</v>
          </cell>
          <cell r="G12" t="str">
            <v>105 от 08.06.2018 (113)</v>
          </cell>
          <cell r="H12" t="str">
            <v>ООО "Петроизолит"</v>
          </cell>
          <cell r="I12">
            <v>2487.48</v>
          </cell>
        </row>
        <row r="13">
          <cell r="A13" t="str">
            <v>DE 104 ML 18/18-0,36</v>
          </cell>
          <cell r="B13">
            <v>10</v>
          </cell>
          <cell r="C13" t="str">
            <v>Стеклотекстолит фольгированный DE104ML 18/18-0.36</v>
          </cell>
          <cell r="D13" t="str">
            <v>DE 104 ML 18/18-0,36</v>
          </cell>
          <cell r="E13" t="str">
            <v>м2</v>
          </cell>
          <cell r="F13">
            <v>2187.34</v>
          </cell>
          <cell r="G13" t="str">
            <v>169 от 21.08.2017 (190)</v>
          </cell>
          <cell r="H13" t="str">
            <v>ООО "ПЕТРОИЗОЛИТ"</v>
          </cell>
          <cell r="I13">
            <v>2358.84</v>
          </cell>
        </row>
        <row r="14">
          <cell r="A14" t="str">
            <v>DE 104 ML 18/18-0,51</v>
          </cell>
          <cell r="B14">
            <v>11</v>
          </cell>
          <cell r="C14" t="str">
            <v>Стеклотекстолит фольгированный DE104ML 18/18-0.51</v>
          </cell>
          <cell r="D14" t="str">
            <v>DE 104 ML 18/18-0,51</v>
          </cell>
          <cell r="E14" t="str">
            <v>м2</v>
          </cell>
          <cell r="F14">
            <v>2671</v>
          </cell>
          <cell r="G14" t="str">
            <v>416 от 03.05.2018 (416)</v>
          </cell>
          <cell r="H14" t="str">
            <v>ООО "БАЛТПРОМИЗОЛИТ"</v>
          </cell>
          <cell r="I14">
            <v>2693.67</v>
          </cell>
        </row>
        <row r="15">
          <cell r="A15" t="str">
            <v>DE 104 ML 18/18-0,8</v>
          </cell>
          <cell r="B15">
            <v>12</v>
          </cell>
          <cell r="C15" t="str">
            <v>Стеклотекстолит фольгированный DE104ML 18/18-0.8</v>
          </cell>
          <cell r="D15" t="str">
            <v>DE 104 ML 18/18-0,8</v>
          </cell>
          <cell r="E15" t="str">
            <v>м2</v>
          </cell>
          <cell r="F15">
            <v>2490</v>
          </cell>
          <cell r="G15" t="str">
            <v>1190 от 22.09.2016 (1190)</v>
          </cell>
          <cell r="H15" t="str">
            <v>ООО "БАЛТИЗОЛИТ"</v>
          </cell>
          <cell r="I15">
            <v>1563.82</v>
          </cell>
        </row>
        <row r="16">
          <cell r="A16" t="str">
            <v>DE 104 ML 18/18-1.0</v>
          </cell>
          <cell r="B16">
            <v>13</v>
          </cell>
          <cell r="C16" t="str">
            <v>Стеклотекстолит фольгированный DE104ML 18/18-1.0</v>
          </cell>
          <cell r="D16" t="str">
            <v>DE 104 ML 18/18-1.0</v>
          </cell>
          <cell r="E16" t="str">
            <v>м2</v>
          </cell>
          <cell r="F16">
            <v>1768.51</v>
          </cell>
          <cell r="G16" t="str">
            <v>spb14050701 от 07.05.2014 (spb140507001)</v>
          </cell>
          <cell r="H16" t="str">
            <v>ООО "Петрокоммерц"</v>
          </cell>
          <cell r="I16">
            <v>1592.49</v>
          </cell>
        </row>
        <row r="17">
          <cell r="A17" t="str">
            <v>DE 104 ML 18/70-0,1</v>
          </cell>
          <cell r="B17">
            <v>14</v>
          </cell>
          <cell r="C17" t="str">
            <v>Стеклотекстолит фольгированный DE104ML 18/70-0.1</v>
          </cell>
          <cell r="D17" t="str">
            <v>DE 104 ML 18/70-0,1</v>
          </cell>
          <cell r="E17" t="str">
            <v>м2</v>
          </cell>
          <cell r="F17">
            <v>2827.57</v>
          </cell>
          <cell r="G17" t="str">
            <v>spb018053102 от 31.05.2018(spb0180531002)</v>
          </cell>
          <cell r="H17" t="str">
            <v>ООО "Петрокоммерц"</v>
          </cell>
          <cell r="I17">
            <v>2367.83</v>
          </cell>
        </row>
        <row r="18">
          <cell r="A18" t="str">
            <v>DE 104 ML 35/35-0,1</v>
          </cell>
          <cell r="B18">
            <v>15</v>
          </cell>
          <cell r="C18" t="str">
            <v>Стеклотекстолит фольгированный DE104ML 35/35-0.1</v>
          </cell>
          <cell r="D18" t="str">
            <v>DE 104 ML 35/35-0,1</v>
          </cell>
          <cell r="E18" t="str">
            <v>м2</v>
          </cell>
          <cell r="F18">
            <v>2052.21</v>
          </cell>
          <cell r="G18" t="str">
            <v>170 от 21.08.2017 (191)</v>
          </cell>
          <cell r="H18" t="str">
            <v>ООО "ПЕТРОИЗОЛИТ"</v>
          </cell>
          <cell r="I18">
            <v>1860.51</v>
          </cell>
        </row>
        <row r="19">
          <cell r="A19" t="str">
            <v>DE 104 ML 35/35-0,15</v>
          </cell>
          <cell r="B19">
            <v>16</v>
          </cell>
          <cell r="C19" t="str">
            <v>Стеклотекстолит фольгированный DE104ML 35/35-0.15</v>
          </cell>
          <cell r="D19" t="str">
            <v>DE 104 ML 35/35-0,15</v>
          </cell>
          <cell r="E19" t="str">
            <v>м2</v>
          </cell>
          <cell r="F19" t="str">
            <v>2113.23</v>
          </cell>
          <cell r="G19" t="str">
            <v>171 от 21.08.2017 (192)</v>
          </cell>
          <cell r="H19" t="str">
            <v>ООО "ПЕТРОИЗОЛИТ"</v>
          </cell>
          <cell r="I19">
            <v>1583.85</v>
          </cell>
        </row>
        <row r="20">
          <cell r="A20" t="str">
            <v>DE 104 ML 35/35-0,20</v>
          </cell>
          <cell r="B20">
            <v>17</v>
          </cell>
          <cell r="C20" t="str">
            <v>Стеклотекстолит фольгированный DE104ML 35/35-0.2</v>
          </cell>
          <cell r="D20" t="str">
            <v>DE 104 ML 35/35-0,20</v>
          </cell>
          <cell r="E20" t="str">
            <v>м2</v>
          </cell>
          <cell r="F20">
            <v>2287</v>
          </cell>
          <cell r="G20" t="str">
            <v>321 от 09.08.2017 (321)</v>
          </cell>
          <cell r="H20" t="str">
            <v>ООО "БАЛТПРОМИЗОЛИТ"</v>
          </cell>
          <cell r="I20">
            <v>2425.9499999999998</v>
          </cell>
        </row>
        <row r="21">
          <cell r="A21" t="str">
            <v>DE 104 ML 35/35-0,25</v>
          </cell>
          <cell r="B21">
            <v>18</v>
          </cell>
          <cell r="C21" t="str">
            <v>Стеклотекстолит фольгированный DE104ML 35/35-0.25</v>
          </cell>
          <cell r="D21" t="str">
            <v>DE 104 ML 35/35-0,25</v>
          </cell>
          <cell r="E21" t="str">
            <v>м2</v>
          </cell>
          <cell r="F21">
            <v>2149</v>
          </cell>
          <cell r="G21" t="str">
            <v>249 от 23.03.2018 (249)</v>
          </cell>
          <cell r="H21" t="str">
            <v>ООО "БАЛТПРОМИЗОЛИТ"</v>
          </cell>
          <cell r="I21">
            <v>1445.11</v>
          </cell>
        </row>
        <row r="22">
          <cell r="A22" t="str">
            <v>DE 104 ML 35/35-0,36</v>
          </cell>
          <cell r="B22">
            <v>19</v>
          </cell>
          <cell r="C22" t="str">
            <v>Стеклотекстолит фольгированный DE104ML 35/35-0.36</v>
          </cell>
          <cell r="D22" t="str">
            <v>DE 104 ML 35/35-0,36</v>
          </cell>
          <cell r="E22" t="str">
            <v>м2</v>
          </cell>
          <cell r="F22">
            <v>2060</v>
          </cell>
          <cell r="G22" t="str">
            <v>449 от 03.05.2017 (449)</v>
          </cell>
          <cell r="H22" t="str">
            <v>ООО "БАЛТИЗОЛИТ"</v>
          </cell>
          <cell r="I22">
            <v>1628.44</v>
          </cell>
        </row>
        <row r="23">
          <cell r="A23" t="str">
            <v>DE 104 ML 35/35-0,51</v>
          </cell>
          <cell r="B23">
            <v>20</v>
          </cell>
          <cell r="C23" t="str">
            <v>Стеклотекстолит фольгированный DE104ML 35/35-0.51</v>
          </cell>
          <cell r="D23" t="str">
            <v>DE 104 ML 35/35-0,51</v>
          </cell>
          <cell r="E23" t="str">
            <v>м2</v>
          </cell>
          <cell r="F23">
            <v>3759</v>
          </cell>
          <cell r="G23" t="str">
            <v>698 от 26.07.2018 (698)</v>
          </cell>
          <cell r="H23" t="str">
            <v>ООО "БАЛТПРОМИЗОЛИТ"</v>
          </cell>
          <cell r="I23">
            <v>2525.02</v>
          </cell>
        </row>
        <row r="24">
          <cell r="A24" t="str">
            <v>DE 104 ML 35/35-0,8</v>
          </cell>
          <cell r="B24">
            <v>21</v>
          </cell>
          <cell r="C24" t="str">
            <v>Стеклотекстолит фольгированный DE104ML 35/35-0.8</v>
          </cell>
          <cell r="D24" t="str">
            <v>DE 104 ML 35/35-0,8</v>
          </cell>
          <cell r="E24" t="str">
            <v>м2</v>
          </cell>
          <cell r="F24">
            <v>1897</v>
          </cell>
          <cell r="G24" t="str">
            <v>spb14081806 от 18.08.2014 (spb140818006)</v>
          </cell>
          <cell r="H24" t="str">
            <v>ООО "Петрокоммерц"</v>
          </cell>
          <cell r="I24">
            <v>1651.98</v>
          </cell>
        </row>
        <row r="25">
          <cell r="A25" t="str">
            <v>DE 104 ML 35/35-1.0</v>
          </cell>
          <cell r="B25">
            <v>22</v>
          </cell>
          <cell r="C25" t="str">
            <v>Стеклотекстолит фольгированный DE104ML 35/35-1.0</v>
          </cell>
          <cell r="D25" t="str">
            <v>DE 104 ML 35/35-1.0</v>
          </cell>
          <cell r="E25" t="str">
            <v>м2</v>
          </cell>
          <cell r="F25">
            <v>2895</v>
          </cell>
          <cell r="G25" t="str">
            <v>1293 от 30.11.2015 (1293)</v>
          </cell>
          <cell r="H25" t="str">
            <v>ООО "БАЛТИЗОЛИТ"</v>
          </cell>
          <cell r="I25">
            <v>2895</v>
          </cell>
        </row>
        <row r="26">
          <cell r="A26" t="str">
            <v>DE 104 ML 50/50-0.51</v>
          </cell>
          <cell r="B26">
            <v>23</v>
          </cell>
          <cell r="C26" t="str">
            <v>Стеклотекстолит фольгированный DE104ML 50/50-0.051</v>
          </cell>
          <cell r="D26" t="str">
            <v>DE 104 ML 50/50-0.51</v>
          </cell>
          <cell r="E26" t="str">
            <v>м2</v>
          </cell>
          <cell r="F26">
            <v>2807.56</v>
          </cell>
          <cell r="G26" t="str">
            <v>spb016072607 от 26.07.16 (spb016072607)</v>
          </cell>
          <cell r="H26" t="str">
            <v>ООО "Петрокоммерц"</v>
          </cell>
          <cell r="I26">
            <v>0</v>
          </cell>
        </row>
        <row r="27">
          <cell r="A27" t="str">
            <v>Neoganth LS PREDIP (предактивация)</v>
          </cell>
          <cell r="B27">
            <v>24</v>
          </cell>
          <cell r="C27" t="str">
            <v>Предактиватор NEOGANTH LS PRE DIP</v>
          </cell>
          <cell r="D27" t="str">
            <v>Neoganth LS PREDIP (предактивация)</v>
          </cell>
          <cell r="E27" t="str">
            <v>кг</v>
          </cell>
          <cell r="F27">
            <v>367</v>
          </cell>
          <cell r="G27" t="str">
            <v>ax220 от 17.03.2017 (ax220)</v>
          </cell>
          <cell r="H27" t="str">
            <v>ООО "Атотех-Хемета"</v>
          </cell>
          <cell r="I27">
            <v>338.29</v>
          </cell>
        </row>
        <row r="28">
          <cell r="A28" t="str">
            <v>Neoganth LS REDUCER (восстановитель)</v>
          </cell>
          <cell r="B28">
            <v>25</v>
          </cell>
          <cell r="C28" t="str">
            <v>Восстановитель NEOGANTH LS REDUCER</v>
          </cell>
          <cell r="D28" t="str">
            <v>Neoganth LS REDUCER (восстановитель)</v>
          </cell>
          <cell r="E28" t="str">
            <v>кг</v>
          </cell>
          <cell r="F28">
            <v>3129.96</v>
          </cell>
          <cell r="G28" t="str">
            <v>ax000000047 от 01.02.2016 (ax0000000047)</v>
          </cell>
          <cell r="H28" t="str">
            <v>ООО "Атотех-Хемета"</v>
          </cell>
          <cell r="I28">
            <v>3051.45</v>
          </cell>
        </row>
        <row r="29">
          <cell r="A29" t="str">
            <v>RO4350B 0.168-035/035</v>
          </cell>
          <cell r="B29">
            <v>26</v>
          </cell>
          <cell r="C29" t="str">
            <v xml:space="preserve">Материал фольгированный RO4350B-35/35-0.168 </v>
          </cell>
          <cell r="D29" t="str">
            <v>RO4350B 0.168-035/035</v>
          </cell>
          <cell r="E29" t="str">
            <v>м2</v>
          </cell>
          <cell r="F29">
            <v>35262.04</v>
          </cell>
          <cell r="G29" t="str">
            <v>593 от 02.11.2015 (1131)</v>
          </cell>
          <cell r="H29" t="str">
            <v>ООО "ЭлекТрейд-М"</v>
          </cell>
          <cell r="I29">
            <v>0</v>
          </cell>
        </row>
        <row r="30">
          <cell r="A30" t="str">
            <v>RO4350B 0.254-017/017</v>
          </cell>
          <cell r="B30">
            <v>27</v>
          </cell>
          <cell r="C30" t="str">
            <v xml:space="preserve">Материал фольгированный RO4350B-18/18-0.254 </v>
          </cell>
          <cell r="D30" t="str">
            <v>RO4350B 0.254-017/017</v>
          </cell>
          <cell r="E30" t="str">
            <v>м2</v>
          </cell>
          <cell r="F30">
            <v>29963.68</v>
          </cell>
          <cell r="G30" t="str">
            <v>156 от 18.04.2016 (303 от18.04.16)</v>
          </cell>
          <cell r="H30" t="str">
            <v>ООО "ЭлекТрейд-М"</v>
          </cell>
          <cell r="I30">
            <v>0</v>
          </cell>
        </row>
        <row r="31">
          <cell r="A31" t="str">
            <v>RO4350B 0.254-035/035</v>
          </cell>
          <cell r="B31">
            <v>28</v>
          </cell>
          <cell r="C31" t="str">
            <v xml:space="preserve">Материал фольгированный RO4350B-35/35-0.254 </v>
          </cell>
          <cell r="D31" t="str">
            <v>RO4350B 0.254-035/035</v>
          </cell>
          <cell r="E31" t="str">
            <v>м2</v>
          </cell>
          <cell r="F31">
            <v>32384.99</v>
          </cell>
          <cell r="G31" t="str">
            <v>389 от 11.08.2016 (712)</v>
          </cell>
          <cell r="H31" t="str">
            <v>ООО "ЭлекТрейд-М"</v>
          </cell>
          <cell r="I31">
            <v>0</v>
          </cell>
        </row>
        <row r="32">
          <cell r="A32" t="str">
            <v>RO4350B 0.508-017/017</v>
          </cell>
          <cell r="B32">
            <v>29</v>
          </cell>
          <cell r="C32" t="str">
            <v xml:space="preserve">Материал фольгированный RO4350B-18/18-0.508 </v>
          </cell>
          <cell r="D32" t="str">
            <v>RO4350B 0.508-017/017</v>
          </cell>
          <cell r="E32" t="str">
            <v>м2</v>
          </cell>
          <cell r="F32">
            <v>35871.870000000003</v>
          </cell>
          <cell r="G32" t="str">
            <v>589 от 22.11.2016 (1137)</v>
          </cell>
          <cell r="H32" t="str">
            <v>ООО "ЭлекТрейд-М"</v>
          </cell>
          <cell r="I32">
            <v>0</v>
          </cell>
        </row>
        <row r="33">
          <cell r="A33" t="str">
            <v>RO4350B 0.508-035/035</v>
          </cell>
          <cell r="B33">
            <v>30</v>
          </cell>
          <cell r="C33" t="str">
            <v xml:space="preserve">Материал фольгированный RO4350B-35/35-0.508 </v>
          </cell>
          <cell r="D33" t="str">
            <v>RO4350B 0.508-035/035</v>
          </cell>
          <cell r="E33" t="str">
            <v>м2</v>
          </cell>
          <cell r="F33">
            <v>36016.959999999999</v>
          </cell>
          <cell r="G33" t="str">
            <v>593 от 02.11.2015 (1131)</v>
          </cell>
          <cell r="H33" t="str">
            <v>ООО "ЭлекТрейд-М"</v>
          </cell>
          <cell r="I33">
            <v>0</v>
          </cell>
        </row>
        <row r="34">
          <cell r="A34" t="str">
            <v>RO4350B 0.762-035/035</v>
          </cell>
          <cell r="B34">
            <v>31</v>
          </cell>
          <cell r="C34" t="str">
            <v>Материал фольгированный RO4350B 0.762-035/035</v>
          </cell>
          <cell r="D34" t="str">
            <v>RO4350B 0.762-035/035</v>
          </cell>
          <cell r="E34" t="str">
            <v>м2</v>
          </cell>
          <cell r="F34">
            <v>36955.21</v>
          </cell>
          <cell r="G34" t="str">
            <v>156 от 18.04.2016 (303 от18.04.16)</v>
          </cell>
          <cell r="H34" t="str">
            <v>ООО "ЭлекТрейд-М"</v>
          </cell>
          <cell r="I34">
            <v>0</v>
          </cell>
        </row>
        <row r="35">
          <cell r="A35" t="str">
            <v>RO4350B-17/17-0.508</v>
          </cell>
          <cell r="B35">
            <v>32</v>
          </cell>
          <cell r="C35" t="str">
            <v>Стеклотекстолит фольгированный RO4350B-17/17-0.508</v>
          </cell>
          <cell r="D35" t="str">
            <v>RO4350B-17/17-0.508</v>
          </cell>
          <cell r="E35" t="str">
            <v>м2</v>
          </cell>
          <cell r="F35">
            <v>45430</v>
          </cell>
          <cell r="I35">
            <v>0</v>
          </cell>
        </row>
        <row r="36">
          <cell r="A36" t="str">
            <v>Азотная кислота</v>
          </cell>
          <cell r="B36">
            <v>33</v>
          </cell>
          <cell r="C36" t="str">
            <v>Кислота азотная</v>
          </cell>
          <cell r="D36" t="str">
            <v>Азотная кислота</v>
          </cell>
          <cell r="E36" t="str">
            <v>кг</v>
          </cell>
          <cell r="F36">
            <v>74</v>
          </cell>
          <cell r="G36" t="str">
            <v>217 от 23.10.2014 (217)</v>
          </cell>
          <cell r="H36" t="str">
            <v>ООО "Реахим"</v>
          </cell>
          <cell r="I36">
            <v>74</v>
          </cell>
        </row>
        <row r="37">
          <cell r="A37" t="str">
            <v>Активатор AUNIC ACT</v>
          </cell>
          <cell r="B37">
            <v>34</v>
          </cell>
          <cell r="C37" t="str">
            <v>Активатор AUNIC ACTIVATOR</v>
          </cell>
          <cell r="D37" t="str">
            <v>Активатор AUNIC ACT</v>
          </cell>
          <cell r="E37" t="str">
            <v>кг</v>
          </cell>
          <cell r="F37">
            <v>3500</v>
          </cell>
          <cell r="G37" t="str">
            <v>ах991 от 24.10.2017 (991)</v>
          </cell>
          <cell r="H37" t="str">
            <v>ООО "Атотех-Хемета"</v>
          </cell>
          <cell r="I37">
            <v>2274.67</v>
          </cell>
        </row>
        <row r="38">
          <cell r="A38" t="str">
            <v>Активатор BONDFILM ACTIVATOR</v>
          </cell>
          <cell r="B38">
            <v>35</v>
          </cell>
          <cell r="C38" t="str">
            <v>Активатор BONDFILM ACTIVATOR</v>
          </cell>
          <cell r="D38" t="str">
            <v>Активатор BONDFILM ACTIVATOR</v>
          </cell>
          <cell r="E38" t="str">
            <v>кг</v>
          </cell>
          <cell r="F38">
            <v>397.15</v>
          </cell>
          <cell r="G38" t="str">
            <v>ax817 от 11.09.2017 (ax817)</v>
          </cell>
          <cell r="H38" t="str">
            <v>ООО "Атотех-Хемета"</v>
          </cell>
          <cell r="I38">
            <v>392.24</v>
          </cell>
        </row>
        <row r="39">
          <cell r="A39" t="str">
            <v>Алюминий 0.18 (230х395мм)</v>
          </cell>
          <cell r="B39">
            <v>36</v>
          </cell>
          <cell r="C39" t="str">
            <v>Алюминий 0.18 (230х395мм)</v>
          </cell>
          <cell r="D39" t="str">
            <v>Алюминий 0.18 (230х395мм)</v>
          </cell>
          <cell r="E39" t="str">
            <v>м2</v>
          </cell>
          <cell r="F39">
            <v>555.95000000000005</v>
          </cell>
          <cell r="G39" t="str">
            <v>71 от 09.02.2018 (без СФ)</v>
          </cell>
          <cell r="H39" t="str">
            <v>ООО "Торговый дом Абсолют"</v>
          </cell>
          <cell r="I39">
            <v>297.23</v>
          </cell>
        </row>
        <row r="40">
          <cell r="A40" t="str">
            <v>Алюминий 0.18 (280х395мм)</v>
          </cell>
          <cell r="B40">
            <v>37</v>
          </cell>
          <cell r="C40" t="str">
            <v>Алюминий 0.18 (280х395мм)</v>
          </cell>
          <cell r="D40" t="str">
            <v>Алюминий 0.18 (280х395мм)</v>
          </cell>
          <cell r="E40" t="str">
            <v>м2</v>
          </cell>
          <cell r="F40">
            <v>576.52</v>
          </cell>
          <cell r="G40" t="str">
            <v>71 от 09.02.2018 (без СФ)</v>
          </cell>
          <cell r="H40" t="str">
            <v>ООО "Торговый дом Абсолют"</v>
          </cell>
          <cell r="I40">
            <v>302.72000000000003</v>
          </cell>
        </row>
        <row r="41">
          <cell r="A41" t="str">
            <v>Аммиак водный</v>
          </cell>
          <cell r="B41">
            <v>38</v>
          </cell>
          <cell r="C41" t="str">
            <v>Аммиак водный</v>
          </cell>
          <cell r="D41" t="str">
            <v>Аммиак водный</v>
          </cell>
          <cell r="E41" t="str">
            <v>кг</v>
          </cell>
          <cell r="F41">
            <v>53</v>
          </cell>
          <cell r="G41" t="str">
            <v>26 от 10.02.2016 (Без СФ)</v>
          </cell>
          <cell r="H41" t="str">
            <v>ООО "ППФ"Химпроект"</v>
          </cell>
          <cell r="I41">
            <v>53</v>
          </cell>
        </row>
        <row r="42">
          <cell r="A42" t="str">
            <v>Аммоний надсернокислый</v>
          </cell>
          <cell r="B42">
            <v>39</v>
          </cell>
          <cell r="C42" t="str">
            <v>Аммоний надсернокислый</v>
          </cell>
          <cell r="D42" t="str">
            <v>Аммоний надсернокислый</v>
          </cell>
          <cell r="E42" t="str">
            <v>кг</v>
          </cell>
          <cell r="F42">
            <v>160</v>
          </cell>
          <cell r="G42" t="str">
            <v>77 от 16.05.2018 (Без СФ)</v>
          </cell>
          <cell r="H42" t="str">
            <v>ООО "ППФ"Химпроект"</v>
          </cell>
          <cell r="I42">
            <v>148.09</v>
          </cell>
        </row>
        <row r="43">
          <cell r="A43" t="str">
            <v>Аммоний хлористый</v>
          </cell>
          <cell r="B43">
            <v>40</v>
          </cell>
          <cell r="C43" t="str">
            <v>Аммоний хлористый</v>
          </cell>
          <cell r="D43" t="str">
            <v>Аммоний хлористый</v>
          </cell>
          <cell r="E43" t="str">
            <v>кг</v>
          </cell>
          <cell r="F43">
            <v>150</v>
          </cell>
          <cell r="G43" t="str">
            <v>113 от 16.08.2018(Без СФ)</v>
          </cell>
          <cell r="H43" t="str">
            <v>ООО "ППФ"Химпроект"</v>
          </cell>
          <cell r="I43">
            <v>92.22</v>
          </cell>
        </row>
        <row r="44">
          <cell r="A44" t="str">
            <v>Аноды медные АМФ</v>
          </cell>
          <cell r="B44">
            <v>41</v>
          </cell>
          <cell r="C44" t="str">
            <v>Аноды медные АМФ</v>
          </cell>
          <cell r="D44" t="str">
            <v>Аноды медные АМФ</v>
          </cell>
          <cell r="E44" t="str">
            <v>кг</v>
          </cell>
          <cell r="F44">
            <v>818.62</v>
          </cell>
          <cell r="G44" t="str">
            <v>spb017051025 от 10.05.2017 (spb0170510025 )</v>
          </cell>
          <cell r="H44" t="str">
            <v>ООО "Петрокоммерц"</v>
          </cell>
          <cell r="I44">
            <v>1015.89</v>
          </cell>
        </row>
        <row r="45">
          <cell r="A45" t="str">
            <v>Батист x/б отбеленный</v>
          </cell>
          <cell r="B45">
            <v>42</v>
          </cell>
          <cell r="C45" t="str">
            <v>ткань х/б Батист отбеленный</v>
          </cell>
          <cell r="D45" t="str">
            <v>Батист x/б отбеленный</v>
          </cell>
          <cell r="E45" t="str">
            <v>м2</v>
          </cell>
          <cell r="F45">
            <v>147.62</v>
          </cell>
          <cell r="G45" t="str">
            <v>23 от 18.01.2017(Без СФ)</v>
          </cell>
          <cell r="H45" t="str">
            <v>ООО "Хлопкотекс"</v>
          </cell>
          <cell r="I45">
            <v>0</v>
          </cell>
        </row>
        <row r="46">
          <cell r="A46" t="str">
            <v>Борная кислота</v>
          </cell>
          <cell r="B46">
            <v>43</v>
          </cell>
          <cell r="C46" t="str">
            <v>Кислота борная</v>
          </cell>
          <cell r="D46" t="str">
            <v>Борная кислота</v>
          </cell>
          <cell r="E46" t="str">
            <v>кг</v>
          </cell>
          <cell r="F46">
            <v>198</v>
          </cell>
          <cell r="G46" t="str">
            <v>12819 от 10.07.2018(Без СФ)</v>
          </cell>
          <cell r="H46" t="str">
            <v>АО "ЛенРеактив"</v>
          </cell>
          <cell r="I46">
            <v>190.04</v>
          </cell>
        </row>
        <row r="47">
          <cell r="A47" t="str">
            <v>Бумага для очистки валика</v>
          </cell>
          <cell r="B47">
            <v>44</v>
          </cell>
          <cell r="C47" t="str">
            <v>бумага д/очистки валика (уп 5х50л 238х330мм)</v>
          </cell>
          <cell r="D47" t="str">
            <v>Бумага для очистки валика</v>
          </cell>
          <cell r="E47" t="str">
            <v>м2</v>
          </cell>
          <cell r="F47">
            <v>872</v>
          </cell>
          <cell r="G47" t="str">
            <v>905 от 27.10.2015</v>
          </cell>
          <cell r="H47" t="str">
            <v>ООО "Торговый дом Абсолют"</v>
          </cell>
          <cell r="I47">
            <v>871.87</v>
          </cell>
        </row>
        <row r="48">
          <cell r="A48" t="str">
            <v>Бязь</v>
          </cell>
          <cell r="B48">
            <v>45</v>
          </cell>
          <cell r="C48" t="str">
            <v>Ткань х/б бязевой группы</v>
          </cell>
          <cell r="D48" t="str">
            <v>Бязь</v>
          </cell>
          <cell r="E48" t="str">
            <v>м2</v>
          </cell>
          <cell r="F48">
            <v>45.23</v>
          </cell>
          <cell r="G48" t="str">
            <v>11023 от 17.11.2016</v>
          </cell>
          <cell r="H48" t="str">
            <v>ООО "Белорусский Текстильный Центр"</v>
          </cell>
          <cell r="I48">
            <v>27.48</v>
          </cell>
        </row>
        <row r="49">
          <cell r="A49" t="str">
            <v>Восстановитель SECURIGANTH P500 REDUCTION</v>
          </cell>
          <cell r="B49">
            <v>46</v>
          </cell>
          <cell r="C49" t="str">
            <v>Восстановитель SECURIGANTH P500 REDUCTION CONDITIONER</v>
          </cell>
          <cell r="D49" t="str">
            <v>Восстановитель SECURIGANTH P500 REDUCTION</v>
          </cell>
          <cell r="E49" t="str">
            <v>кг</v>
          </cell>
          <cell r="F49">
            <v>993.56</v>
          </cell>
          <cell r="G49" t="str">
            <v>ax817 от 11.09.2017 (ax817)</v>
          </cell>
          <cell r="H49" t="str">
            <v>ООО "Атотех-Хемета"</v>
          </cell>
          <cell r="I49">
            <v>0</v>
          </cell>
        </row>
        <row r="50">
          <cell r="A50" t="str">
            <v>Восстановитель меди CU-REDUCTION SOLUTION</v>
          </cell>
          <cell r="B50">
            <v>47</v>
          </cell>
          <cell r="C50" t="str">
            <v>Восстановитель меди CU-REDUCTION SOLUTION</v>
          </cell>
          <cell r="D50" t="str">
            <v>Восстановитель меди CU-REDUCTION SOLUTION</v>
          </cell>
          <cell r="E50" t="str">
            <v>кг</v>
          </cell>
          <cell r="F50">
            <v>254.56</v>
          </cell>
          <cell r="G50" t="str">
            <v>ax855 от 17.08.2018 (без)</v>
          </cell>
          <cell r="H50" t="str">
            <v>ООО "Атотех-Хемета"</v>
          </cell>
          <cell r="I50">
            <v>227.77</v>
          </cell>
        </row>
        <row r="51">
          <cell r="A51" t="str">
            <v>Гетинакс-1 0,5-1 мм</v>
          </cell>
          <cell r="B51">
            <v>48</v>
          </cell>
          <cell r="C51" t="str">
            <v>Гетинакс -1 1.0мм</v>
          </cell>
          <cell r="D51" t="str">
            <v>Гетинакс-1 0,5-1 мм</v>
          </cell>
          <cell r="E51" t="str">
            <v>кг</v>
          </cell>
          <cell r="F51">
            <v>364</v>
          </cell>
          <cell r="G51" t="str">
            <v>832 от 27.08.2018 (832)</v>
          </cell>
          <cell r="H51" t="str">
            <v>ООО "БАЛТПРОМИЗОЛИТ"</v>
          </cell>
          <cell r="I51">
            <v>0</v>
          </cell>
        </row>
        <row r="52">
          <cell r="A52" t="str">
            <v>Гетинакс-1 1,5 мм</v>
          </cell>
          <cell r="B52">
            <v>49</v>
          </cell>
          <cell r="C52" t="str">
            <v>Гетинакс -1 1.5мм</v>
          </cell>
          <cell r="D52" t="str">
            <v>Гетинакс-1 1,5 мм</v>
          </cell>
          <cell r="E52" t="str">
            <v>кг</v>
          </cell>
          <cell r="F52">
            <v>328</v>
          </cell>
          <cell r="G52" t="str">
            <v>3 от 16.01.2018 (3)</v>
          </cell>
          <cell r="H52" t="str">
            <v>ООО "ПЕТРОИЗОЛИТ"</v>
          </cell>
          <cell r="I52">
            <v>0</v>
          </cell>
        </row>
        <row r="53">
          <cell r="A53" t="str">
            <v>Добавка "AUNIC EN "C"</v>
          </cell>
          <cell r="B53">
            <v>50</v>
          </cell>
          <cell r="C53" t="str">
            <v>Добавка AUNIC EN "C"</v>
          </cell>
          <cell r="D53" t="str">
            <v>Добавка "AUNIC EN "C"</v>
          </cell>
          <cell r="E53" t="str">
            <v>кг</v>
          </cell>
          <cell r="F53">
            <v>958.34</v>
          </cell>
          <cell r="G53" t="str">
            <v>ax000000745 от 04.12.2015 (ax0000000745)</v>
          </cell>
          <cell r="H53" t="str">
            <v>ООО "Атотех-Хемета"</v>
          </cell>
          <cell r="I53">
            <v>958.34</v>
          </cell>
        </row>
        <row r="54">
          <cell r="A54" t="str">
            <v>Добавка AUNIC EN "A"</v>
          </cell>
          <cell r="B54">
            <v>51</v>
          </cell>
          <cell r="C54" t="str">
            <v>Добавка AUNIC EN "A"</v>
          </cell>
          <cell r="D54" t="str">
            <v>Добавка AUNIC EN "A"</v>
          </cell>
          <cell r="E54" t="str">
            <v>кг</v>
          </cell>
          <cell r="F54">
            <v>705.42</v>
          </cell>
          <cell r="G54" t="str">
            <v>ax855 от 17.08.2018 (без)</v>
          </cell>
          <cell r="H54" t="str">
            <v>ООО "Атотех-Хемета"</v>
          </cell>
          <cell r="I54">
            <v>514.54999999999995</v>
          </cell>
        </row>
        <row r="55">
          <cell r="A55" t="str">
            <v>Добавка AUNIC EN "B"</v>
          </cell>
          <cell r="B55">
            <v>52</v>
          </cell>
          <cell r="C55" t="str">
            <v>Добавка AUNIC EN "B"</v>
          </cell>
          <cell r="D55" t="str">
            <v>Добавка AUNIC EN "B"</v>
          </cell>
          <cell r="E55" t="str">
            <v>кг</v>
          </cell>
          <cell r="F55">
            <v>633.91</v>
          </cell>
          <cell r="G55" t="str">
            <v>ax817 от 11.09.2017 (ax817)</v>
          </cell>
          <cell r="H55" t="str">
            <v>ООО "Атотех-Хемета"</v>
          </cell>
          <cell r="I55">
            <v>553.51</v>
          </cell>
        </row>
        <row r="56">
          <cell r="A56" t="str">
            <v>Добавка AUNIC IG "A"</v>
          </cell>
          <cell r="B56">
            <v>53</v>
          </cell>
          <cell r="C56" t="str">
            <v>Добавка AUNIC IG "A"</v>
          </cell>
          <cell r="D56" t="str">
            <v>Добавка AUNIC IG "A"</v>
          </cell>
          <cell r="E56" t="str">
            <v>кг</v>
          </cell>
          <cell r="F56">
            <v>1015</v>
          </cell>
          <cell r="G56" t="str">
            <v>84 от 26.02.2013 (84)</v>
          </cell>
          <cell r="H56" t="str">
            <v>ООО "Атотех-Хемета"</v>
          </cell>
          <cell r="I56">
            <v>1026.48</v>
          </cell>
        </row>
        <row r="57">
          <cell r="A57" t="str">
            <v>Добавка NOVIGANTH HC ADDITIVE</v>
          </cell>
          <cell r="B57">
            <v>54</v>
          </cell>
          <cell r="C57" t="str">
            <v>Добавка NOVIGANTH HC ADDITIVE</v>
          </cell>
          <cell r="D57" t="str">
            <v>Добавка NOVIGANTH HC ADDITIVE</v>
          </cell>
          <cell r="E57" t="str">
            <v>кг</v>
          </cell>
          <cell r="F57">
            <v>1495.95</v>
          </cell>
          <cell r="G57" t="str">
            <v>ax855 от 17.08.2018 (без)</v>
          </cell>
          <cell r="H57" t="str">
            <v>ООО "Атотех-Хемета"</v>
          </cell>
          <cell r="I57">
            <v>0</v>
          </cell>
        </row>
        <row r="58">
          <cell r="A58" t="str">
            <v>Добавка STH ADDITIVE</v>
          </cell>
          <cell r="B58">
            <v>55</v>
          </cell>
          <cell r="C58" t="str">
            <v>Добавка STH ADDITIVE</v>
          </cell>
          <cell r="D58" t="str">
            <v>Добавка STH ADDITIVE</v>
          </cell>
          <cell r="E58" t="str">
            <v>кг</v>
          </cell>
          <cell r="F58">
            <v>984.12</v>
          </cell>
          <cell r="G58" t="str">
            <v>ax220 от 17.03.2017 (ax220)</v>
          </cell>
          <cell r="H58" t="str">
            <v>ООО "Атотех-Хемета"</v>
          </cell>
          <cell r="I58">
            <v>0</v>
          </cell>
        </row>
        <row r="59">
          <cell r="A59" t="str">
            <v>Добавка Sulfotech SP Additive</v>
          </cell>
          <cell r="B59">
            <v>56</v>
          </cell>
          <cell r="C59" t="str">
            <v>Добавка SULFOTECH SP ADDITIVE</v>
          </cell>
          <cell r="D59" t="str">
            <v>Добавка Sulfotech SP Additive</v>
          </cell>
          <cell r="E59" t="str">
            <v>кг</v>
          </cell>
          <cell r="F59">
            <v>947.74</v>
          </cell>
          <cell r="G59" t="str">
            <v>ax991 от 24.10.2017 (безСФ)</v>
          </cell>
          <cell r="H59" t="str">
            <v>ООО "Атотех-Хемета"</v>
          </cell>
          <cell r="I59">
            <v>0</v>
          </cell>
        </row>
        <row r="60">
          <cell r="A60" t="str">
            <v>Дозирующий раствор SECURIGANTH Р500</v>
          </cell>
          <cell r="B60">
            <v>57</v>
          </cell>
          <cell r="C60" t="str">
            <v>Дозир. раствор SECURIGANTH P500 DOSING SOLUTION</v>
          </cell>
          <cell r="D60" t="str">
            <v>Дозирующий раствор SECURIGANTH Р500</v>
          </cell>
          <cell r="E60" t="str">
            <v>кг</v>
          </cell>
          <cell r="F60">
            <v>1349.5</v>
          </cell>
          <cell r="G60" t="str">
            <v>ax855 от 17.08.2018 (ax855)</v>
          </cell>
          <cell r="H60" t="str">
            <v>ООО "Атотех-Хемета"</v>
          </cell>
          <cell r="I60">
            <v>0</v>
          </cell>
        </row>
        <row r="61">
          <cell r="A61" t="str">
            <v>Дополнительные</v>
          </cell>
          <cell r="B61">
            <v>58</v>
          </cell>
          <cell r="C61" t="str">
            <v>Дополнительные</v>
          </cell>
          <cell r="D61" t="str">
            <v>Дополнительные</v>
          </cell>
          <cell r="E61" t="str">
            <v>руб/м кв.</v>
          </cell>
          <cell r="F61">
            <v>180</v>
          </cell>
          <cell r="I61">
            <v>0</v>
          </cell>
        </row>
        <row r="62">
          <cell r="A62" t="str">
            <v>Защитная паяльная маска Dynamask 5030 (сухая)</v>
          </cell>
          <cell r="B62">
            <v>59</v>
          </cell>
          <cell r="C62" t="str">
            <v>Защитная паяльная маска Dynamask 5030 (сухая)</v>
          </cell>
          <cell r="D62" t="str">
            <v>Защитная паяльная маска Dynamask 5030 (сухая)</v>
          </cell>
          <cell r="E62" t="str">
            <v>м2</v>
          </cell>
          <cell r="F62">
            <v>1321.25</v>
          </cell>
          <cell r="G62" t="str">
            <v>spb018082701 от 27.08.2018 (spb0180827001)</v>
          </cell>
          <cell r="H62" t="str">
            <v>ООО "Петрокоммерц"</v>
          </cell>
          <cell r="I62">
            <v>1302.1199999999999</v>
          </cell>
        </row>
        <row r="63">
          <cell r="A63" t="str">
            <v>Защитная паяльная маска XV501 T-4 SM Green (жидкая)</v>
          </cell>
          <cell r="B63">
            <v>60</v>
          </cell>
          <cell r="C63" t="str">
            <v>Защитная паяльная маска XV501 T-4 Green (жидкая).</v>
          </cell>
          <cell r="D63" t="str">
            <v>Защитная паяльная маска XV501 T-4 SM Green (жидкая)</v>
          </cell>
          <cell r="E63" t="str">
            <v>кг</v>
          </cell>
          <cell r="F63">
            <v>2283.1999999999998</v>
          </cell>
          <cell r="G63" t="str">
            <v>spb018082701 от 27.08.2018 (spb0180827001)</v>
          </cell>
          <cell r="H63" t="str">
            <v>ООО "Петрокоммерц"</v>
          </cell>
          <cell r="I63">
            <v>2194.65</v>
          </cell>
        </row>
        <row r="64">
          <cell r="A64" t="str">
            <v>Калий дицианоаурат (1) чда</v>
          </cell>
          <cell r="B64">
            <v>61</v>
          </cell>
          <cell r="C64" t="str">
            <v>Калий дицианоаурат (I) (68,23%) чда</v>
          </cell>
          <cell r="D64" t="str">
            <v>Калий дицианоаурат (1) чда</v>
          </cell>
          <cell r="E64" t="str">
            <v>г</v>
          </cell>
          <cell r="F64">
            <v>1322.08</v>
          </cell>
          <cell r="G64" t="str">
            <v>6218 от 25.11.2014 (6218)</v>
          </cell>
          <cell r="H64" t="str">
            <v>ОАО "АУРАТ"</v>
          </cell>
          <cell r="I64">
            <v>1268.25</v>
          </cell>
        </row>
        <row r="65">
          <cell r="A65" t="str">
            <v>Кислота борфтористоводородная</v>
          </cell>
          <cell r="B65">
            <v>62</v>
          </cell>
          <cell r="C65" t="str">
            <v>Кислота борфтористоводородная</v>
          </cell>
          <cell r="D65" t="str">
            <v>Кислота борфтористоводородная</v>
          </cell>
          <cell r="E65" t="str">
            <v>кг</v>
          </cell>
          <cell r="F65">
            <v>246</v>
          </cell>
          <cell r="G65" t="str">
            <v>208 от 14.03.2018 (Без СФ)</v>
          </cell>
          <cell r="H65" t="str">
            <v>ООО "Балтпромизолит"</v>
          </cell>
          <cell r="I65">
            <v>260.32</v>
          </cell>
        </row>
        <row r="66">
          <cell r="A66" t="str">
            <v>Кислота серная</v>
          </cell>
          <cell r="B66">
            <v>63</v>
          </cell>
          <cell r="C66" t="str">
            <v>Кислота серная</v>
          </cell>
          <cell r="D66" t="str">
            <v>Кислота серная</v>
          </cell>
          <cell r="E66" t="str">
            <v>кг</v>
          </cell>
          <cell r="F66">
            <v>48</v>
          </cell>
          <cell r="G66" t="str">
            <v>26от10.02.16 (Без СФ)</v>
          </cell>
          <cell r="H66" t="str">
            <v>ООО "ППФ"Химпроект"</v>
          </cell>
          <cell r="I66">
            <v>48.72</v>
          </cell>
        </row>
        <row r="67">
          <cell r="A67" t="str">
            <v>Кислота соляная</v>
          </cell>
          <cell r="B67">
            <v>64</v>
          </cell>
          <cell r="C67" t="str">
            <v>Кислота соляная</v>
          </cell>
          <cell r="D67" t="str">
            <v>Кислота соляная</v>
          </cell>
          <cell r="E67" t="str">
            <v>кг</v>
          </cell>
          <cell r="F67">
            <v>46</v>
          </cell>
          <cell r="G67" t="str">
            <v>96 от 13.04.2017 (Без СФ)</v>
          </cell>
          <cell r="H67" t="str">
            <v>ООО "ППФ"Химпроект"</v>
          </cell>
          <cell r="I67">
            <v>46.84</v>
          </cell>
        </row>
        <row r="68">
          <cell r="A68" t="str">
            <v>Краска белая термоотвердаемая Mark 3.1</v>
          </cell>
          <cell r="B68">
            <v>65</v>
          </cell>
          <cell r="C68" t="str">
            <v>Краска белая термоотверждаемая Mark 3.1</v>
          </cell>
          <cell r="D68" t="str">
            <v>Краска белая термоотвердаемая Mark 3.1</v>
          </cell>
          <cell r="E68" t="str">
            <v>кг</v>
          </cell>
          <cell r="F68" t="str">
            <v>16357.14</v>
          </cell>
          <cell r="G68" t="str">
            <v>346 от 16.08.2017 (346)</v>
          </cell>
          <cell r="H68" t="str">
            <v>ООО "Балтпромизолит"</v>
          </cell>
          <cell r="I68">
            <v>16966.86</v>
          </cell>
        </row>
        <row r="69">
          <cell r="A69" t="str">
            <v>Лента Креп</v>
          </cell>
          <cell r="B69">
            <v>66</v>
          </cell>
          <cell r="C69" t="str">
            <v>Лента Креп</v>
          </cell>
          <cell r="D69" t="str">
            <v>Лента Креп</v>
          </cell>
          <cell r="E69" t="str">
            <v>шт</v>
          </cell>
          <cell r="F69">
            <v>36.86</v>
          </cell>
          <cell r="G69" t="str">
            <v>103 от 09.06.2015</v>
          </cell>
          <cell r="H69" t="str">
            <v>ООО "Расма"</v>
          </cell>
          <cell r="I69">
            <v>27.12</v>
          </cell>
        </row>
        <row r="70">
          <cell r="A70" t="str">
            <v>Лента малярная</v>
          </cell>
          <cell r="B70">
            <v>67</v>
          </cell>
          <cell r="C70" t="str">
            <v>лента малярная S</v>
          </cell>
          <cell r="D70" t="str">
            <v>Лента малярная</v>
          </cell>
          <cell r="E70" t="str">
            <v>шт</v>
          </cell>
          <cell r="F70">
            <v>149</v>
          </cell>
          <cell r="G70" t="str">
            <v>чек 43 тов.чек 69 от 15.09.2015</v>
          </cell>
          <cell r="H70" t="str">
            <v>ООО "Максидом"</v>
          </cell>
          <cell r="I70">
            <v>190.64</v>
          </cell>
        </row>
        <row r="71">
          <cell r="A71" t="str">
            <v>Маркировочная краска XV501 T-4 SM White (жидк.)</v>
          </cell>
          <cell r="B71">
            <v>68</v>
          </cell>
          <cell r="C71" t="str">
            <v>Маркировочная краска XV501 T-4 SM White (жидкая)</v>
          </cell>
          <cell r="D71" t="str">
            <v>Маркировочная краска XV501 T-4 SM White (жидк.)</v>
          </cell>
          <cell r="E71" t="str">
            <v>кг</v>
          </cell>
          <cell r="F71">
            <v>2095.91</v>
          </cell>
          <cell r="G71" t="str">
            <v>spb017081602 от 16.08.2017 (spb0170816002 )</v>
          </cell>
          <cell r="H71" t="str">
            <v>ООО "Петрокоммерц"</v>
          </cell>
          <cell r="I71">
            <v>2306.1799999999998</v>
          </cell>
        </row>
        <row r="72">
          <cell r="A72" t="str">
            <v>Материал Заказчика</v>
          </cell>
          <cell r="B72">
            <v>69</v>
          </cell>
          <cell r="C72" t="str">
            <v>Материал Заказчика</v>
          </cell>
          <cell r="D72" t="str">
            <v>Материал Заказчика</v>
          </cell>
          <cell r="E72" t="str">
            <v>м2</v>
          </cell>
          <cell r="F72">
            <v>0</v>
          </cell>
          <cell r="I72">
            <v>0</v>
          </cell>
        </row>
        <row r="73">
          <cell r="A73" t="str">
            <v>Материал фольгированный RO435B-35-35-0.101</v>
          </cell>
          <cell r="B73">
            <v>70</v>
          </cell>
          <cell r="C73" t="str">
            <v>Материал фольгированный RO435B-35-35-0.101</v>
          </cell>
          <cell r="D73" t="str">
            <v>Материал фольгированный RO435B-35-35-0.101</v>
          </cell>
          <cell r="E73" t="str">
            <v>м2</v>
          </cell>
          <cell r="F73">
            <v>27754.240000000002</v>
          </cell>
          <cell r="G73" t="str">
            <v>126 от21.03.16(244 от21.03.16)</v>
          </cell>
          <cell r="H73" t="str">
            <v>ООО "ЭлекТрейд-М"</v>
          </cell>
          <cell r="I73">
            <v>0</v>
          </cell>
        </row>
        <row r="74">
          <cell r="A74" t="str">
            <v>Материал фольгированный RO4360G2-18/18-0.508</v>
          </cell>
          <cell r="B74">
            <v>71</v>
          </cell>
          <cell r="C74" t="str">
            <v xml:space="preserve">Материал фольгированный RO4360G2-18/18-0.508 </v>
          </cell>
          <cell r="D74" t="str">
            <v>Материал фольгированный RO4360G2-18/18-0.508</v>
          </cell>
          <cell r="E74" t="str">
            <v>м2</v>
          </cell>
          <cell r="F74">
            <v>40534.379999999997</v>
          </cell>
          <cell r="G74" t="str">
            <v>328 от 01.07.2015 (643)</v>
          </cell>
          <cell r="H74" t="str">
            <v>ООО "ЭлекТрейд-М"</v>
          </cell>
          <cell r="I74">
            <v>0</v>
          </cell>
        </row>
        <row r="75">
          <cell r="A75" t="str">
            <v>Материал фольгированный RO4360G2-18/18-1.524</v>
          </cell>
          <cell r="B75">
            <v>72</v>
          </cell>
          <cell r="C75" t="str">
            <v xml:space="preserve">Материал фольгированный RO4360G2-18/18-1.524 </v>
          </cell>
          <cell r="D75" t="str">
            <v>Материал фольгированный RO4360G2-18/18-1.524</v>
          </cell>
          <cell r="E75" t="str">
            <v>м2</v>
          </cell>
          <cell r="F75">
            <v>81858.36</v>
          </cell>
          <cell r="G75" t="str">
            <v>328 от 01.07.2015 (643)</v>
          </cell>
          <cell r="H75" t="str">
            <v>ООО "ЭлекТрейд-М"</v>
          </cell>
          <cell r="I75">
            <v>0</v>
          </cell>
        </row>
        <row r="76">
          <cell r="A76" t="str">
            <v>Медь двухлористая 2-водная</v>
          </cell>
          <cell r="B76">
            <v>73</v>
          </cell>
          <cell r="C76" t="str">
            <v>Медь двухлористая 2-водная</v>
          </cell>
          <cell r="D76" t="str">
            <v>Медь двухлористая 2-водная</v>
          </cell>
          <cell r="E76" t="str">
            <v>кг</v>
          </cell>
          <cell r="F76">
            <v>500</v>
          </cell>
          <cell r="G76" t="str">
            <v>539 от 21.11.2013</v>
          </cell>
          <cell r="H76" t="str">
            <v>ООО "Реахим"</v>
          </cell>
          <cell r="I76">
            <v>0</v>
          </cell>
        </row>
        <row r="77">
          <cell r="A77" t="str">
            <v>Медь сернокислая 5-водная</v>
          </cell>
          <cell r="B77">
            <v>74</v>
          </cell>
          <cell r="C77" t="str">
            <v>Медь сернокислая 5-водная</v>
          </cell>
          <cell r="D77" t="str">
            <v>Медь сернокислая 5-водная</v>
          </cell>
          <cell r="E77" t="str">
            <v>кг</v>
          </cell>
          <cell r="F77">
            <v>320</v>
          </cell>
          <cell r="G77" t="str">
            <v>168 от 12.07.2017 (Без СФ)</v>
          </cell>
          <cell r="H77" t="str">
            <v>ООО "ППФ"Химпроект"</v>
          </cell>
          <cell r="I77">
            <v>448</v>
          </cell>
        </row>
        <row r="78">
          <cell r="A78" t="str">
            <v>Меламин 0.5</v>
          </cell>
          <cell r="B78">
            <v>75</v>
          </cell>
          <cell r="C78" t="str">
            <v>Меламин 0.5</v>
          </cell>
          <cell r="D78" t="str">
            <v>Меламин 0.5</v>
          </cell>
          <cell r="E78" t="str">
            <v>м2</v>
          </cell>
          <cell r="F78">
            <v>385.63</v>
          </cell>
          <cell r="G78" t="str">
            <v>742 от 18.09.2015 (742)</v>
          </cell>
          <cell r="H78" t="str">
            <v>ООО "Торговый дом Абсолют"</v>
          </cell>
          <cell r="I78">
            <v>0</v>
          </cell>
        </row>
        <row r="79">
          <cell r="A79" t="str">
            <v>Микротравитель MICROETCH SF</v>
          </cell>
          <cell r="B79">
            <v>76</v>
          </cell>
          <cell r="C79" t="str">
            <v>Микротравитель MICROTECH SF</v>
          </cell>
          <cell r="D79" t="str">
            <v>Микротравитель MICROETCH SF</v>
          </cell>
          <cell r="E79" t="str">
            <v>кг</v>
          </cell>
          <cell r="F79">
            <v>466.4</v>
          </cell>
          <cell r="G79" t="str">
            <v>569 от 04.12.2015 (569)</v>
          </cell>
          <cell r="H79" t="str">
            <v>ООО "Атотех-Хемета"</v>
          </cell>
          <cell r="I79">
            <v>399.21</v>
          </cell>
        </row>
        <row r="80">
          <cell r="A80" t="str">
            <v>Модификатор BONDFILM PART A</v>
          </cell>
          <cell r="B80">
            <v>77</v>
          </cell>
          <cell r="C80" t="str">
            <v>Модификатор BONDFILM PART A</v>
          </cell>
          <cell r="D80" t="str">
            <v>Модификатор BONDFILM PART A</v>
          </cell>
          <cell r="E80" t="str">
            <v>кг</v>
          </cell>
          <cell r="F80">
            <v>501.46</v>
          </cell>
          <cell r="G80" t="str">
            <v>ax855 от 17.08.2018 (без)</v>
          </cell>
          <cell r="H80" t="str">
            <v>ООО "Атотех-Хемета"</v>
          </cell>
          <cell r="I80">
            <v>0</v>
          </cell>
        </row>
        <row r="81">
          <cell r="A81" t="str">
            <v>Набухатель SECURIGANTH P SWELLER</v>
          </cell>
          <cell r="B81">
            <v>78</v>
          </cell>
          <cell r="C81" t="str">
            <v>Набухатель SECURIGANTH P SWELLER</v>
          </cell>
          <cell r="D81" t="str">
            <v>Набухатель SECURIGANTH P SWELLER</v>
          </cell>
          <cell r="E81" t="str">
            <v>кг</v>
          </cell>
          <cell r="F81">
            <v>584.27</v>
          </cell>
          <cell r="G81" t="str">
            <v>ax855 от 17.08.2018 (без)</v>
          </cell>
          <cell r="H81" t="str">
            <v>ООО "Атотех-Хемета"</v>
          </cell>
          <cell r="I81">
            <v>0</v>
          </cell>
        </row>
        <row r="82">
          <cell r="A82" t="str">
            <v>Натрий надсернокислый</v>
          </cell>
          <cell r="B82">
            <v>79</v>
          </cell>
          <cell r="C82" t="str">
            <v>Натрий надсернокислый</v>
          </cell>
          <cell r="D82" t="str">
            <v>Натрий надсернокислый</v>
          </cell>
          <cell r="E82" t="str">
            <v>кг</v>
          </cell>
          <cell r="F82">
            <v>299</v>
          </cell>
          <cell r="G82" t="str">
            <v>7 от 17.01.2018 (Без СФ)</v>
          </cell>
          <cell r="H82" t="str">
            <v>ООО "ППФ"Химпроект"</v>
          </cell>
          <cell r="I82">
            <v>229.57</v>
          </cell>
        </row>
        <row r="83">
          <cell r="A83" t="str">
            <v>Натрий углекислый</v>
          </cell>
          <cell r="B83">
            <v>80</v>
          </cell>
          <cell r="C83" t="str">
            <v>Натрий углекислый</v>
          </cell>
          <cell r="D83" t="str">
            <v>Натрий углекислый</v>
          </cell>
          <cell r="E83" t="str">
            <v>кг</v>
          </cell>
          <cell r="F83">
            <v>240</v>
          </cell>
          <cell r="G83" t="str">
            <v>168 от 12.07.2017 (Без СФ)</v>
          </cell>
          <cell r="H83" t="str">
            <v>ООО "ППФ"Химпроект"</v>
          </cell>
          <cell r="I83">
            <v>180</v>
          </cell>
        </row>
        <row r="84">
          <cell r="A84" t="str">
            <v>Натрия гидроокись</v>
          </cell>
          <cell r="B84">
            <v>81</v>
          </cell>
          <cell r="C84" t="str">
            <v>Натрий гидроокись</v>
          </cell>
          <cell r="D84" t="str">
            <v>Натрия гидроокись</v>
          </cell>
          <cell r="E84" t="str">
            <v>кг</v>
          </cell>
          <cell r="F84">
            <v>160</v>
          </cell>
          <cell r="G84" t="str">
            <v>8508 от 15.05.2018(Без СФ)</v>
          </cell>
          <cell r="H84" t="str">
            <v>ЗАО "ЛенРеактив"</v>
          </cell>
          <cell r="I84">
            <v>162.13999999999999</v>
          </cell>
        </row>
        <row r="85">
          <cell r="A85" t="str">
            <v>Олово металлическое (аноды оловянные)</v>
          </cell>
          <cell r="B85">
            <v>82</v>
          </cell>
          <cell r="C85" t="str">
            <v>Олово металлическое (аноды оловянные)</v>
          </cell>
          <cell r="D85" t="str">
            <v>Олово металлическое (аноды оловянные)</v>
          </cell>
          <cell r="E85" t="str">
            <v>кг</v>
          </cell>
          <cell r="F85">
            <v>1981</v>
          </cell>
          <cell r="G85" t="str">
            <v>1471 от 22.11.2016 (1471)</v>
          </cell>
          <cell r="H85" t="str">
            <v>ООО "БАЛТИЗОЛИТ"</v>
          </cell>
          <cell r="I85">
            <v>1556.45</v>
          </cell>
        </row>
        <row r="86">
          <cell r="A86" t="str">
            <v>Олово сернокислое (олова сульфат)</v>
          </cell>
          <cell r="B86">
            <v>83</v>
          </cell>
          <cell r="C86" t="str">
            <v>Олово сернокислое (олова сульфат)</v>
          </cell>
          <cell r="D86" t="str">
            <v>Олово сернокислое (олова сульфат)</v>
          </cell>
          <cell r="E86" t="str">
            <v>кг</v>
          </cell>
          <cell r="F86">
            <v>2312.69</v>
          </cell>
          <cell r="G86" t="str">
            <v>spb14111004 от 10.11.2014 (spb141110004)</v>
          </cell>
          <cell r="H86" t="str">
            <v>ООО "Петрокоммерц"</v>
          </cell>
          <cell r="I86">
            <v>1872.9</v>
          </cell>
        </row>
        <row r="87">
          <cell r="A87" t="str">
            <v>Очиститель AUNIC CLN</v>
          </cell>
          <cell r="B87">
            <v>84</v>
          </cell>
          <cell r="C87" t="str">
            <v>Очиститель AUNIC CLEANER</v>
          </cell>
          <cell r="D87" t="str">
            <v>Очиститель AUNIC CLN</v>
          </cell>
          <cell r="E87" t="str">
            <v>кг</v>
          </cell>
          <cell r="F87">
            <v>542.26</v>
          </cell>
          <cell r="G87" t="str">
            <v>ах991 от 24.10.2017 (991)</v>
          </cell>
          <cell r="H87" t="str">
            <v>ООО "Атотех-Хемета"</v>
          </cell>
          <cell r="I87">
            <v>381.36</v>
          </cell>
        </row>
        <row r="88">
          <cell r="A88" t="str">
            <v>Очиститель BONDFILM REINIGER ALK</v>
          </cell>
          <cell r="B88">
            <v>85</v>
          </cell>
          <cell r="C88" t="str">
            <v>Очиститель BONDFILM REINIGER ALK</v>
          </cell>
          <cell r="D88" t="str">
            <v>Очиститель BONDFILM REINIGER ALK</v>
          </cell>
          <cell r="E88" t="str">
            <v>кг</v>
          </cell>
          <cell r="F88">
            <v>470.02</v>
          </cell>
          <cell r="G88" t="str">
            <v>ax855 от 17.08.2018 (ax855)</v>
          </cell>
          <cell r="H88" t="str">
            <v>ООО "Атотех-Хемета"</v>
          </cell>
          <cell r="I88">
            <v>421.79</v>
          </cell>
        </row>
        <row r="89">
          <cell r="A89" t="str">
            <v>Очиститель Screen opener K2</v>
          </cell>
          <cell r="B89">
            <v>86</v>
          </cell>
          <cell r="C89" t="str">
            <v>Очиститель Screen opener K2</v>
          </cell>
          <cell r="D89" t="str">
            <v>Очиститель Screen opener K2</v>
          </cell>
          <cell r="E89" t="str">
            <v>кг</v>
          </cell>
          <cell r="F89">
            <v>373.21</v>
          </cell>
          <cell r="G89" t="str">
            <v>ЦП008271 от 19.04.2018 (ЦП00000996)</v>
          </cell>
          <cell r="H89" t="str">
            <v>ООО "Итрако"</v>
          </cell>
          <cell r="I89">
            <v>347.91</v>
          </cell>
        </row>
        <row r="90">
          <cell r="A90" t="str">
            <v>Очиститель SECURIGANTH 902 CLEANER</v>
          </cell>
          <cell r="B90">
            <v>87</v>
          </cell>
          <cell r="C90" t="str">
            <v>Очиститель SECURIGANTH 902 CLEANER</v>
          </cell>
          <cell r="D90" t="str">
            <v>Очиститель SECURIGANTH 902 CLEANER</v>
          </cell>
          <cell r="E90" t="str">
            <v>кг</v>
          </cell>
          <cell r="F90">
            <v>1131.17</v>
          </cell>
          <cell r="G90" t="str">
            <v>ax465 от 14.05.2018 (без)</v>
          </cell>
          <cell r="H90" t="str">
            <v>ООО "Атотех-Хемета"</v>
          </cell>
          <cell r="I90">
            <v>0</v>
          </cell>
        </row>
        <row r="91">
          <cell r="A91" t="str">
            <v>Пакет с защелкой полиэтиленовый</v>
          </cell>
          <cell r="B91">
            <v>88</v>
          </cell>
          <cell r="C91" t="str">
            <v>Пакет с защелкой полиэтиленовый</v>
          </cell>
          <cell r="D91" t="str">
            <v>Пакет с защелкой полиэтиленовый</v>
          </cell>
          <cell r="E91" t="str">
            <v>шт</v>
          </cell>
          <cell r="F91">
            <v>1.6</v>
          </cell>
          <cell r="G91" t="str">
            <v>166 от 04.09.2015</v>
          </cell>
          <cell r="H91" t="str">
            <v>ООО "Расма"</v>
          </cell>
          <cell r="I91">
            <v>1.86</v>
          </cell>
        </row>
        <row r="92">
          <cell r="A92" t="str">
            <v>Пеногаситель</v>
          </cell>
          <cell r="B92">
            <v>89</v>
          </cell>
          <cell r="C92" t="str">
            <v>Пеногаситель</v>
          </cell>
          <cell r="D92" t="str">
            <v>Пеногаситель</v>
          </cell>
          <cell r="E92" t="str">
            <v>кг</v>
          </cell>
          <cell r="F92">
            <v>1115.8900000000001</v>
          </cell>
          <cell r="G92" t="str">
            <v>430 от 19.06.2018 (430)</v>
          </cell>
          <cell r="H92" t="str">
            <v>ООО "Торговый дом Абсолют"</v>
          </cell>
          <cell r="I92">
            <v>884.7</v>
          </cell>
        </row>
        <row r="93">
          <cell r="A93" t="str">
            <v>Перекись водорода</v>
          </cell>
          <cell r="B93">
            <v>90</v>
          </cell>
          <cell r="C93" t="str">
            <v>Перекись водорода</v>
          </cell>
          <cell r="D93" t="str">
            <v>Перекись водорода</v>
          </cell>
          <cell r="E93" t="str">
            <v>кг</v>
          </cell>
          <cell r="F93">
            <v>82</v>
          </cell>
          <cell r="G93" t="str">
            <v>7 от 17.01.18 (Без СФ)</v>
          </cell>
          <cell r="H93" t="str">
            <v>ООО "ППФ"Химпроект"</v>
          </cell>
          <cell r="I93">
            <v>74.77</v>
          </cell>
        </row>
        <row r="94">
          <cell r="A94" t="str">
            <v>Плёнка отслаиваемая полиэфирная PACOTHANE</v>
          </cell>
          <cell r="B94">
            <v>91</v>
          </cell>
          <cell r="C94" t="str">
            <v>Пленка отслаиваемая полиэфирная PACOTHANE</v>
          </cell>
          <cell r="D94" t="str">
            <v>Плёнка отслаиваемая полиэфирная PACOTHANE</v>
          </cell>
          <cell r="E94" t="str">
            <v>м2</v>
          </cell>
          <cell r="F94">
            <v>227.46</v>
          </cell>
          <cell r="G94" t="str">
            <v>168 от 14.03.2018 (168)</v>
          </cell>
          <cell r="H94" t="str">
            <v>ООО "Торговый дом Абсолют"</v>
          </cell>
          <cell r="I94">
            <v>236.6</v>
          </cell>
        </row>
        <row r="95">
          <cell r="A95" t="str">
            <v>Пленка стрейч</v>
          </cell>
          <cell r="B95">
            <v>92</v>
          </cell>
          <cell r="C95" t="str">
            <v>пленка упаковочная 50см/17мк (120) упаковочная</v>
          </cell>
          <cell r="D95" t="str">
            <v>Пленка стрейч</v>
          </cell>
          <cell r="E95" t="str">
            <v>шт</v>
          </cell>
          <cell r="F95">
            <v>185.59</v>
          </cell>
          <cell r="G95" t="str">
            <v>191 от 01.10.2015</v>
          </cell>
          <cell r="H95" t="str">
            <v>ООО "Расма"</v>
          </cell>
          <cell r="I95">
            <v>156.86000000000001</v>
          </cell>
        </row>
        <row r="96">
          <cell r="A96" t="str">
            <v>Припой ПОС-61</v>
          </cell>
          <cell r="B96">
            <v>93</v>
          </cell>
          <cell r="C96" t="str">
            <v>Припой ПОС-61</v>
          </cell>
          <cell r="D96" t="str">
            <v>Припой ПОС-61</v>
          </cell>
          <cell r="E96" t="str">
            <v>кг</v>
          </cell>
          <cell r="F96">
            <v>1397</v>
          </cell>
          <cell r="G96" t="str">
            <v>774 от 06.12.2017 (774)</v>
          </cell>
          <cell r="H96" t="str">
            <v>ООО "БАЛТИЗОЛИТ"</v>
          </cell>
          <cell r="I96">
            <v>1189.98</v>
          </cell>
        </row>
        <row r="97">
          <cell r="A97" t="str">
            <v>Проявитель KODAK ACCUMAX Rapid Access</v>
          </cell>
          <cell r="B97">
            <v>94</v>
          </cell>
          <cell r="C97" t="str">
            <v>Проявитель KODAK</v>
          </cell>
          <cell r="D97" t="str">
            <v>Проявитель KODAK ACCUMAX Rapid Access</v>
          </cell>
          <cell r="E97" t="str">
            <v>кг</v>
          </cell>
          <cell r="F97">
            <v>384.29</v>
          </cell>
          <cell r="G97" t="str">
            <v>spb018090505 от 05.09.2018 (0180905005)</v>
          </cell>
          <cell r="H97" t="str">
            <v>ООО "Петрокоммерц"</v>
          </cell>
          <cell r="I97">
            <v>446.79</v>
          </cell>
        </row>
        <row r="98">
          <cell r="A98" t="str">
            <v>Разбавитель XZ 101 (для защитной маски XV 501T)</v>
          </cell>
          <cell r="B98">
            <v>95</v>
          </cell>
          <cell r="C98" t="str">
            <v>Разбавитель XZ 101 (для защитной маски XV 501T)</v>
          </cell>
          <cell r="D98" t="str">
            <v>Разбавитель XZ 101 (для защитной маски XV 501T)</v>
          </cell>
          <cell r="E98" t="str">
            <v>кг</v>
          </cell>
          <cell r="F98">
            <v>834.98</v>
          </cell>
          <cell r="G98" t="str">
            <v>spb01706205 от 22.06.2017</v>
          </cell>
          <cell r="H98" t="str">
            <v>ООО "Петрокоммерц"</v>
          </cell>
          <cell r="I98">
            <v>0</v>
          </cell>
        </row>
        <row r="99">
          <cell r="A99" t="str">
            <v>Разбавитель XZ 107 (для защитной маски XV 501T-4)</v>
          </cell>
          <cell r="B99">
            <v>96</v>
          </cell>
          <cell r="C99" t="str">
            <v>Разбавитель XZ 107 (для защитной маски XV 501T-4)</v>
          </cell>
          <cell r="D99" t="str">
            <v>Разбавитель XZ 107 (для защитной маски XV 501T-4)</v>
          </cell>
          <cell r="E99" t="str">
            <v>кг</v>
          </cell>
          <cell r="F99">
            <v>780</v>
          </cell>
          <cell r="G99" t="str">
            <v>spb015070704 от 08.07.2015  (spb0150708004)</v>
          </cell>
          <cell r="H99" t="str">
            <v>ООО "Петрокоммерц"</v>
          </cell>
          <cell r="I99">
            <v>0</v>
          </cell>
        </row>
        <row r="100">
          <cell r="A100" t="str">
            <v>Растворитель 646</v>
          </cell>
          <cell r="B100">
            <v>97</v>
          </cell>
          <cell r="C100" t="str">
            <v>Растворитель 646</v>
          </cell>
          <cell r="D100" t="str">
            <v>Растворитель 646</v>
          </cell>
          <cell r="E100" t="str">
            <v>кг</v>
          </cell>
          <cell r="F100">
            <v>120.86</v>
          </cell>
          <cell r="G100" t="str">
            <v>чек 3625 тов. Чек 103 от 09.12.2015</v>
          </cell>
          <cell r="H100" t="str">
            <v>ООО "Квадро"</v>
          </cell>
          <cell r="I100">
            <v>0</v>
          </cell>
        </row>
        <row r="101">
          <cell r="A101" t="str">
            <v>Сверло твердосплавное d 0,25 ...0,60 мм, отв/шт</v>
          </cell>
          <cell r="B101">
            <v>98</v>
          </cell>
          <cell r="C101" t="str">
            <v>сверло д1=0,3, д2=3,175 твердосплавное</v>
          </cell>
          <cell r="D101" t="str">
            <v>Сверло твердосплавное d 0,25 ...0,60 мм, отв/шт</v>
          </cell>
          <cell r="E101" t="str">
            <v>шт</v>
          </cell>
          <cell r="F101">
            <v>150</v>
          </cell>
          <cell r="G101" t="str">
            <v>1304 от 1.12.2015</v>
          </cell>
          <cell r="H101" t="str">
            <v>ООО "БАЛТИЗОЛИТ"</v>
          </cell>
          <cell r="I101">
            <v>144.38</v>
          </cell>
        </row>
        <row r="102">
          <cell r="A102" t="str">
            <v>Сверло твердосплавное d 0,70…2,05 мм, отв/шт</v>
          </cell>
          <cell r="B102">
            <v>99</v>
          </cell>
          <cell r="C102" t="str">
            <v>Сверло твердосплавное, отв/шт</v>
          </cell>
          <cell r="D102" t="str">
            <v>Сверло твердосплавное d 0,70…2,05 мм, отв/шт</v>
          </cell>
          <cell r="E102" t="str">
            <v>шт</v>
          </cell>
          <cell r="F102">
            <v>95</v>
          </cell>
          <cell r="G102" t="str">
            <v>1303 от 1.12.2015</v>
          </cell>
          <cell r="H102" t="str">
            <v>ООО "БАЛТИЗОЛИТ"</v>
          </cell>
          <cell r="I102">
            <v>0</v>
          </cell>
        </row>
        <row r="103">
          <cell r="A103" t="str">
            <v>Сода кальцинированная</v>
          </cell>
          <cell r="B103">
            <v>100</v>
          </cell>
          <cell r="C103" t="str">
            <v>Сода кальцинированная</v>
          </cell>
          <cell r="D103" t="str">
            <v>Сода кальцинированная</v>
          </cell>
          <cell r="E103" t="str">
            <v>кг</v>
          </cell>
          <cell r="F103">
            <v>36</v>
          </cell>
          <cell r="G103" t="str">
            <v>113 от 16.08.2018 (Без СФ)</v>
          </cell>
          <cell r="H103" t="str">
            <v>ООО "ППФ"Химпроект"</v>
          </cell>
          <cell r="I103">
            <v>29.83</v>
          </cell>
        </row>
        <row r="104">
          <cell r="A104" t="str">
            <v>Состав д/приготовл. AUNIC MAKE-UP</v>
          </cell>
          <cell r="B104">
            <v>101</v>
          </cell>
          <cell r="C104" t="str">
            <v>Состав для приготовления AUNIC MAKE-UP</v>
          </cell>
          <cell r="D104" t="str">
            <v>Состав д/приготовл. AUNIC MAKE-UP</v>
          </cell>
          <cell r="E104" t="str">
            <v>кг</v>
          </cell>
          <cell r="F104">
            <v>679.04</v>
          </cell>
          <cell r="G104" t="str">
            <v>ax817 от 11.09.2017 (ax817)</v>
          </cell>
          <cell r="H104" t="str">
            <v>ООО "Атотех-Хемета"</v>
          </cell>
          <cell r="I104">
            <v>659.91</v>
          </cell>
        </row>
        <row r="105">
          <cell r="A105" t="str">
            <v>Состав д/приготовл. BONDFILM STARTER</v>
          </cell>
          <cell r="B105">
            <v>102</v>
          </cell>
          <cell r="C105" t="str">
            <v>Состав для приготовления BONDFILM STARTER</v>
          </cell>
          <cell r="D105" t="str">
            <v>Состав д/приготовл. BONDFILM STARTER</v>
          </cell>
          <cell r="E105" t="str">
            <v>кг</v>
          </cell>
          <cell r="F105">
            <v>373.54</v>
          </cell>
          <cell r="G105" t="str">
            <v>ax991 от 24.10.2017 (ax991)</v>
          </cell>
          <cell r="H105" t="str">
            <v>ООО "Атотех-Хемета"</v>
          </cell>
          <cell r="I105">
            <v>265.2</v>
          </cell>
        </row>
        <row r="106">
          <cell r="A106" t="str">
            <v>Состав д/приготовл. NOVIGANT HC MAKE-UP</v>
          </cell>
          <cell r="B106">
            <v>103</v>
          </cell>
          <cell r="C106" t="str">
            <v>Состав для приготовления NOVIGANTH HC MAKE-UP</v>
          </cell>
          <cell r="D106" t="str">
            <v>Состав д/приготовл. NOVIGANT HC MAKE-UP</v>
          </cell>
          <cell r="E106" t="str">
            <v>кг</v>
          </cell>
          <cell r="F106">
            <v>1121.22</v>
          </cell>
          <cell r="G106" t="str">
            <v>45 от 02.02.2015 (45)</v>
          </cell>
          <cell r="H106" t="str">
            <v>ООО "Атотех-Хемета"</v>
          </cell>
          <cell r="I106">
            <v>793.38</v>
          </cell>
        </row>
        <row r="107">
          <cell r="A107" t="str">
            <v>Состав для гальванизации СUPROSTAR LP-1</v>
          </cell>
          <cell r="B107">
            <v>104</v>
          </cell>
          <cell r="C107" t="str">
            <v>Состав для гальванизации CUPROSTAR LP-1</v>
          </cell>
          <cell r="D107" t="str">
            <v>Состав для гальванизации СUPROSTAR LP-1</v>
          </cell>
          <cell r="E107" t="str">
            <v>кг</v>
          </cell>
          <cell r="F107">
            <v>7389.74</v>
          </cell>
          <cell r="G107" t="str">
            <v>4990065865 от 12.09.2018 (500014753)</v>
          </cell>
          <cell r="H107" t="str">
            <v>АО "Омиа Алгол Рус"</v>
          </cell>
          <cell r="I107">
            <v>5866.45</v>
          </cell>
        </row>
        <row r="108">
          <cell r="A108" t="str">
            <v>Состав для удаления олова</v>
          </cell>
          <cell r="B108">
            <v>105</v>
          </cell>
          <cell r="C108" t="str">
            <v>Состав для удаления олова</v>
          </cell>
          <cell r="D108" t="str">
            <v>Состав для удаления олова</v>
          </cell>
          <cell r="E108" t="str">
            <v>кг</v>
          </cell>
          <cell r="F108">
            <v>241.53</v>
          </cell>
          <cell r="G108" t="str">
            <v>ax855 от 17.08.2018 (без)</v>
          </cell>
          <cell r="H108" t="str">
            <v>ООО "Атотех-Хемета"</v>
          </cell>
          <cell r="I108">
            <v>161.91999999999999</v>
          </cell>
        </row>
        <row r="109">
          <cell r="A109" t="str">
            <v>Среднегодовой расход вспомогательных материалов</v>
          </cell>
          <cell r="B109">
            <v>106</v>
          </cell>
          <cell r="C109" t="str">
            <v>Среднегодовой расход вспомогательных материалов</v>
          </cell>
          <cell r="D109" t="str">
            <v>Среднегодовой расход вспомогательных материалов</v>
          </cell>
          <cell r="F109">
            <v>150</v>
          </cell>
          <cell r="I109">
            <v>0</v>
          </cell>
        </row>
        <row r="110">
          <cell r="A110" t="str">
            <v>Среднегодовой расход материалов лаборатории</v>
          </cell>
          <cell r="B110">
            <v>107</v>
          </cell>
          <cell r="C110" t="str">
            <v>Среднегодовой расход материалов лаборатории</v>
          </cell>
          <cell r="D110" t="str">
            <v>Среднегодовой расход материалов лаборатории</v>
          </cell>
          <cell r="F110">
            <v>30</v>
          </cell>
          <cell r="I110">
            <v>0</v>
          </cell>
        </row>
        <row r="111">
          <cell r="A111" t="str">
            <v>Стабилизатор NOVIGANTH HC STABILIZER</v>
          </cell>
          <cell r="B111">
            <v>108</v>
          </cell>
          <cell r="C111" t="str">
            <v>Стабилизатор NOVIGANTH HC STABILIZER</v>
          </cell>
          <cell r="D111" t="str">
            <v>Стабилизатор NOVIGANTH HC STABILIZER</v>
          </cell>
          <cell r="E111" t="str">
            <v>кг</v>
          </cell>
          <cell r="F111">
            <v>2499.88</v>
          </cell>
          <cell r="G111" t="str">
            <v>spb14112501 от 25.11.2014 (spb141125001)</v>
          </cell>
          <cell r="H111" t="str">
            <v>ООО "Петрокоммерц"</v>
          </cell>
          <cell r="I111">
            <v>2414.73</v>
          </cell>
        </row>
        <row r="112">
          <cell r="A112" t="str">
            <v>Стеклотекстолит фольг. DE 104 18/18-0.36</v>
          </cell>
          <cell r="B112">
            <v>109</v>
          </cell>
          <cell r="C112" t="str">
            <v>Стеклотекстолит фольгированный DE104ML 18/18-0.36</v>
          </cell>
          <cell r="D112" t="str">
            <v>Стеклотекстолит фольг. DE 104 18/18-0.36</v>
          </cell>
          <cell r="E112" t="str">
            <v>м2</v>
          </cell>
          <cell r="F112">
            <v>2229</v>
          </cell>
          <cell r="G112" t="str">
            <v>1235 от 19.11.2015 (1235)</v>
          </cell>
          <cell r="H112" t="str">
            <v>ООО "БАЛТИЗОЛИТ"</v>
          </cell>
          <cell r="I112">
            <v>2358.84</v>
          </cell>
        </row>
        <row r="113">
          <cell r="A113" t="str">
            <v>Стеклотекстолит фольг. DE 104 18/18-1.5</v>
          </cell>
          <cell r="B113">
            <v>110</v>
          </cell>
          <cell r="C113" t="str">
            <v>Стеклотекстолит фольгированный DE104 18/18-1.5</v>
          </cell>
          <cell r="D113" t="str">
            <v>Стеклотекстолит фольг. DE 104 18/18-1.5</v>
          </cell>
          <cell r="E113" t="str">
            <v>м2</v>
          </cell>
          <cell r="F113">
            <v>2369.36</v>
          </cell>
          <cell r="G113" t="str">
            <v>spb018070502 от 05.07.2018 (0180705002)</v>
          </cell>
          <cell r="H113" t="str">
            <v>ООО "Петрокоммерц"</v>
          </cell>
          <cell r="I113">
            <v>630.99</v>
          </cell>
        </row>
        <row r="114">
          <cell r="A114" t="str">
            <v>Стеклотекстолит фольг. DE 104 18/18-2.0</v>
          </cell>
          <cell r="B114">
            <v>111</v>
          </cell>
          <cell r="C114" t="str">
            <v>Стеклотекстолит фольгированный DE104 18/18-2.0</v>
          </cell>
          <cell r="D114" t="str">
            <v>Стеклотекстолит фольг. DE 104 18/18-2.0</v>
          </cell>
          <cell r="E114" t="str">
            <v>м2</v>
          </cell>
          <cell r="F114">
            <v>1790.57</v>
          </cell>
          <cell r="G114" t="str">
            <v>959 от 06.11.2013 (1378)</v>
          </cell>
          <cell r="H114" t="str">
            <v>ООО "БАЛТИЗОЛИТ"</v>
          </cell>
          <cell r="I114">
            <v>2190</v>
          </cell>
        </row>
        <row r="115">
          <cell r="A115" t="str">
            <v>Стеклотекстолит фольг. DE 104 35/35-0.36</v>
          </cell>
          <cell r="B115">
            <v>112</v>
          </cell>
          <cell r="C115" t="str">
            <v>Стеклотекстолит фольгированный DE104ML 35/35-0.36</v>
          </cell>
          <cell r="D115" t="str">
            <v>Стеклотекстолит фольг. DE 104 35/35-0.36</v>
          </cell>
          <cell r="E115" t="str">
            <v>м2</v>
          </cell>
          <cell r="F115">
            <v>1660.64</v>
          </cell>
          <cell r="G115" t="str">
            <v>433 от 28.04.2014 (581)</v>
          </cell>
          <cell r="H115" t="str">
            <v>ООО "БАЛТИЗОЛИТ СПб"</v>
          </cell>
          <cell r="I115">
            <v>1628.44</v>
          </cell>
        </row>
        <row r="116">
          <cell r="A116" t="str">
            <v>Стеклотекстолит фольг. DE 104 35/35-1.0</v>
          </cell>
          <cell r="B116">
            <v>113</v>
          </cell>
          <cell r="C116" t="str">
            <v>Стеклотекстолит фольгированный DE104ML 35/35-1.0</v>
          </cell>
          <cell r="D116" t="str">
            <v>Стеклотекстолит фольг. DE 104 35/35-1.0</v>
          </cell>
          <cell r="E116" t="str">
            <v>м2</v>
          </cell>
          <cell r="F116">
            <v>3184</v>
          </cell>
          <cell r="G116" t="str">
            <v>20 от 13.01.2016 (20)</v>
          </cell>
          <cell r="H116" t="str">
            <v>ООО "БАЛТИЗОЛИТ"</v>
          </cell>
          <cell r="I116">
            <v>2895</v>
          </cell>
        </row>
        <row r="117">
          <cell r="A117" t="str">
            <v>Стеклотекстолит фольг. DE 104 35/35-1.5</v>
          </cell>
          <cell r="B117">
            <v>114</v>
          </cell>
          <cell r="C117" t="str">
            <v>Стеклотекстолит фольгированный DE104 35/35-1.5</v>
          </cell>
          <cell r="D117" t="str">
            <v>Стеклотекстолит фольг. DE 104 35/35-1.5</v>
          </cell>
          <cell r="E117" t="str">
            <v>м2</v>
          </cell>
          <cell r="F117">
            <v>2746.65</v>
          </cell>
          <cell r="G117" t="str">
            <v>spb018090505 от 05.09.2018 (0180905005)</v>
          </cell>
          <cell r="H117" t="str">
            <v>ООО "Петрокоммерц"</v>
          </cell>
          <cell r="I117">
            <v>2497</v>
          </cell>
        </row>
        <row r="118">
          <cell r="A118" t="str">
            <v>Стеклотекстолит фольг. DE 104 35/35-2.0</v>
          </cell>
          <cell r="B118">
            <v>115</v>
          </cell>
          <cell r="C118" t="str">
            <v>Стеклотекстолит фольгированный DE104 35/35-2.0</v>
          </cell>
          <cell r="D118" t="str">
            <v>Стеклотекстолит фольг. DE 104 35/35-2.0</v>
          </cell>
          <cell r="E118" t="str">
            <v>м2</v>
          </cell>
          <cell r="F118">
            <v>3770</v>
          </cell>
          <cell r="G118" t="str">
            <v>581 от 19.05.2018 (581)</v>
          </cell>
          <cell r="H118" t="str">
            <v>ООО "БАЛТПРОМИЗОЛИТ "</v>
          </cell>
          <cell r="I118">
            <v>3308.79</v>
          </cell>
        </row>
        <row r="119">
          <cell r="A119" t="str">
            <v>Стеклотекстолит фольг. DE 104 35/35-2.4</v>
          </cell>
          <cell r="B119">
            <v>116</v>
          </cell>
          <cell r="C119" t="str">
            <v>Стеклотекстолит фольгированный DE 104 35/35-2.4</v>
          </cell>
          <cell r="D119" t="str">
            <v>Стеклотекстолит фольг. DE 104 35/35-2.4</v>
          </cell>
          <cell r="E119" t="str">
            <v>м2</v>
          </cell>
          <cell r="F119">
            <v>4795</v>
          </cell>
          <cell r="G119" t="str">
            <v>1269 от 12.10.2016 (1269)</v>
          </cell>
          <cell r="H119" t="str">
            <v>ООО "БАЛТИЗОЛИТ "</v>
          </cell>
          <cell r="I119">
            <v>0</v>
          </cell>
        </row>
        <row r="120">
          <cell r="A120" t="str">
            <v>Стеклотекстолит фольг. DE 104 35/35-3.2</v>
          </cell>
          <cell r="B120">
            <v>117</v>
          </cell>
          <cell r="C120" t="str">
            <v>Стеклотекстолит фольгированный DE104 35/35-3.2</v>
          </cell>
          <cell r="D120" t="str">
            <v>Стеклотекстолит фольг. DE 104 35/35-3.2</v>
          </cell>
          <cell r="E120" t="str">
            <v>м2</v>
          </cell>
          <cell r="F120">
            <v>3923.93</v>
          </cell>
          <cell r="G120" t="str">
            <v>spb14033108 от 31.03.2014 (spb140331008)</v>
          </cell>
          <cell r="H120" t="str">
            <v>ООО "Петрокоммерц"</v>
          </cell>
          <cell r="I120">
            <v>3873.45</v>
          </cell>
        </row>
        <row r="121">
          <cell r="A121" t="str">
            <v>Стеклотекстолит фольг. DE 104 50/50-1.5</v>
          </cell>
          <cell r="B121">
            <v>118</v>
          </cell>
          <cell r="C121" t="str">
            <v>Стеклотекстолит фольгированный DE 104 50/50-1.5</v>
          </cell>
          <cell r="D121" t="str">
            <v>Стеклотекстолит фольг. DE 104 50/50-1.5</v>
          </cell>
          <cell r="E121" t="str">
            <v>м2</v>
          </cell>
          <cell r="F121">
            <v>4170</v>
          </cell>
          <cell r="G121" t="str">
            <v>570 от 06.05.2016 (570)</v>
          </cell>
          <cell r="H121" t="str">
            <v>ООО "БАЛТИЗОЛИТ"</v>
          </cell>
          <cell r="I121">
            <v>0</v>
          </cell>
        </row>
        <row r="122">
          <cell r="A122" t="str">
            <v>Стеклотекстолит фольг. DE 104 50/50-2.0</v>
          </cell>
          <cell r="B122">
            <v>119</v>
          </cell>
          <cell r="C122" t="str">
            <v>Стеклотекстолит фольгированный DE104 50/50-2.0</v>
          </cell>
          <cell r="D122" t="str">
            <v>Стеклотекстолит фольг. DE 104 50/50-2.0</v>
          </cell>
          <cell r="E122" t="str">
            <v>м2</v>
          </cell>
          <cell r="F122">
            <v>3788.4</v>
          </cell>
          <cell r="G122" t="str">
            <v>339 от 17.03.2016 (339)</v>
          </cell>
          <cell r="H122" t="str">
            <v>ООО "БАЛТИЗОЛИТ"</v>
          </cell>
          <cell r="I122">
            <v>3232.66</v>
          </cell>
        </row>
        <row r="123">
          <cell r="A123" t="str">
            <v>Стеклотекстолит фольг. DE104ML 18/18-0.8</v>
          </cell>
          <cell r="B123">
            <v>120</v>
          </cell>
          <cell r="C123" t="str">
            <v>Стеклотекстолит фольгированный DE104ML 18/18-0.8</v>
          </cell>
          <cell r="D123" t="str">
            <v>Стеклотекстолит фольг. DE104ML 18/18-0.8</v>
          </cell>
          <cell r="E123" t="str">
            <v>м2</v>
          </cell>
          <cell r="F123">
            <v>1563.82</v>
          </cell>
          <cell r="G123" t="str">
            <v>spb14081806 от 18.08.2014 (spb140818006)</v>
          </cell>
          <cell r="H123" t="str">
            <v>ООО "Петрокоммерц"</v>
          </cell>
          <cell r="I123">
            <v>1563.82</v>
          </cell>
        </row>
        <row r="124">
          <cell r="A124" t="str">
            <v>Стеклотекстолит фольг. FR-4 35/35-0.15</v>
          </cell>
          <cell r="B124">
            <v>121</v>
          </cell>
          <cell r="C124" t="str">
            <v>Стеклотекстолит фольгированный FR-4 35/35-0.15</v>
          </cell>
          <cell r="D124" t="str">
            <v>Стеклотекстолит фольг. FR-4 35/35-0.15</v>
          </cell>
          <cell r="E124" t="str">
            <v>м2</v>
          </cell>
          <cell r="F124">
            <v>2300</v>
          </cell>
          <cell r="G124" t="str">
            <v>56 от 22.11.2010 (59)</v>
          </cell>
          <cell r="H124" t="str">
            <v>ООО "АльфаКом"</v>
          </cell>
          <cell r="I124">
            <v>0</v>
          </cell>
        </row>
        <row r="125">
          <cell r="A125" t="str">
            <v>Стеклотекстолит фольг. FR-4 35/35-0.8</v>
          </cell>
          <cell r="B125">
            <v>122</v>
          </cell>
          <cell r="C125" t="str">
            <v>Стеклотекстолит фольгированный FR-4 35/35-0.8</v>
          </cell>
          <cell r="D125" t="str">
            <v>Стеклотекстолит фольг. FR-4 35/35-0.8</v>
          </cell>
          <cell r="E125" t="str">
            <v>м2</v>
          </cell>
          <cell r="F125">
            <v>1897</v>
          </cell>
          <cell r="G125" t="str">
            <v>538 от 11.07.2017 (538)</v>
          </cell>
          <cell r="H125" t="str">
            <v>ООО "БАЛТИЗОЛИТ"</v>
          </cell>
          <cell r="I125">
            <v>0</v>
          </cell>
        </row>
        <row r="126">
          <cell r="A126" t="str">
            <v>Стеклотекстолит фольг. FR-4 МИ 18/18-1.5 1кл.</v>
          </cell>
          <cell r="B126">
            <v>123</v>
          </cell>
          <cell r="C126" t="str">
            <v>Стеклотекстолит фольгированный FR-4 МИ 18/18-1.5 1кл.</v>
          </cell>
          <cell r="D126" t="str">
            <v>Стеклотекстолит фольг. FR-4 МИ 18/18-1.5 1кл.</v>
          </cell>
          <cell r="E126">
            <v>0.32</v>
          </cell>
          <cell r="F126">
            <v>435</v>
          </cell>
          <cell r="G126" t="str">
            <v>199 от 24.04.2012 (199)</v>
          </cell>
          <cell r="H126" t="str">
            <v>ООО "БАЛТИЗОЛИТ СПб"</v>
          </cell>
          <cell r="I126">
            <v>0</v>
          </cell>
        </row>
        <row r="127">
          <cell r="A127" t="str">
            <v>Стеклотекстолит фольг. FR-4 МИ 50/50-2.0</v>
          </cell>
          <cell r="B127">
            <v>124</v>
          </cell>
          <cell r="C127" t="str">
            <v>Стеклотекстолит фольгированный FR-4 МИ 50/50-2.0</v>
          </cell>
          <cell r="D127" t="str">
            <v>Стеклотекстолит фольг. FR-4 МИ 50/50-2.0</v>
          </cell>
          <cell r="E127">
            <v>1</v>
          </cell>
          <cell r="F127">
            <v>485</v>
          </cell>
          <cell r="G127" t="str">
            <v>936 от 28.10.2013 (1355)</v>
          </cell>
          <cell r="H127" t="str">
            <v>ООО "БАЛТИЗОЛИТ СПб"</v>
          </cell>
          <cell r="I127">
            <v>0</v>
          </cell>
        </row>
        <row r="128">
          <cell r="A128" t="str">
            <v>Стеклотекстолит фольг. МИ1222.9-2-105-1.5 1кл.</v>
          </cell>
          <cell r="B128">
            <v>125</v>
          </cell>
          <cell r="C128" t="str">
            <v>Стеклотекстолит фольгированный МИ1222.9-2-105-1.5 1кл.</v>
          </cell>
          <cell r="D128" t="str">
            <v>Стеклотекстолит фольг. МИ1222.9-2-105-1.5 1кл.</v>
          </cell>
          <cell r="E128">
            <v>0.22900000000000001</v>
          </cell>
          <cell r="F128">
            <v>1377</v>
          </cell>
          <cell r="G128" t="str">
            <v>414 от 03.05.2018 (414)</v>
          </cell>
          <cell r="H128" t="str">
            <v>ООО "БАЛТПРОМИЗОЛИТ "</v>
          </cell>
          <cell r="I128">
            <v>0</v>
          </cell>
        </row>
        <row r="129">
          <cell r="A129" t="str">
            <v>Стеклотекстолит фольг. МИ1222.9-2-105-2.0 1кл.</v>
          </cell>
          <cell r="B129">
            <v>126</v>
          </cell>
          <cell r="C129" t="str">
            <v>Стеклотекстолит фольгированный МИ1222.9-2-105-2.0 1кл.</v>
          </cell>
          <cell r="D129" t="str">
            <v>Стеклотекстолит фольг. МИ1222.9-2-105-2.0 1кл.</v>
          </cell>
          <cell r="E129">
            <v>0.125</v>
          </cell>
          <cell r="F129">
            <v>1377</v>
          </cell>
          <cell r="G129" t="str">
            <v>415 от 03.05.2018 (415)</v>
          </cell>
          <cell r="H129" t="str">
            <v>ООО "БАЛТПРОМИЗОЛИТ "</v>
          </cell>
          <cell r="I129">
            <v>0</v>
          </cell>
        </row>
        <row r="130">
          <cell r="A130" t="str">
            <v>Стеклотекстолит фольг. МИ1222.9-2-18-1.0 1кл.</v>
          </cell>
          <cell r="B130">
            <v>127</v>
          </cell>
          <cell r="C130" t="str">
            <v>Стеклотекстолит фольгированный МИ1222.9-2-18-1.0 1кл</v>
          </cell>
          <cell r="D130" t="str">
            <v>Стеклотекстолит фольг. МИ1222.9-2-18-1.0 1кл.</v>
          </cell>
          <cell r="E130">
            <v>0.43478</v>
          </cell>
          <cell r="F130">
            <v>499</v>
          </cell>
          <cell r="G130" t="str">
            <v>532 от 01.07.2013 (659)</v>
          </cell>
          <cell r="H130" t="str">
            <v>ООО "БАЛТИЗОЛИТ СПб"</v>
          </cell>
          <cell r="I130">
            <v>0</v>
          </cell>
        </row>
        <row r="131">
          <cell r="A131" t="str">
            <v>Стеклотекстолит фольг. МИ1222.9-2-18-1.5 1кл.</v>
          </cell>
          <cell r="B131">
            <v>128</v>
          </cell>
          <cell r="C131" t="str">
            <v>Стеклотекстолит фольгированный МИ1222.9-2-18-1.5 1кл</v>
          </cell>
          <cell r="D131" t="str">
            <v>Стеклотекстолит фольг. МИ1222.9-2-18-1.5 1кл.</v>
          </cell>
          <cell r="E131">
            <v>0.31947999999999999</v>
          </cell>
          <cell r="F131">
            <v>819</v>
          </cell>
          <cell r="G131" t="str">
            <v>339 от 17.03.2016 (339)</v>
          </cell>
          <cell r="H131" t="str">
            <v>ООО "БАЛТИЗОЛИТ"</v>
          </cell>
          <cell r="I131">
            <v>0</v>
          </cell>
        </row>
        <row r="132">
          <cell r="A132" t="str">
            <v>Стеклотекстолит фольг. МИ1222.9-2-18-2.0 1кл.</v>
          </cell>
          <cell r="B132">
            <v>129</v>
          </cell>
          <cell r="C132" t="str">
            <v>Стеклотекстолит фольгированный МИ1222.9-2-18-2.0 1кл</v>
          </cell>
          <cell r="D132" t="str">
            <v>Стеклотекстолит фольг. МИ1222.9-2-18-2.0 1кл.</v>
          </cell>
          <cell r="E132">
            <v>0.26178000000000001</v>
          </cell>
          <cell r="F132">
            <v>816</v>
          </cell>
          <cell r="G132" t="str">
            <v>335 от 17.03.2016 (335)</v>
          </cell>
          <cell r="H132" t="str">
            <v>ООО "БАЛТИЗОЛИТ"</v>
          </cell>
          <cell r="I132">
            <v>0</v>
          </cell>
        </row>
        <row r="133">
          <cell r="A133" t="str">
            <v>Стеклотекстолит фольг. МИ1222.9-2-35-1.0 1кл.</v>
          </cell>
          <cell r="B133">
            <v>130</v>
          </cell>
          <cell r="C133" t="str">
            <v>Стеклотекстолит фольгированный МИ1222.9-2-35-1.0 1кл</v>
          </cell>
          <cell r="D133" t="str">
            <v>Стеклотекстолит фольг. МИ1222.9-2-35-1.0 1кл.</v>
          </cell>
          <cell r="E133">
            <v>0.41299999999999998</v>
          </cell>
          <cell r="F133">
            <v>922</v>
          </cell>
          <cell r="G133" t="str">
            <v>338 от 17.03.2016 (338)</v>
          </cell>
          <cell r="H133" t="str">
            <v>ООО "БАЛТИЗОЛИТ "</v>
          </cell>
          <cell r="I133">
            <v>0</v>
          </cell>
        </row>
        <row r="134">
          <cell r="A134" t="str">
            <v>Стеклотекстолит фольг. МИ1222.9-2-35-1.5 1кл.</v>
          </cell>
          <cell r="B134">
            <v>131</v>
          </cell>
          <cell r="C134" t="str">
            <v>Стеклотекстолит фольгированный МИ1222.9-2-35-1.5 1кл</v>
          </cell>
          <cell r="D134" t="str">
            <v>Стеклотекстолит фольг. МИ1222.9-2-35-1.5 1кл.</v>
          </cell>
          <cell r="E134">
            <v>0.28699999999999998</v>
          </cell>
          <cell r="F134">
            <v>914</v>
          </cell>
          <cell r="G134" t="str">
            <v>207 от 14.03.2018 (207)</v>
          </cell>
          <cell r="H134" t="str">
            <v>ООО "БАЛТПРОМИЗОЛИТ "</v>
          </cell>
          <cell r="I134">
            <v>0</v>
          </cell>
        </row>
        <row r="135">
          <cell r="A135" t="str">
            <v>Стеклотекстолит фольг. МИ1222.9-2-35-2.0 1кл.</v>
          </cell>
          <cell r="B135">
            <v>132</v>
          </cell>
          <cell r="C135" t="str">
            <v>Стеклотекстолит фольгированный МИ1222.9-2-35-2.0 1кл</v>
          </cell>
          <cell r="D135" t="str">
            <v>Стеклотекстолит фольг. МИ1222.9-2-35-2.0 1кл.</v>
          </cell>
          <cell r="E135">
            <v>0.22700000000000001</v>
          </cell>
          <cell r="F135">
            <v>829</v>
          </cell>
          <cell r="G135" t="str">
            <v>256 от 15.03.2017 (256)</v>
          </cell>
          <cell r="H135" t="str">
            <v>ООО "БАЛТИЗОЛИТ "</v>
          </cell>
          <cell r="I135">
            <v>0</v>
          </cell>
        </row>
        <row r="136">
          <cell r="A136" t="str">
            <v>Стеклотекстолит фольг. МИ1222.9-2-35-2.5 1кл.</v>
          </cell>
          <cell r="B136">
            <v>133</v>
          </cell>
          <cell r="C136" t="str">
            <v>Стеклотекстолит фольгированный МИ1222.9-2-35-2.5 1кл.</v>
          </cell>
          <cell r="D136" t="str">
            <v>Стеклотекстолит фольг. МИ1222.9-2-35-2.5 1кл.</v>
          </cell>
          <cell r="E136">
            <v>0.185</v>
          </cell>
          <cell r="F136">
            <v>839</v>
          </cell>
          <cell r="G136" t="str">
            <v>465 от 22.09.2017 (465)</v>
          </cell>
          <cell r="H136" t="str">
            <v>ООО "БАЛТПРОМИЗОЛИТ "</v>
          </cell>
          <cell r="I136">
            <v>0</v>
          </cell>
        </row>
        <row r="137">
          <cell r="A137" t="str">
            <v>Стеклотекстолит фольг. МИ1222.9-2-50-1.0 1кл.</v>
          </cell>
          <cell r="B137">
            <v>134</v>
          </cell>
          <cell r="C137" t="str">
            <v>Стеклотекстолит фольгированный МИ1222.9-2-50-1.0 1кл.</v>
          </cell>
          <cell r="D137" t="str">
            <v>Стеклотекстолит фольг. МИ1222.9-2-50-1.0 1кл.</v>
          </cell>
          <cell r="E137">
            <v>0.36099999999999999</v>
          </cell>
          <cell r="F137">
            <v>435</v>
          </cell>
          <cell r="G137" t="str">
            <v>1722 от 30.11.2010 (1722)</v>
          </cell>
          <cell r="I137">
            <v>0</v>
          </cell>
        </row>
        <row r="138">
          <cell r="A138" t="str">
            <v>Стеклотекстолит фольг. МИ1222.9-2-50-1.5 1кл.</v>
          </cell>
          <cell r="B138">
            <v>135</v>
          </cell>
          <cell r="C138" t="str">
            <v>Стеклотекстолит фольгированный МИ1222.9-2-50-1.5 1кл</v>
          </cell>
          <cell r="D138" t="str">
            <v>Стеклотекстолит фольг. МИ1222.9-2-50-1.5 1кл.</v>
          </cell>
          <cell r="E138">
            <v>0.25</v>
          </cell>
          <cell r="F138">
            <v>951</v>
          </cell>
          <cell r="G138" t="str">
            <v>209 от 14.03.2018 (209)</v>
          </cell>
          <cell r="H138" t="str">
            <v>ООО "БАЛТПРОМИЗОЛИТ"</v>
          </cell>
          <cell r="I138">
            <v>0</v>
          </cell>
        </row>
        <row r="139">
          <cell r="A139" t="str">
            <v>Стеклотекстолит фольг. МИ1222.9-2-50-2.0 1кл</v>
          </cell>
          <cell r="B139">
            <v>136</v>
          </cell>
          <cell r="C139" t="str">
            <v>Стеклотекстолит фольгированный МИ1222.9-2-50-2.0 1кл</v>
          </cell>
          <cell r="D139" t="str">
            <v>Стеклотекстолит фольг. МИ1222.9-2-50-2.0 1кл</v>
          </cell>
          <cell r="E139">
            <v>0.22</v>
          </cell>
          <cell r="F139">
            <v>896</v>
          </cell>
          <cell r="G139" t="str">
            <v>338 от 17.03.2016 (338)</v>
          </cell>
          <cell r="H139" t="str">
            <v>ООО "БАЛТИЗОЛИТ"</v>
          </cell>
          <cell r="I139">
            <v>0</v>
          </cell>
        </row>
        <row r="140">
          <cell r="A140" t="str">
            <v>Стеклотекстолит фольг. СТФ-1-35-0.13 1кл.</v>
          </cell>
          <cell r="B140">
            <v>137</v>
          </cell>
          <cell r="C140" t="str">
            <v>Стеклотекстолит фольгированный СТФ-1-35-0.13 1кл.</v>
          </cell>
          <cell r="D140" t="str">
            <v>Стеклотекстолит фольг. СТФ-1-35-0.13 1кл.</v>
          </cell>
          <cell r="E140">
            <v>1.8109999999999999</v>
          </cell>
          <cell r="F140">
            <v>1590</v>
          </cell>
          <cell r="G140" t="str">
            <v>713 от 01.06.2010 (713)</v>
          </cell>
          <cell r="H140" t="str">
            <v>ООО "Торговый дом МолдавИзолит""</v>
          </cell>
          <cell r="I140">
            <v>0</v>
          </cell>
        </row>
        <row r="141">
          <cell r="A141" t="str">
            <v>Стеклотекстолит фольг. СТФ-1-35-0.2 1кл.</v>
          </cell>
          <cell r="B141">
            <v>138</v>
          </cell>
          <cell r="C141" t="str">
            <v>Стеклотекстолит фольгированный СТФ-1-35-0.2 1кл.</v>
          </cell>
          <cell r="D141" t="str">
            <v>Стеклотекстолит фольг. СТФ-1-35-0.2 1кл.</v>
          </cell>
          <cell r="E141">
            <v>1.46</v>
          </cell>
          <cell r="F141">
            <v>1305</v>
          </cell>
          <cell r="G141" t="str">
            <v>408 от 28.08.2007 (408)</v>
          </cell>
          <cell r="H141" t="str">
            <v>ООО "Вектор-электроника"</v>
          </cell>
          <cell r="I141">
            <v>0</v>
          </cell>
        </row>
        <row r="142">
          <cell r="A142" t="str">
            <v>Стеклотекстолит фольг. СТФ-2-18-0.13 1кл.</v>
          </cell>
          <cell r="B142">
            <v>139</v>
          </cell>
          <cell r="C142" t="str">
            <v>Стеклотекстолит фольгированный СТФ2-18-0.13 1кл</v>
          </cell>
          <cell r="D142" t="str">
            <v>Стеклотекстолит фольг. СТФ-2-18-0.13 1кл.</v>
          </cell>
          <cell r="E142">
            <v>1.8149999999999999</v>
          </cell>
          <cell r="F142">
            <v>2640</v>
          </cell>
          <cell r="G142" t="str">
            <v>381 от 11.12.2014 (385)</v>
          </cell>
          <cell r="H142" t="str">
            <v>ООО "БАЛТИЗОЛИТ"</v>
          </cell>
          <cell r="I142">
            <v>0</v>
          </cell>
        </row>
        <row r="143">
          <cell r="A143" t="str">
            <v>Стеклотекстолит фольг. СТФ-2-18-0.13 1кл. "ОС"</v>
          </cell>
          <cell r="B143">
            <v>140</v>
          </cell>
          <cell r="C143" t="str">
            <v>Стеклотекстолит фольгированный СТФ2-18-0.13 1кл</v>
          </cell>
          <cell r="D143" t="str">
            <v>Стеклотекстолит фольг. СТФ-2-18-0.13 1кл. "ОС"</v>
          </cell>
          <cell r="E143">
            <v>1.8149999999999999</v>
          </cell>
          <cell r="F143">
            <v>2070</v>
          </cell>
          <cell r="G143" t="str">
            <v>381 от 11.12.2014 (385)</v>
          </cell>
          <cell r="H143" t="str">
            <v>ООО "БАЛТИЗОЛИТ"</v>
          </cell>
          <cell r="I143">
            <v>0</v>
          </cell>
        </row>
        <row r="144">
          <cell r="A144" t="str">
            <v>Стеклотекстолит фольг. СТФ-2-18-0.18 1кл.</v>
          </cell>
          <cell r="B144">
            <v>141</v>
          </cell>
          <cell r="C144" t="str">
            <v>Стеклотекстолит фольгированный СТФ2-18-0.18 1кл</v>
          </cell>
          <cell r="D144" t="str">
            <v>Стеклотекстолит фольг. СТФ-2-18-0.18 1кл.</v>
          </cell>
          <cell r="E144">
            <v>1.462</v>
          </cell>
          <cell r="F144">
            <v>3038.92</v>
          </cell>
          <cell r="G144" t="str">
            <v>206 от 14.03.2018 (206)</v>
          </cell>
          <cell r="H144" t="str">
            <v>ООО "БАЛТПРОМИЗОЛИТ"</v>
          </cell>
          <cell r="I144">
            <v>0</v>
          </cell>
        </row>
        <row r="145">
          <cell r="A145" t="str">
            <v>Стеклотекстолит фольг. СТФ-2-18-0.18 1кл. "ОС"</v>
          </cell>
          <cell r="B145">
            <v>142</v>
          </cell>
          <cell r="C145" t="str">
            <v>Стеклотекстолит фольгированный СТФ2-18-0.18 1кл</v>
          </cell>
          <cell r="D145" t="str">
            <v>Стеклотекстолит фольг. СТФ-2-18-0.18 1кл. "ОС"</v>
          </cell>
          <cell r="E145">
            <v>1.462</v>
          </cell>
          <cell r="F145">
            <v>1815</v>
          </cell>
          <cell r="G145" t="str">
            <v>383 от 08.04.2015 (384)</v>
          </cell>
          <cell r="H145" t="str">
            <v>ООО "БАЛТИЗОЛИТ"</v>
          </cell>
          <cell r="I145">
            <v>0</v>
          </cell>
        </row>
        <row r="146">
          <cell r="A146" t="str">
            <v>Стеклотекстолит фольг. СТФ-2-18-0.2 1кл</v>
          </cell>
          <cell r="B146">
            <v>143</v>
          </cell>
          <cell r="C146" t="str">
            <v>Стеклотекстолит фольгированный СТФ-2-18-0.2 1кл</v>
          </cell>
          <cell r="D146" t="str">
            <v>Стеклотекстолит фольг. СТФ-2-18-0.2 1кл</v>
          </cell>
          <cell r="E146">
            <v>1</v>
          </cell>
          <cell r="F146">
            <v>1860</v>
          </cell>
          <cell r="G146" t="str">
            <v>81 от 13.05.2013 (91)</v>
          </cell>
          <cell r="H146" t="str">
            <v>ООО "АльфаКом"</v>
          </cell>
          <cell r="I146">
            <v>0</v>
          </cell>
        </row>
        <row r="147">
          <cell r="A147" t="str">
            <v>Стеклотекстолит фольг. СТФ-2-35-0.1 1кл</v>
          </cell>
          <cell r="B147">
            <v>144</v>
          </cell>
          <cell r="C147" t="str">
            <v xml:space="preserve">Стеклотекстолит фольгированный СТФ2-35-0.1 1кл </v>
          </cell>
          <cell r="D147" t="str">
            <v>Стеклотекстолит фольг. СТФ-2-35-0.1 1кл</v>
          </cell>
          <cell r="E147">
            <v>1</v>
          </cell>
          <cell r="F147">
            <v>1840</v>
          </cell>
          <cell r="G147" t="str">
            <v>381 от 11.12.2014 (385)</v>
          </cell>
          <cell r="H147" t="str">
            <v>ООО "БАЛТИЗОЛИТ"</v>
          </cell>
          <cell r="I147">
            <v>0</v>
          </cell>
        </row>
        <row r="148">
          <cell r="A148" t="str">
            <v xml:space="preserve">Стеклотекстолит фольг. СТФ-2-35-0.13 1кл. </v>
          </cell>
          <cell r="B148">
            <v>145</v>
          </cell>
          <cell r="C148" t="str">
            <v xml:space="preserve">Стеклотекстолит фольгированный СТФ-2-35-0.13 1кл. </v>
          </cell>
          <cell r="D148" t="str">
            <v xml:space="preserve">Стеклотекстолит фольг. СТФ-2-35-0.13 1кл. </v>
          </cell>
          <cell r="E148">
            <v>1.167</v>
          </cell>
          <cell r="F148">
            <v>2690</v>
          </cell>
          <cell r="G148" t="str">
            <v>500 от 21.04.2016 (500)</v>
          </cell>
          <cell r="H148" t="str">
            <v>ООО "БАЛТИЗОЛИТ"</v>
          </cell>
          <cell r="I148">
            <v>0</v>
          </cell>
        </row>
        <row r="149">
          <cell r="A149" t="str">
            <v>Стеклотекстолит фольг. СТФ-2-35-0.2 1кл.</v>
          </cell>
          <cell r="B149">
            <v>146</v>
          </cell>
          <cell r="C149" t="str">
            <v>Стеклотекстолит фольгированный СТФ2-35-0.2 1кл</v>
          </cell>
          <cell r="D149" t="str">
            <v>Стеклотекстолит фольг. СТФ-2-35-0.2 1кл.</v>
          </cell>
          <cell r="E149">
            <v>1.462</v>
          </cell>
          <cell r="F149">
            <v>2000</v>
          </cell>
          <cell r="G149" t="str">
            <v>1041 от 02.12.2013 (1460)</v>
          </cell>
          <cell r="H149" t="str">
            <v>ООО "БАЛТИЗОЛИТ СПб"</v>
          </cell>
          <cell r="I149">
            <v>0</v>
          </cell>
        </row>
        <row r="150">
          <cell r="A150" t="str">
            <v>Стеклотекстолит фольг. СТФ-2-35-0.2 1кл. "ОС"</v>
          </cell>
          <cell r="B150">
            <v>147</v>
          </cell>
          <cell r="C150" t="str">
            <v>Стеклотекстолит фольгированный СТФ2-35-0.2 1кл</v>
          </cell>
          <cell r="D150" t="str">
            <v>Стеклотекстолит фольг. СТФ-2-35-0.2 1кл. "ОС"</v>
          </cell>
          <cell r="E150">
            <v>1.462</v>
          </cell>
          <cell r="F150">
            <v>1114</v>
          </cell>
          <cell r="G150" t="str">
            <v>738 от 11.05.2011 (738)</v>
          </cell>
          <cell r="H150" t="str">
            <v>ООО "Торговый дом МолдавИзолит""</v>
          </cell>
          <cell r="I150">
            <v>0</v>
          </cell>
        </row>
        <row r="151">
          <cell r="A151" t="str">
            <v>Стеклотекстолит фольг. СТФ-2-35-2.5 1кл.</v>
          </cell>
          <cell r="B151">
            <v>148</v>
          </cell>
          <cell r="C151" t="str">
            <v>Стеклотекстолит фольгированный СТФ-2-35-2.5 1кл.</v>
          </cell>
          <cell r="D151" t="str">
            <v>Стеклотекстолит фольг. СТФ-2-35-2.5 1кл.</v>
          </cell>
          <cell r="E151">
            <v>0.187</v>
          </cell>
          <cell r="F151">
            <v>435</v>
          </cell>
          <cell r="G151" t="str">
            <v>46 от 07.02.2008 (46)</v>
          </cell>
          <cell r="H151" t="str">
            <v>ООО "Вектор-электроника"</v>
          </cell>
          <cell r="I151">
            <v>0</v>
          </cell>
        </row>
        <row r="152">
          <cell r="A152" t="str">
            <v>Стеклотекстолит фольг. СТФ-2-35-3.0 1кл.</v>
          </cell>
          <cell r="B152">
            <v>149</v>
          </cell>
          <cell r="C152" t="str">
            <v>Стеклотекстолит фольгированный СТФ-2-35-3.0 1кл.</v>
          </cell>
          <cell r="D152" t="str">
            <v>Стеклотекстолит фольг. СТФ-2-35-3.0 1кл.</v>
          </cell>
          <cell r="E152">
            <v>0.158</v>
          </cell>
          <cell r="F152">
            <v>398</v>
          </cell>
          <cell r="G152" t="str">
            <v>108 от 25.06.2007 (108)</v>
          </cell>
          <cell r="H152" t="str">
            <v>ООО "Гравит"</v>
          </cell>
          <cell r="I152">
            <v>0</v>
          </cell>
        </row>
        <row r="153">
          <cell r="A153" t="str">
            <v>Стеклотекстолит фольг. СТФ-2-50-2.0 1кл.</v>
          </cell>
          <cell r="B153">
            <v>150</v>
          </cell>
          <cell r="C153" t="str">
            <v>Стеклотекстолит фольгированный СТФ-2-50-2.0 1кл.</v>
          </cell>
          <cell r="D153" t="str">
            <v>Стеклотекстолит фольг. СТФ-2-50-2.0 1кл.</v>
          </cell>
          <cell r="E153">
            <v>0.214</v>
          </cell>
          <cell r="F153">
            <v>413</v>
          </cell>
          <cell r="I153">
            <v>0</v>
          </cell>
        </row>
        <row r="154">
          <cell r="A154" t="str">
            <v>Стеклотекстолит электротехн. СТЭФ-1 вс 3.0</v>
          </cell>
          <cell r="B154">
            <v>151</v>
          </cell>
          <cell r="C154" t="str">
            <v>Стеклотекстолит электротехнический СТЭФ-1 вс 3.0</v>
          </cell>
          <cell r="D154" t="str">
            <v>Стеклотекстолит электротехн. СТЭФ-1 вс 3.0</v>
          </cell>
          <cell r="E154">
            <v>1</v>
          </cell>
          <cell r="F154">
            <v>449</v>
          </cell>
          <cell r="G154" t="str">
            <v>1068 от 06.10.2015 (1068)</v>
          </cell>
          <cell r="H154" t="str">
            <v>ООО "БАЛТИЗОЛИТ"</v>
          </cell>
          <cell r="I154">
            <v>429</v>
          </cell>
        </row>
        <row r="155">
          <cell r="A155" t="str">
            <v>Стеклоткань прокладочная DE 104ML 1080 AT01</v>
          </cell>
          <cell r="B155">
            <v>152</v>
          </cell>
          <cell r="C155" t="str">
            <v>Стеклоткань прокладочная DE104ML 1080 AT01</v>
          </cell>
          <cell r="D155" t="str">
            <v>Стеклоткань прокладочная DE 104ML 1080 AT01</v>
          </cell>
          <cell r="E155" t="str">
            <v>м2</v>
          </cell>
          <cell r="F155">
            <v>385.55</v>
          </cell>
          <cell r="G155" t="str">
            <v>spb018090505 от 05.09.2018 (0180905005)</v>
          </cell>
          <cell r="H155" t="str">
            <v>ООО "Петрокоммерц"</v>
          </cell>
          <cell r="I155">
            <v>355.61</v>
          </cell>
        </row>
        <row r="156">
          <cell r="A156" t="str">
            <v>Стеклоткань прокладочная RO4450B 0.091</v>
          </cell>
          <cell r="B156">
            <v>153</v>
          </cell>
          <cell r="C156" t="str">
            <v>Стеклоткань прокладочная RO4450B 0.091</v>
          </cell>
          <cell r="D156" t="str">
            <v>Стеклоткань прокладочная RO4450B 0.091</v>
          </cell>
          <cell r="E156" t="str">
            <v>м2</v>
          </cell>
          <cell r="F156">
            <v>7052.41</v>
          </cell>
          <cell r="G156" t="str">
            <v>254 от 08.06.2016 (482)</v>
          </cell>
          <cell r="H156" t="str">
            <v>ООО "ЭлекТрейд-М"</v>
          </cell>
          <cell r="I156">
            <v>0</v>
          </cell>
        </row>
        <row r="157">
          <cell r="A157" t="str">
            <v>Стеклоткань прокладочная СТП-4 0,062</v>
          </cell>
          <cell r="B157">
            <v>154</v>
          </cell>
          <cell r="C157" t="str">
            <v>Стеклоткань прокладочная СТП-4 0,062</v>
          </cell>
          <cell r="D157" t="str">
            <v>Стеклоткань прокладочная СТП-4 0,062</v>
          </cell>
          <cell r="E157" t="str">
            <v>м2</v>
          </cell>
          <cell r="F157">
            <v>304.20999999999998</v>
          </cell>
          <cell r="G157" t="str">
            <v>500 от 21.04.2016 (500)</v>
          </cell>
          <cell r="H157" t="str">
            <v>ООО "БАЛТИЗОЛИТ"</v>
          </cell>
          <cell r="I157">
            <v>0</v>
          </cell>
        </row>
        <row r="158">
          <cell r="A158" t="str">
            <v>СТФ2-18-0,18 1 кл</v>
          </cell>
          <cell r="B158">
            <v>155</v>
          </cell>
          <cell r="C158" t="str">
            <v>Стеклотекстолит фольгированный СТФ2-18-0.18 1кл</v>
          </cell>
          <cell r="D158" t="str">
            <v>СТФ2-18-0,18 1 кл</v>
          </cell>
          <cell r="E158" t="str">
            <v>м2</v>
          </cell>
          <cell r="F158">
            <v>1526.67</v>
          </cell>
          <cell r="I158">
            <v>0</v>
          </cell>
        </row>
        <row r="159">
          <cell r="A159" t="str">
            <v>СТФ2-18-0,2 1 кл</v>
          </cell>
          <cell r="B159">
            <v>156</v>
          </cell>
          <cell r="C159" t="str">
            <v>СТФ2-18-0.2 1 кл</v>
          </cell>
          <cell r="D159" t="str">
            <v>СТФ2-18-0,2 1 кл</v>
          </cell>
          <cell r="E159" t="str">
            <v>м2</v>
          </cell>
          <cell r="F159">
            <v>1498.3739999999998</v>
          </cell>
          <cell r="I159">
            <v>0</v>
          </cell>
        </row>
        <row r="160">
          <cell r="A160" t="str">
            <v>СТФ2-35-0,1 1 кл</v>
          </cell>
          <cell r="B160">
            <v>157</v>
          </cell>
          <cell r="C160" t="str">
            <v xml:space="preserve">Стеклотекстолит фольгированный СТФ2-35-0.1 1кл </v>
          </cell>
          <cell r="D160" t="str">
            <v>СТФ2-35-0,1 1 кл</v>
          </cell>
          <cell r="E160" t="str">
            <v>м2</v>
          </cell>
          <cell r="F160">
            <v>1866.3119999999999</v>
          </cell>
          <cell r="I160">
            <v>0</v>
          </cell>
        </row>
        <row r="161">
          <cell r="A161" t="str">
            <v>СТФ2-35-0,2 1 кл</v>
          </cell>
          <cell r="B161">
            <v>158</v>
          </cell>
          <cell r="C161" t="str">
            <v>Стеклотекстолит фольгированный СТФ2-35-0.2 1кл</v>
          </cell>
          <cell r="D161" t="str">
            <v>СТФ2-35-0,2 1 кл</v>
          </cell>
          <cell r="E161" t="str">
            <v>м2</v>
          </cell>
          <cell r="F161">
            <v>2209.6799999999998</v>
          </cell>
          <cell r="I161">
            <v>0</v>
          </cell>
        </row>
        <row r="162">
          <cell r="A162" t="str">
            <v>СТФ2-35-0,25 1 кл</v>
          </cell>
          <cell r="B162">
            <v>159</v>
          </cell>
          <cell r="C162" t="str">
            <v>СТФ2-35-0,25 1 кл</v>
          </cell>
          <cell r="D162" t="str">
            <v>СТФ2-35-0,25 1 кл</v>
          </cell>
          <cell r="E162" t="str">
            <v>м2</v>
          </cell>
          <cell r="F162">
            <v>2016</v>
          </cell>
          <cell r="I162">
            <v>0</v>
          </cell>
        </row>
        <row r="163">
          <cell r="A163" t="str">
            <v>Сумка ПНД</v>
          </cell>
          <cell r="B163">
            <v>160</v>
          </cell>
          <cell r="C163" t="str">
            <v>Сумка ПНД</v>
          </cell>
          <cell r="D163" t="str">
            <v>Сумка ПНД</v>
          </cell>
          <cell r="E163" t="str">
            <v>шт</v>
          </cell>
          <cell r="F163">
            <v>3.38</v>
          </cell>
          <cell r="G163" t="str">
            <v>236 от 30.11.2015</v>
          </cell>
          <cell r="H163" t="str">
            <v>ООО "Расма"</v>
          </cell>
          <cell r="I163">
            <v>1.63</v>
          </cell>
        </row>
        <row r="164">
          <cell r="A164" t="str">
            <v>Тринатрийфосфат</v>
          </cell>
          <cell r="B164">
            <v>161</v>
          </cell>
          <cell r="C164" t="str">
            <v>Тринатрийфосфат</v>
          </cell>
          <cell r="D164" t="str">
            <v>Тринатрийфосфат</v>
          </cell>
          <cell r="E164" t="str">
            <v>кг</v>
          </cell>
          <cell r="F164">
            <v>88.8</v>
          </cell>
          <cell r="G164" t="str">
            <v>645 от 04.07.2018 (645)</v>
          </cell>
          <cell r="H164" t="str">
            <v>ООО "БАЛТПРОМИЗОЛИТ "</v>
          </cell>
          <cell r="I164">
            <v>62.21</v>
          </cell>
        </row>
        <row r="165">
          <cell r="A165" t="str">
            <v>Фиксаж KODAK 3000</v>
          </cell>
          <cell r="B165">
            <v>162</v>
          </cell>
          <cell r="C165" t="str">
            <v>Фиксаж KODAK</v>
          </cell>
          <cell r="D165" t="str">
            <v>Фиксаж KODAK 3000</v>
          </cell>
          <cell r="E165" t="str">
            <v>кг</v>
          </cell>
          <cell r="F165">
            <v>271.97000000000003</v>
          </cell>
          <cell r="G165" t="str">
            <v>1015 от 08.08.2016 (1015)</v>
          </cell>
          <cell r="H165" t="str">
            <v>ООО "БАЛТИЗОЛИТ"</v>
          </cell>
          <cell r="I165">
            <v>226.72</v>
          </cell>
        </row>
        <row r="166">
          <cell r="A166" t="str">
            <v>Флюс</v>
          </cell>
          <cell r="B166">
            <v>163</v>
          </cell>
          <cell r="C166" t="str">
            <v>Флюс</v>
          </cell>
          <cell r="D166" t="str">
            <v>Флюс</v>
          </cell>
          <cell r="E166" t="str">
            <v>кг</v>
          </cell>
          <cell r="F166">
            <v>609.95000000000005</v>
          </cell>
          <cell r="G166" t="str">
            <v>4990065865 от 12.09.2018 (500014753)</v>
          </cell>
          <cell r="H166" t="str">
            <v>АО "Омиа Алгол Рус"</v>
          </cell>
          <cell r="I166">
            <v>729.09</v>
          </cell>
        </row>
        <row r="167">
          <cell r="A167" t="str">
            <v>Фольга медная 70 мкм</v>
          </cell>
          <cell r="B167">
            <v>164</v>
          </cell>
          <cell r="C167" t="str">
            <v>Фольга медная 70 мкм</v>
          </cell>
          <cell r="D167" t="str">
            <v>Фольга медная 70 мкм</v>
          </cell>
          <cell r="E167" t="str">
            <v>м2</v>
          </cell>
          <cell r="F167">
            <v>1461.48</v>
          </cell>
          <cell r="G167" t="str">
            <v>spb14112503 от 25.11.2014 (spb141125003)</v>
          </cell>
          <cell r="H167" t="str">
            <v>ООО "Петрокоммерц"</v>
          </cell>
          <cell r="I167">
            <v>0</v>
          </cell>
        </row>
        <row r="168">
          <cell r="A168" t="str">
            <v>Фотоплёнка KODAK ARD-7</v>
          </cell>
          <cell r="B168">
            <v>165</v>
          </cell>
          <cell r="C168" t="str">
            <v>Фотопленка KODAK APR-7</v>
          </cell>
          <cell r="D168" t="str">
            <v>Фотоплёнка KODAK ARD-7</v>
          </cell>
          <cell r="E168" t="str">
            <v>м2</v>
          </cell>
          <cell r="F168">
            <v>1091.94</v>
          </cell>
          <cell r="G168" t="str">
            <v>762 от 09.08.2018 (762)</v>
          </cell>
          <cell r="H168" t="str">
            <v>ООО "БАЛТПРОМИЗОЛИТ "</v>
          </cell>
          <cell r="I168">
            <v>1018.19</v>
          </cell>
        </row>
        <row r="169">
          <cell r="A169" t="str">
            <v>Фоторезист Riston 40мкм</v>
          </cell>
          <cell r="B169">
            <v>166</v>
          </cell>
          <cell r="C169" t="str">
            <v>Фоторезист сухой пленочный 40 мкм</v>
          </cell>
          <cell r="D169" t="str">
            <v>Фоторезист Riston 40мкм</v>
          </cell>
          <cell r="E169" t="str">
            <v>м2</v>
          </cell>
          <cell r="F169" t="str">
            <v>204.45</v>
          </cell>
          <cell r="G169" t="str">
            <v>623 от 05.09.2018 (623)</v>
          </cell>
          <cell r="H169" t="str">
            <v>ООО "Торговый дом Абсолют"</v>
          </cell>
          <cell r="I169">
            <v>140.52000000000001</v>
          </cell>
        </row>
        <row r="170">
          <cell r="A170" t="str">
            <v>Фоторезист Riston 50мкм</v>
          </cell>
          <cell r="B170">
            <v>167</v>
          </cell>
          <cell r="C170" t="str">
            <v>Фоторезист сухой пленочный 50 мкм</v>
          </cell>
          <cell r="D170" t="str">
            <v>Фоторезист Riston 50мкм</v>
          </cell>
          <cell r="E170" t="str">
            <v>м2</v>
          </cell>
          <cell r="F170">
            <v>211.8</v>
          </cell>
          <cell r="G170" t="str">
            <v>623 от 05.09.2018 (623)</v>
          </cell>
          <cell r="H170" t="str">
            <v>ООО "Торговый дом Абсолют"</v>
          </cell>
          <cell r="I170">
            <v>209.03</v>
          </cell>
        </row>
        <row r="171">
          <cell r="A171" t="str">
            <v>Фреза твердосплавная</v>
          </cell>
          <cell r="B171">
            <v>168</v>
          </cell>
          <cell r="C171" t="str">
            <v>Фреза твердосплавная, м/шт</v>
          </cell>
          <cell r="D171" t="str">
            <v>Фреза твердосплавная</v>
          </cell>
          <cell r="E171" t="str">
            <v>шт</v>
          </cell>
          <cell r="F171">
            <v>160</v>
          </cell>
          <cell r="G171" t="str">
            <v>1304 от 1.12.2015</v>
          </cell>
          <cell r="H171" t="str">
            <v>ООО "БАЛТИЗОЛИТ"</v>
          </cell>
          <cell r="I171">
            <v>0</v>
          </cell>
        </row>
        <row r="172">
          <cell r="A172">
            <v>0</v>
          </cell>
          <cell r="B172">
            <v>169</v>
          </cell>
        </row>
        <row r="173">
          <cell r="A173">
            <v>0</v>
          </cell>
          <cell r="B173">
            <v>170</v>
          </cell>
        </row>
        <row r="174">
          <cell r="A174">
            <v>0</v>
          </cell>
          <cell r="B174">
            <v>171</v>
          </cell>
        </row>
        <row r="175">
          <cell r="A175">
            <v>0</v>
          </cell>
          <cell r="B175">
            <v>172</v>
          </cell>
        </row>
        <row r="176">
          <cell r="A176">
            <v>0</v>
          </cell>
          <cell r="B176">
            <v>173</v>
          </cell>
        </row>
        <row r="177">
          <cell r="A177">
            <v>0</v>
          </cell>
          <cell r="B177">
            <v>174</v>
          </cell>
        </row>
        <row r="178">
          <cell r="A178">
            <v>0</v>
          </cell>
          <cell r="B178">
            <v>175</v>
          </cell>
        </row>
        <row r="179">
          <cell r="A179">
            <v>0</v>
          </cell>
          <cell r="B179">
            <v>176</v>
          </cell>
        </row>
        <row r="180">
          <cell r="A180">
            <v>0</v>
          </cell>
          <cell r="B180">
            <v>177</v>
          </cell>
        </row>
        <row r="181">
          <cell r="A181">
            <v>0</v>
          </cell>
          <cell r="B181">
            <v>178</v>
          </cell>
        </row>
        <row r="182">
          <cell r="A182">
            <v>0</v>
          </cell>
          <cell r="B182">
            <v>179</v>
          </cell>
        </row>
        <row r="183">
          <cell r="A183">
            <v>0</v>
          </cell>
          <cell r="B183">
            <v>180</v>
          </cell>
        </row>
        <row r="184">
          <cell r="A184">
            <v>0</v>
          </cell>
          <cell r="B184">
            <v>181</v>
          </cell>
        </row>
        <row r="185">
          <cell r="A185">
            <v>0</v>
          </cell>
          <cell r="B185">
            <v>182</v>
          </cell>
        </row>
        <row r="186">
          <cell r="A186">
            <v>0</v>
          </cell>
          <cell r="B186">
            <v>183</v>
          </cell>
        </row>
        <row r="187">
          <cell r="A187">
            <v>0</v>
          </cell>
          <cell r="B187">
            <v>184</v>
          </cell>
        </row>
        <row r="188">
          <cell r="A188">
            <v>0</v>
          </cell>
          <cell r="B188">
            <v>185</v>
          </cell>
        </row>
        <row r="189">
          <cell r="A189">
            <v>0</v>
          </cell>
          <cell r="B189">
            <v>186</v>
          </cell>
        </row>
        <row r="190">
          <cell r="A190">
            <v>0</v>
          </cell>
          <cell r="B190">
            <v>187</v>
          </cell>
        </row>
        <row r="191">
          <cell r="A191">
            <v>0</v>
          </cell>
          <cell r="B191">
            <v>188</v>
          </cell>
        </row>
        <row r="192">
          <cell r="A192">
            <v>0</v>
          </cell>
          <cell r="B192">
            <v>189</v>
          </cell>
        </row>
        <row r="193">
          <cell r="A193">
            <v>0</v>
          </cell>
          <cell r="B193">
            <v>190</v>
          </cell>
        </row>
        <row r="194">
          <cell r="A194">
            <v>0</v>
          </cell>
          <cell r="B194">
            <v>191</v>
          </cell>
        </row>
        <row r="195">
          <cell r="A195">
            <v>0</v>
          </cell>
          <cell r="B195">
            <v>192</v>
          </cell>
        </row>
        <row r="196">
          <cell r="A196">
            <v>0</v>
          </cell>
          <cell r="B196">
            <v>193</v>
          </cell>
        </row>
        <row r="197">
          <cell r="A197">
            <v>0</v>
          </cell>
          <cell r="B197">
            <v>194</v>
          </cell>
        </row>
        <row r="198">
          <cell r="A198">
            <v>0</v>
          </cell>
          <cell r="B198">
            <v>195</v>
          </cell>
        </row>
        <row r="199">
          <cell r="A199">
            <v>0</v>
          </cell>
          <cell r="B199">
            <v>196</v>
          </cell>
        </row>
        <row r="200">
          <cell r="A200">
            <v>0</v>
          </cell>
          <cell r="B200">
            <v>197</v>
          </cell>
        </row>
        <row r="201">
          <cell r="A201">
            <v>0</v>
          </cell>
          <cell r="B201">
            <v>198</v>
          </cell>
        </row>
        <row r="202">
          <cell r="A202">
            <v>0</v>
          </cell>
          <cell r="B202">
            <v>199</v>
          </cell>
        </row>
        <row r="203">
          <cell r="A203">
            <v>0</v>
          </cell>
          <cell r="B203">
            <v>200</v>
          </cell>
        </row>
        <row r="204">
          <cell r="A204">
            <v>0</v>
          </cell>
          <cell r="B204">
            <v>201</v>
          </cell>
        </row>
        <row r="205">
          <cell r="A205">
            <v>0</v>
          </cell>
          <cell r="B205">
            <v>202</v>
          </cell>
        </row>
        <row r="206">
          <cell r="A206">
            <v>0</v>
          </cell>
          <cell r="B206">
            <v>203</v>
          </cell>
        </row>
        <row r="207">
          <cell r="A207">
            <v>0</v>
          </cell>
          <cell r="B207">
            <v>204</v>
          </cell>
        </row>
        <row r="208">
          <cell r="A208">
            <v>0</v>
          </cell>
          <cell r="B208">
            <v>205</v>
          </cell>
        </row>
        <row r="209">
          <cell r="A209">
            <v>0</v>
          </cell>
          <cell r="B209">
            <v>206</v>
          </cell>
        </row>
        <row r="210">
          <cell r="A210">
            <v>0</v>
          </cell>
          <cell r="B210">
            <v>207</v>
          </cell>
        </row>
        <row r="211">
          <cell r="A211">
            <v>0</v>
          </cell>
          <cell r="B211">
            <v>208</v>
          </cell>
        </row>
        <row r="212">
          <cell r="A212">
            <v>0</v>
          </cell>
          <cell r="B212">
            <v>209</v>
          </cell>
        </row>
        <row r="213">
          <cell r="A213">
            <v>0</v>
          </cell>
          <cell r="B213">
            <v>210</v>
          </cell>
        </row>
        <row r="214">
          <cell r="A214">
            <v>0</v>
          </cell>
          <cell r="B214">
            <v>211</v>
          </cell>
        </row>
        <row r="215">
          <cell r="A215">
            <v>0</v>
          </cell>
          <cell r="B215">
            <v>212</v>
          </cell>
        </row>
        <row r="216">
          <cell r="A216">
            <v>0</v>
          </cell>
          <cell r="B216">
            <v>213</v>
          </cell>
        </row>
        <row r="217">
          <cell r="A217">
            <v>0</v>
          </cell>
          <cell r="B217">
            <v>214</v>
          </cell>
        </row>
        <row r="218">
          <cell r="A218">
            <v>0</v>
          </cell>
          <cell r="B218">
            <v>215</v>
          </cell>
        </row>
        <row r="219">
          <cell r="A219">
            <v>0</v>
          </cell>
          <cell r="B219">
            <v>216</v>
          </cell>
        </row>
        <row r="220">
          <cell r="A220">
            <v>0</v>
          </cell>
          <cell r="B220">
            <v>217</v>
          </cell>
        </row>
        <row r="221">
          <cell r="A221">
            <v>0</v>
          </cell>
          <cell r="B221">
            <v>218</v>
          </cell>
        </row>
        <row r="222">
          <cell r="A222">
            <v>0</v>
          </cell>
          <cell r="B222">
            <v>219</v>
          </cell>
        </row>
        <row r="223">
          <cell r="A223">
            <v>0</v>
          </cell>
          <cell r="B223">
            <v>220</v>
          </cell>
        </row>
        <row r="224">
          <cell r="A224">
            <v>0</v>
          </cell>
          <cell r="B224">
            <v>221</v>
          </cell>
        </row>
        <row r="225">
          <cell r="A225">
            <v>0</v>
          </cell>
          <cell r="B225">
            <v>222</v>
          </cell>
        </row>
        <row r="226">
          <cell r="A226">
            <v>0</v>
          </cell>
          <cell r="B226">
            <v>223</v>
          </cell>
        </row>
        <row r="227">
          <cell r="A227">
            <v>0</v>
          </cell>
          <cell r="B227">
            <v>224</v>
          </cell>
        </row>
        <row r="228">
          <cell r="A228">
            <v>0</v>
          </cell>
          <cell r="B228">
            <v>225</v>
          </cell>
        </row>
        <row r="229">
          <cell r="A229">
            <v>0</v>
          </cell>
          <cell r="B229">
            <v>226</v>
          </cell>
        </row>
        <row r="230">
          <cell r="A230">
            <v>0</v>
          </cell>
          <cell r="B230">
            <v>227</v>
          </cell>
        </row>
        <row r="231">
          <cell r="A231">
            <v>0</v>
          </cell>
          <cell r="B231">
            <v>228</v>
          </cell>
        </row>
        <row r="232">
          <cell r="A232">
            <v>0</v>
          </cell>
          <cell r="B232">
            <v>229</v>
          </cell>
        </row>
        <row r="233">
          <cell r="A233">
            <v>0</v>
          </cell>
          <cell r="B233">
            <v>230</v>
          </cell>
        </row>
        <row r="234">
          <cell r="A234">
            <v>0</v>
          </cell>
          <cell r="B234">
            <v>231</v>
          </cell>
        </row>
        <row r="235">
          <cell r="A235">
            <v>0</v>
          </cell>
          <cell r="B235">
            <v>232</v>
          </cell>
        </row>
        <row r="236">
          <cell r="A236">
            <v>0</v>
          </cell>
          <cell r="B236">
            <v>233</v>
          </cell>
        </row>
        <row r="237">
          <cell r="A237">
            <v>0</v>
          </cell>
          <cell r="B237">
            <v>234</v>
          </cell>
        </row>
        <row r="238">
          <cell r="A238">
            <v>0</v>
          </cell>
          <cell r="B238">
            <v>235</v>
          </cell>
        </row>
        <row r="239">
          <cell r="A239">
            <v>0</v>
          </cell>
          <cell r="B239">
            <v>236</v>
          </cell>
        </row>
        <row r="240">
          <cell r="A240">
            <v>0</v>
          </cell>
          <cell r="B240">
            <v>237</v>
          </cell>
        </row>
        <row r="241">
          <cell r="A241">
            <v>0</v>
          </cell>
          <cell r="B241">
            <v>238</v>
          </cell>
        </row>
        <row r="242">
          <cell r="A242">
            <v>0</v>
          </cell>
          <cell r="B242">
            <v>239</v>
          </cell>
        </row>
        <row r="243">
          <cell r="A243">
            <v>0</v>
          </cell>
          <cell r="B243">
            <v>240</v>
          </cell>
        </row>
        <row r="244">
          <cell r="A244">
            <v>0</v>
          </cell>
          <cell r="B244">
            <v>241</v>
          </cell>
        </row>
        <row r="245">
          <cell r="A245">
            <v>0</v>
          </cell>
          <cell r="B245">
            <v>242</v>
          </cell>
        </row>
        <row r="246">
          <cell r="A246">
            <v>0</v>
          </cell>
          <cell r="B246">
            <v>243</v>
          </cell>
        </row>
        <row r="247">
          <cell r="A247">
            <v>0</v>
          </cell>
          <cell r="B247">
            <v>244</v>
          </cell>
        </row>
        <row r="248">
          <cell r="A248">
            <v>0</v>
          </cell>
          <cell r="B248">
            <v>245</v>
          </cell>
        </row>
        <row r="249">
          <cell r="A249">
            <v>0</v>
          </cell>
          <cell r="B249">
            <v>246</v>
          </cell>
        </row>
        <row r="250">
          <cell r="A250">
            <v>0</v>
          </cell>
          <cell r="B250">
            <v>247</v>
          </cell>
        </row>
        <row r="251">
          <cell r="A251">
            <v>0</v>
          </cell>
          <cell r="B251">
            <v>248</v>
          </cell>
        </row>
        <row r="252">
          <cell r="A252">
            <v>0</v>
          </cell>
          <cell r="B252">
            <v>249</v>
          </cell>
        </row>
        <row r="253">
          <cell r="A253">
            <v>0</v>
          </cell>
          <cell r="B253">
            <v>250</v>
          </cell>
        </row>
        <row r="254">
          <cell r="A254">
            <v>0</v>
          </cell>
          <cell r="B254">
            <v>251</v>
          </cell>
        </row>
        <row r="255">
          <cell r="A255">
            <v>0</v>
          </cell>
          <cell r="B255">
            <v>252</v>
          </cell>
        </row>
        <row r="256">
          <cell r="A256">
            <v>0</v>
          </cell>
          <cell r="B256">
            <v>253</v>
          </cell>
        </row>
        <row r="257">
          <cell r="A257">
            <v>0</v>
          </cell>
          <cell r="B257">
            <v>254</v>
          </cell>
        </row>
        <row r="258">
          <cell r="A258">
            <v>0</v>
          </cell>
          <cell r="B258">
            <v>255</v>
          </cell>
        </row>
        <row r="259">
          <cell r="A259">
            <v>0</v>
          </cell>
          <cell r="B259">
            <v>256</v>
          </cell>
        </row>
        <row r="260">
          <cell r="A260">
            <v>0</v>
          </cell>
          <cell r="B260">
            <v>257</v>
          </cell>
        </row>
        <row r="261">
          <cell r="A261">
            <v>0</v>
          </cell>
          <cell r="B261">
            <v>258</v>
          </cell>
        </row>
        <row r="262">
          <cell r="A262">
            <v>0</v>
          </cell>
          <cell r="B262">
            <v>259</v>
          </cell>
        </row>
        <row r="263">
          <cell r="A263">
            <v>0</v>
          </cell>
          <cell r="B263">
            <v>260</v>
          </cell>
        </row>
        <row r="264">
          <cell r="A264">
            <v>0</v>
          </cell>
          <cell r="B264">
            <v>261</v>
          </cell>
        </row>
        <row r="265">
          <cell r="A265">
            <v>0</v>
          </cell>
          <cell r="B265">
            <v>262</v>
          </cell>
        </row>
        <row r="266">
          <cell r="A266">
            <v>0</v>
          </cell>
          <cell r="B266">
            <v>263</v>
          </cell>
        </row>
        <row r="267">
          <cell r="A267">
            <v>0</v>
          </cell>
          <cell r="B267">
            <v>264</v>
          </cell>
        </row>
        <row r="268">
          <cell r="A268">
            <v>0</v>
          </cell>
          <cell r="B268">
            <v>265</v>
          </cell>
        </row>
        <row r="269">
          <cell r="A269">
            <v>0</v>
          </cell>
          <cell r="B269">
            <v>266</v>
          </cell>
        </row>
        <row r="270">
          <cell r="A270">
            <v>0</v>
          </cell>
          <cell r="B270">
            <v>267</v>
          </cell>
        </row>
        <row r="271">
          <cell r="A271">
            <v>0</v>
          </cell>
          <cell r="B271">
            <v>268</v>
          </cell>
        </row>
        <row r="272">
          <cell r="A272">
            <v>0</v>
          </cell>
          <cell r="B272">
            <v>269</v>
          </cell>
        </row>
        <row r="273">
          <cell r="A273">
            <v>0</v>
          </cell>
          <cell r="B273">
            <v>270</v>
          </cell>
        </row>
        <row r="274">
          <cell r="A274">
            <v>0</v>
          </cell>
          <cell r="B274">
            <v>271</v>
          </cell>
        </row>
        <row r="275">
          <cell r="A275">
            <v>0</v>
          </cell>
          <cell r="B275">
            <v>272</v>
          </cell>
        </row>
        <row r="276">
          <cell r="A276">
            <v>0</v>
          </cell>
          <cell r="B276">
            <v>273</v>
          </cell>
        </row>
        <row r="277">
          <cell r="A277">
            <v>0</v>
          </cell>
          <cell r="B277">
            <v>274</v>
          </cell>
        </row>
        <row r="278">
          <cell r="A278">
            <v>0</v>
          </cell>
          <cell r="B278">
            <v>275</v>
          </cell>
        </row>
        <row r="279">
          <cell r="A279">
            <v>0</v>
          </cell>
          <cell r="B279">
            <v>276</v>
          </cell>
        </row>
        <row r="280">
          <cell r="A280">
            <v>0</v>
          </cell>
          <cell r="B280">
            <v>277</v>
          </cell>
        </row>
        <row r="281">
          <cell r="A281">
            <v>0</v>
          </cell>
          <cell r="B281">
            <v>278</v>
          </cell>
        </row>
        <row r="282">
          <cell r="A282">
            <v>0</v>
          </cell>
          <cell r="B282">
            <v>279</v>
          </cell>
        </row>
        <row r="283">
          <cell r="A283">
            <v>0</v>
          </cell>
          <cell r="B283">
            <v>280</v>
          </cell>
        </row>
        <row r="284">
          <cell r="A284">
            <v>0</v>
          </cell>
          <cell r="B284">
            <v>281</v>
          </cell>
        </row>
        <row r="285">
          <cell r="A285">
            <v>0</v>
          </cell>
          <cell r="B285">
            <v>282</v>
          </cell>
        </row>
        <row r="286">
          <cell r="A286">
            <v>0</v>
          </cell>
          <cell r="B286">
            <v>283</v>
          </cell>
        </row>
        <row r="287">
          <cell r="A287">
            <v>0</v>
          </cell>
          <cell r="B287">
            <v>284</v>
          </cell>
        </row>
        <row r="288">
          <cell r="A288">
            <v>0</v>
          </cell>
          <cell r="B288">
            <v>285</v>
          </cell>
        </row>
        <row r="289">
          <cell r="A289">
            <v>0</v>
          </cell>
          <cell r="B289">
            <v>286</v>
          </cell>
        </row>
        <row r="290">
          <cell r="A290">
            <v>0</v>
          </cell>
          <cell r="B290">
            <v>287</v>
          </cell>
        </row>
        <row r="291">
          <cell r="A291">
            <v>0</v>
          </cell>
          <cell r="B291">
            <v>288</v>
          </cell>
        </row>
        <row r="292">
          <cell r="A292">
            <v>0</v>
          </cell>
          <cell r="B292">
            <v>289</v>
          </cell>
        </row>
        <row r="293">
          <cell r="A293">
            <v>0</v>
          </cell>
          <cell r="B293">
            <v>290</v>
          </cell>
        </row>
        <row r="294">
          <cell r="A294">
            <v>0</v>
          </cell>
          <cell r="B294">
            <v>291</v>
          </cell>
        </row>
        <row r="295">
          <cell r="A295">
            <v>0</v>
          </cell>
          <cell r="B295">
            <v>292</v>
          </cell>
        </row>
        <row r="296">
          <cell r="A296">
            <v>0</v>
          </cell>
          <cell r="B296">
            <v>293</v>
          </cell>
        </row>
        <row r="297">
          <cell r="A297">
            <v>0</v>
          </cell>
          <cell r="B297">
            <v>294</v>
          </cell>
        </row>
        <row r="298">
          <cell r="A298">
            <v>0</v>
          </cell>
          <cell r="B298">
            <v>295</v>
          </cell>
        </row>
        <row r="299">
          <cell r="A299">
            <v>0</v>
          </cell>
          <cell r="B299">
            <v>296</v>
          </cell>
        </row>
        <row r="300">
          <cell r="A300">
            <v>0</v>
          </cell>
          <cell r="B300">
            <v>297</v>
          </cell>
        </row>
        <row r="301">
          <cell r="A301">
            <v>0</v>
          </cell>
          <cell r="B301">
            <v>298</v>
          </cell>
        </row>
        <row r="302">
          <cell r="A302">
            <v>0</v>
          </cell>
          <cell r="B302">
            <v>299</v>
          </cell>
        </row>
        <row r="303">
          <cell r="A303">
            <v>0</v>
          </cell>
          <cell r="B303">
            <v>300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P99"/>
  <sheetViews>
    <sheetView tabSelected="1" zoomScaleNormal="100" workbookViewId="0">
      <selection activeCell="Q7" sqref="Q7"/>
    </sheetView>
  </sheetViews>
  <sheetFormatPr defaultRowHeight="12.75" x14ac:dyDescent="0.2"/>
  <cols>
    <col min="1" max="1" width="3" customWidth="1"/>
    <col min="2" max="2" width="41.85546875" customWidth="1"/>
    <col min="3" max="3" width="13.42578125" customWidth="1"/>
    <col min="4" max="4" width="3.140625" customWidth="1"/>
    <col min="5" max="5" width="19.140625" customWidth="1"/>
    <col min="6" max="6" width="29.85546875" customWidth="1"/>
    <col min="7" max="7" width="12.85546875" customWidth="1"/>
    <col min="8" max="8" width="15.140625" customWidth="1"/>
    <col min="9" max="9" width="13.7109375" customWidth="1"/>
    <col min="10" max="10" width="7.140625" bestFit="1" customWidth="1"/>
    <col min="11" max="11" width="15.42578125" customWidth="1"/>
    <col min="12" max="15" width="6" customWidth="1"/>
    <col min="16" max="16" width="6.5703125" bestFit="1" customWidth="1"/>
  </cols>
  <sheetData>
    <row r="1" spans="2:16" x14ac:dyDescent="0.2">
      <c r="G1" s="54" t="s">
        <v>627</v>
      </c>
    </row>
    <row r="2" spans="2:16" x14ac:dyDescent="0.2">
      <c r="B2" s="577" t="s">
        <v>540</v>
      </c>
      <c r="C2" s="577"/>
      <c r="D2" s="577"/>
      <c r="E2" s="577"/>
      <c r="F2" s="577"/>
      <c r="G2" s="577"/>
    </row>
    <row r="3" spans="2:16" ht="12" customHeight="1" thickBot="1" x14ac:dyDescent="0.25">
      <c r="B3" s="577"/>
      <c r="C3" s="577"/>
      <c r="D3" s="577"/>
      <c r="E3" s="577"/>
      <c r="F3" s="577"/>
      <c r="G3" s="577"/>
    </row>
    <row r="4" spans="2:16" ht="15.75" customHeight="1" thickBot="1" x14ac:dyDescent="0.25">
      <c r="B4" s="101" t="s">
        <v>6</v>
      </c>
      <c r="C4" s="582" t="s">
        <v>6</v>
      </c>
      <c r="D4" s="582"/>
      <c r="E4" s="582"/>
      <c r="F4" s="582"/>
      <c r="G4" s="583"/>
    </row>
    <row r="5" spans="2:16" ht="13.5" thickBot="1" x14ac:dyDescent="0.25">
      <c r="B5" s="101" t="s">
        <v>7</v>
      </c>
      <c r="C5" s="584" t="s">
        <v>429</v>
      </c>
      <c r="D5" s="585"/>
      <c r="E5" s="586"/>
      <c r="F5" s="56" t="s">
        <v>558</v>
      </c>
      <c r="G5" s="44"/>
    </row>
    <row r="6" spans="2:16" ht="13.5" thickBot="1" x14ac:dyDescent="0.25">
      <c r="B6" s="12" t="s">
        <v>8</v>
      </c>
      <c r="C6" s="587" t="s">
        <v>430</v>
      </c>
      <c r="D6" s="588"/>
      <c r="E6" s="588"/>
      <c r="F6" s="589"/>
      <c r="G6" s="13"/>
    </row>
    <row r="7" spans="2:16" ht="16.5" thickBot="1" x14ac:dyDescent="0.3">
      <c r="B7" s="12" t="s">
        <v>9</v>
      </c>
      <c r="C7" s="9">
        <v>145</v>
      </c>
      <c r="E7" s="575" t="s">
        <v>402</v>
      </c>
      <c r="F7" s="576"/>
      <c r="G7" s="15">
        <v>9</v>
      </c>
      <c r="I7" s="172">
        <f ca="1">Цена_одной_без_НДС</f>
        <v>3067</v>
      </c>
    </row>
    <row r="8" spans="2:16" ht="13.5" thickBot="1" x14ac:dyDescent="0.25">
      <c r="B8" s="12" t="s">
        <v>33</v>
      </c>
      <c r="C8" s="15">
        <v>1</v>
      </c>
      <c r="D8" s="8"/>
      <c r="E8" s="590" t="s">
        <v>401</v>
      </c>
      <c r="F8" s="591"/>
      <c r="G8" s="98">
        <v>0</v>
      </c>
    </row>
    <row r="9" spans="2:16" ht="13.5" thickBot="1" x14ac:dyDescent="0.25">
      <c r="B9" s="12" t="s">
        <v>34</v>
      </c>
      <c r="C9" s="45">
        <v>20</v>
      </c>
      <c r="D9" s="8"/>
      <c r="E9" s="574" t="s">
        <v>375</v>
      </c>
      <c r="F9" s="572"/>
      <c r="G9" s="99">
        <v>1.5</v>
      </c>
    </row>
    <row r="10" spans="2:16" ht="13.5" thickBot="1" x14ac:dyDescent="0.25">
      <c r="B10" s="12" t="s">
        <v>10</v>
      </c>
      <c r="C10" s="15">
        <v>3</v>
      </c>
      <c r="D10" s="8"/>
      <c r="E10" s="580" t="s">
        <v>505</v>
      </c>
      <c r="F10" s="581"/>
      <c r="G10" s="60" t="s">
        <v>506</v>
      </c>
      <c r="I10" s="572" t="s">
        <v>151</v>
      </c>
      <c r="J10" s="573"/>
      <c r="K10" s="573"/>
      <c r="L10" s="573"/>
      <c r="M10" s="573"/>
      <c r="N10" s="573"/>
      <c r="O10" s="573"/>
      <c r="P10" s="510">
        <f>IF(ISERROR(SEARCH("км",ТипМаски)),0,IF(ISERROR(SEARCH("2",СлоевМаски)),IF(ISERROR(SEARCH("1",СлоевМаски)),0,1),2))</f>
        <v>2</v>
      </c>
    </row>
    <row r="11" spans="2:16" ht="13.5" thickBot="1" x14ac:dyDescent="0.25">
      <c r="B11" s="12" t="s">
        <v>17</v>
      </c>
      <c r="C11" s="15">
        <v>4</v>
      </c>
      <c r="D11" s="8"/>
      <c r="E11" s="578" t="s">
        <v>507</v>
      </c>
      <c r="F11" s="579"/>
      <c r="G11" s="60" t="s">
        <v>508</v>
      </c>
      <c r="I11" s="572" t="s">
        <v>152</v>
      </c>
      <c r="J11" s="573"/>
      <c r="K11" s="573"/>
      <c r="L11" s="573"/>
      <c r="M11" s="573"/>
      <c r="N11" s="573"/>
      <c r="O11" s="573"/>
      <c r="P11" s="510">
        <f>IF(ISERROR(SEARCH("жм",ТипМаски)),0,IF(ISERROR(SEARCH("2",СлоевМаски)),IF(ISERROR(SEARCH("1",СлоевМаски)),0,1),2))</f>
        <v>2</v>
      </c>
    </row>
    <row r="12" spans="2:16" ht="13.5" thickBot="1" x14ac:dyDescent="0.25">
      <c r="B12" s="12" t="s">
        <v>428</v>
      </c>
      <c r="C12" s="15">
        <v>1</v>
      </c>
      <c r="D12" s="8"/>
      <c r="E12" s="574" t="s">
        <v>509</v>
      </c>
      <c r="F12" s="572"/>
      <c r="G12" s="60" t="s">
        <v>513</v>
      </c>
      <c r="I12" s="592" t="s">
        <v>510</v>
      </c>
      <c r="J12" s="593"/>
      <c r="K12" s="593"/>
      <c r="L12" s="593"/>
      <c r="M12" s="593"/>
      <c r="N12" s="593"/>
      <c r="O12" s="593"/>
      <c r="P12" s="510">
        <f>IF(ISERROR(SEARCH("2",marktype)),IF(ISERROR(SEARCH("1",marktype)),0,1),2)</f>
        <v>1</v>
      </c>
    </row>
    <row r="13" spans="2:16" ht="13.5" thickBot="1" x14ac:dyDescent="0.25">
      <c r="B13" s="23" t="s">
        <v>11</v>
      </c>
      <c r="C13" s="39">
        <v>0.38</v>
      </c>
      <c r="D13" s="8"/>
      <c r="E13" s="444" t="s">
        <v>148</v>
      </c>
      <c r="F13" s="67"/>
      <c r="G13" s="97">
        <v>1</v>
      </c>
      <c r="I13" s="581" t="s">
        <v>511</v>
      </c>
      <c r="J13" s="594"/>
      <c r="K13" s="594"/>
      <c r="L13" s="594"/>
      <c r="M13" s="594"/>
      <c r="N13" s="594"/>
      <c r="O13" s="595"/>
      <c r="P13" s="511">
        <f>IF(marktype=0,0,IF(NOT(ISERROR(SEARCH("pr",marktype))),2,IF(NOT(ISERROR(SEARCH("фм",marktype))),1,3)))</f>
        <v>2</v>
      </c>
    </row>
    <row r="14" spans="2:16" ht="13.5" thickBot="1" x14ac:dyDescent="0.25">
      <c r="B14" s="55" t="s">
        <v>12</v>
      </c>
      <c r="C14" s="39">
        <v>0.38</v>
      </c>
      <c r="D14" s="8"/>
      <c r="E14" s="574" t="s">
        <v>550</v>
      </c>
      <c r="F14" s="572"/>
      <c r="G14" s="15">
        <v>1</v>
      </c>
    </row>
    <row r="15" spans="2:16" ht="13.9" customHeight="1" thickBot="1" x14ac:dyDescent="0.25">
      <c r="B15" s="12" t="s">
        <v>24</v>
      </c>
      <c r="C15" s="17">
        <v>2.2999999999999998</v>
      </c>
      <c r="E15" s="574" t="s">
        <v>524</v>
      </c>
      <c r="F15" s="572"/>
      <c r="G15" s="92">
        <v>2</v>
      </c>
    </row>
    <row r="16" spans="2:16" ht="13.5" thickBot="1" x14ac:dyDescent="0.25">
      <c r="B16" s="22" t="s">
        <v>13</v>
      </c>
      <c r="C16" s="17">
        <v>3.95</v>
      </c>
      <c r="D16" s="8"/>
      <c r="E16" s="574" t="s">
        <v>149</v>
      </c>
      <c r="F16" s="572"/>
      <c r="G16" s="94">
        <v>1</v>
      </c>
      <c r="H16" t="s">
        <v>504</v>
      </c>
      <c r="I16" t="s">
        <v>497</v>
      </c>
      <c r="J16" t="s">
        <v>498</v>
      </c>
      <c r="K16" t="s">
        <v>499</v>
      </c>
      <c r="L16" t="s">
        <v>500</v>
      </c>
      <c r="M16" t="s">
        <v>501</v>
      </c>
      <c r="N16" t="s">
        <v>497</v>
      </c>
      <c r="O16" t="s">
        <v>502</v>
      </c>
      <c r="P16" t="s">
        <v>503</v>
      </c>
    </row>
    <row r="17" spans="2:16" ht="13.5" thickBot="1" x14ac:dyDescent="0.25">
      <c r="B17" s="12" t="s">
        <v>15</v>
      </c>
      <c r="C17" s="15">
        <v>3</v>
      </c>
      <c r="D17" s="8"/>
      <c r="E17" s="606" t="s">
        <v>546</v>
      </c>
      <c r="F17" s="607"/>
      <c r="G17" s="522" t="s">
        <v>548</v>
      </c>
      <c r="H17" s="62">
        <f>CEILING((Коэфстоиостизолота*колво_ламелей*Ширина_ламелей*Длина_ламелей/100+труёмзол1пл)*numbers*IF(колво_ламелей*1&gt;0,1,0),1)</f>
        <v>0</v>
      </c>
      <c r="I17" s="62">
        <f>LEN(ламели)</f>
        <v>9</v>
      </c>
      <c r="J17" s="62">
        <f>SEARCH(" ",ламели)</f>
        <v>2</v>
      </c>
      <c r="K17" s="62">
        <f>IF(ISERR(SEARCH("х",ламели)),SEARCH("x",ламели),SEARCH("х",ламели))</f>
        <v>6</v>
      </c>
      <c r="L17" s="62" t="str">
        <f>LEFT(ламели,J17)</f>
        <v xml:space="preserve">0 </v>
      </c>
      <c r="M17" s="62" t="str">
        <f>MID(ламели,J17,K17-J17)</f>
        <v xml:space="preserve"> 0.0</v>
      </c>
      <c r="N17" s="62" t="str">
        <f>RIGHT(ламели,I17-K17)</f>
        <v>0.0</v>
      </c>
      <c r="O17" s="521">
        <f>81.832/10000*калийдецианоауреат/1000/0.68</f>
        <v>1.5910066258823526E-2</v>
      </c>
      <c r="P17" s="521">
        <f>0.1833*Цнч</f>
        <v>126.96457799999999</v>
      </c>
    </row>
    <row r="18" spans="2:16" ht="13.9" customHeight="1" thickBot="1" x14ac:dyDescent="0.25">
      <c r="B18" s="12" t="s">
        <v>14</v>
      </c>
      <c r="C18" s="514">
        <f>CEILING(П/Плат_на_заготовке,1)</f>
        <v>49</v>
      </c>
      <c r="D18" s="8"/>
      <c r="E18" s="574" t="s">
        <v>153</v>
      </c>
      <c r="F18" s="572"/>
      <c r="G18" s="294">
        <v>0</v>
      </c>
    </row>
    <row r="19" spans="2:16" ht="13.9" customHeight="1" thickBot="1" x14ac:dyDescent="0.25">
      <c r="B19" s="100" t="s">
        <v>16</v>
      </c>
      <c r="C19" s="15">
        <v>2</v>
      </c>
      <c r="E19" s="608" t="s">
        <v>26</v>
      </c>
      <c r="F19" s="609"/>
      <c r="G19" s="498">
        <v>2</v>
      </c>
      <c r="H19" s="500" t="s">
        <v>470</v>
      </c>
      <c r="I19" s="499"/>
      <c r="J19" s="499"/>
      <c r="K19" s="499"/>
    </row>
    <row r="20" spans="2:16" ht="13.9" customHeight="1" thickBot="1" x14ac:dyDescent="0.25">
      <c r="B20" s="100" t="s">
        <v>55</v>
      </c>
      <c r="C20" s="15">
        <v>9</v>
      </c>
      <c r="E20" s="610" t="s">
        <v>471</v>
      </c>
      <c r="F20" s="611"/>
      <c r="G20" s="493">
        <v>1</v>
      </c>
      <c r="H20" s="497"/>
      <c r="I20" s="499"/>
      <c r="J20" s="499"/>
      <c r="K20" s="499"/>
    </row>
    <row r="21" spans="2:16" ht="13.9" customHeight="1" thickBot="1" x14ac:dyDescent="0.25">
      <c r="B21" s="100" t="s">
        <v>56</v>
      </c>
      <c r="C21" s="98">
        <v>0</v>
      </c>
      <c r="E21" s="603" t="s">
        <v>472</v>
      </c>
      <c r="F21" s="592"/>
      <c r="G21" s="60">
        <v>600</v>
      </c>
    </row>
    <row r="22" spans="2:16" ht="13.9" customHeight="1" thickBot="1" x14ac:dyDescent="0.25">
      <c r="B22" s="67" t="s">
        <v>154</v>
      </c>
      <c r="C22" s="96">
        <v>1000</v>
      </c>
      <c r="E22" s="604" t="s">
        <v>404</v>
      </c>
      <c r="F22" s="605"/>
      <c r="G22" s="118">
        <v>1</v>
      </c>
    </row>
    <row r="23" spans="2:16" ht="13.5" thickBot="1" x14ac:dyDescent="0.25">
      <c r="B23" s="67" t="s">
        <v>150</v>
      </c>
      <c r="C23" s="96">
        <v>2000</v>
      </c>
      <c r="E23" s="603" t="s">
        <v>57</v>
      </c>
      <c r="F23" s="592"/>
      <c r="G23" s="17">
        <v>2</v>
      </c>
    </row>
    <row r="24" spans="2:16" ht="13.5" thickBot="1" x14ac:dyDescent="0.25">
      <c r="B24" s="443"/>
      <c r="C24" s="477">
        <v>9</v>
      </c>
      <c r="D24" s="478">
        <v>1</v>
      </c>
      <c r="E24" s="599" t="s">
        <v>380</v>
      </c>
      <c r="F24" s="600"/>
      <c r="G24" s="515">
        <f>CEILING(Количество_слоев/2,1)</f>
        <v>2</v>
      </c>
    </row>
    <row r="25" spans="2:16" hidden="1" x14ac:dyDescent="0.2">
      <c r="E25" s="305"/>
      <c r="F25" s="305"/>
      <c r="G25" s="306"/>
    </row>
    <row r="26" spans="2:16" hidden="1" x14ac:dyDescent="0.2">
      <c r="E26" s="305"/>
      <c r="F26" s="305"/>
      <c r="G26" s="306"/>
    </row>
    <row r="27" spans="2:16" hidden="1" x14ac:dyDescent="0.2">
      <c r="E27" s="305"/>
      <c r="F27" s="305"/>
      <c r="G27" s="306"/>
    </row>
    <row r="28" spans="2:16" hidden="1" x14ac:dyDescent="0.2">
      <c r="E28" s="305"/>
      <c r="F28" s="305"/>
      <c r="G28" s="306"/>
    </row>
    <row r="29" spans="2:16" hidden="1" x14ac:dyDescent="0.2">
      <c r="E29" s="305"/>
      <c r="F29" s="305"/>
      <c r="G29" s="306"/>
    </row>
    <row r="30" spans="2:16" hidden="1" x14ac:dyDescent="0.2">
      <c r="E30" s="305"/>
      <c r="F30" s="305"/>
      <c r="G30" s="306"/>
    </row>
    <row r="31" spans="2:16" hidden="1" x14ac:dyDescent="0.2">
      <c r="E31" s="305"/>
      <c r="F31" s="305"/>
      <c r="G31" s="306"/>
    </row>
    <row r="32" spans="2:16" hidden="1" x14ac:dyDescent="0.2">
      <c r="E32" s="305"/>
      <c r="F32" s="305"/>
      <c r="G32" s="306"/>
    </row>
    <row r="33" spans="2:9" hidden="1" x14ac:dyDescent="0.2">
      <c r="E33" s="305"/>
      <c r="F33" s="305"/>
      <c r="G33" s="306"/>
    </row>
    <row r="34" spans="2:9" hidden="1" x14ac:dyDescent="0.2">
      <c r="E34" s="305"/>
      <c r="F34" s="305"/>
      <c r="G34" s="306"/>
    </row>
    <row r="35" spans="2:9" hidden="1" x14ac:dyDescent="0.2">
      <c r="E35" s="305"/>
      <c r="F35" s="305"/>
      <c r="G35" s="306"/>
    </row>
    <row r="36" spans="2:9" hidden="1" x14ac:dyDescent="0.2">
      <c r="E36" s="305"/>
      <c r="F36" s="305"/>
      <c r="G36" s="306"/>
    </row>
    <row r="37" spans="2:9" hidden="1" x14ac:dyDescent="0.2">
      <c r="E37" s="305"/>
      <c r="F37" s="305"/>
      <c r="G37" s="306"/>
    </row>
    <row r="38" spans="2:9" hidden="1" x14ac:dyDescent="0.2">
      <c r="E38" s="305"/>
      <c r="F38" s="305"/>
      <c r="G38" s="306"/>
    </row>
    <row r="39" spans="2:9" hidden="1" x14ac:dyDescent="0.2">
      <c r="E39" s="305"/>
      <c r="F39" s="305"/>
      <c r="G39" s="306"/>
    </row>
    <row r="40" spans="2:9" hidden="1" x14ac:dyDescent="0.2">
      <c r="E40" s="305"/>
      <c r="F40" s="305"/>
      <c r="G40" s="306"/>
    </row>
    <row r="41" spans="2:9" hidden="1" x14ac:dyDescent="0.2">
      <c r="E41" s="305"/>
      <c r="F41" s="305"/>
      <c r="G41" s="306"/>
    </row>
    <row r="42" spans="2:9" hidden="1" x14ac:dyDescent="0.2">
      <c r="E42" s="305"/>
      <c r="F42" s="305"/>
      <c r="G42" s="306"/>
    </row>
    <row r="43" spans="2:9" x14ac:dyDescent="0.2">
      <c r="B43" s="26"/>
      <c r="C43" s="27"/>
      <c r="D43" s="25"/>
      <c r="E43" s="68"/>
      <c r="F43" s="68"/>
      <c r="G43" s="69"/>
    </row>
    <row r="44" spans="2:9" x14ac:dyDescent="0.2">
      <c r="B44" s="70" t="s">
        <v>58</v>
      </c>
      <c r="C44" s="71">
        <f>VLOOKUP(N,Коэфф!A9:B40,2)</f>
        <v>1</v>
      </c>
      <c r="E44" s="617" t="s">
        <v>626</v>
      </c>
      <c r="F44" s="617"/>
      <c r="G44" s="618"/>
    </row>
    <row r="45" spans="2:9" x14ac:dyDescent="0.2">
      <c r="B45" s="23" t="s">
        <v>19</v>
      </c>
      <c r="C45" s="71">
        <f>IF(Первичное=1,VLOOKUP(Срок_изготовления,Коэфф!D28:E30,2),VLOOKUP(Срок_изготовления,Коэфф!G28:H30,2))</f>
        <v>1</v>
      </c>
      <c r="E45" s="619"/>
      <c r="F45" s="619"/>
      <c r="G45" s="620"/>
    </row>
    <row r="46" spans="2:9" x14ac:dyDescent="0.2">
      <c r="B46" s="117" t="s">
        <v>367</v>
      </c>
      <c r="C46" s="298">
        <f>VLOOKUP(Толщина_платы,Коэффициэнты_толщины,2)</f>
        <v>1</v>
      </c>
      <c r="E46" s="321" t="s">
        <v>59</v>
      </c>
      <c r="F46" s="37"/>
      <c r="G46" s="6">
        <v>242.67</v>
      </c>
    </row>
    <row r="47" spans="2:9" x14ac:dyDescent="0.2">
      <c r="B47" s="117" t="s">
        <v>368</v>
      </c>
      <c r="C47" s="298">
        <f>VLOOKUP(Класс_точности,Коэф_ты_выхода_годных,2)</f>
        <v>1.1000000000000001</v>
      </c>
      <c r="E47" s="321" t="s">
        <v>61</v>
      </c>
      <c r="F47" s="37"/>
      <c r="G47" s="7">
        <v>30.6</v>
      </c>
    </row>
    <row r="48" spans="2:9" x14ac:dyDescent="0.2">
      <c r="B48" s="72" t="s">
        <v>60</v>
      </c>
      <c r="C48" s="308">
        <f>1+0.1*(Класс_точности-2)</f>
        <v>1.1000000000000001</v>
      </c>
      <c r="D48" s="2"/>
      <c r="E48" s="321" t="s">
        <v>63</v>
      </c>
      <c r="F48" s="37"/>
      <c r="G48" s="6">
        <v>117.6</v>
      </c>
      <c r="I48">
        <f>Цнч</f>
        <v>692.66</v>
      </c>
    </row>
    <row r="49" spans="1:11" x14ac:dyDescent="0.2">
      <c r="B49" s="46" t="s">
        <v>62</v>
      </c>
      <c r="C49" s="4">
        <f>П*А1*В1</f>
        <v>20.938000000000002</v>
      </c>
      <c r="D49" s="2"/>
      <c r="E49" s="321" t="s">
        <v>65</v>
      </c>
      <c r="F49" s="37"/>
      <c r="G49" s="6">
        <v>15</v>
      </c>
    </row>
    <row r="50" spans="1:11" x14ac:dyDescent="0.2">
      <c r="B50" s="73" t="s">
        <v>64</v>
      </c>
      <c r="C50" s="7">
        <f>N*А*В</f>
        <v>445.16499999999996</v>
      </c>
      <c r="D50" s="2"/>
      <c r="E50" s="622" t="s">
        <v>609</v>
      </c>
      <c r="F50" s="623"/>
      <c r="G50" s="553">
        <v>1</v>
      </c>
    </row>
    <row r="51" spans="1:11" x14ac:dyDescent="0.2">
      <c r="B51" s="23" t="s">
        <v>366</v>
      </c>
      <c r="C51" s="295">
        <f>(А*В+А1*В1*Плат_на_заготовке)/2*N</f>
        <v>233.19589999999997</v>
      </c>
      <c r="D51" s="2"/>
      <c r="E51" s="621" t="s">
        <v>608</v>
      </c>
      <c r="F51" s="621"/>
      <c r="G51" s="7">
        <f>CEILING((ФОТнч+ФОТнч*Социальный_налог/100+Накладные_расходы*ФОТнч/100)*(1+G49/100),0.01)</f>
        <v>692.66</v>
      </c>
    </row>
    <row r="52" spans="1:11" x14ac:dyDescent="0.2">
      <c r="B52" s="38" t="s">
        <v>28</v>
      </c>
      <c r="C52" s="7">
        <f>(А1+В1)*2</f>
        <v>1.52</v>
      </c>
      <c r="D52" s="2"/>
      <c r="E52" s="235"/>
      <c r="F52" s="2"/>
      <c r="G52" s="8"/>
    </row>
    <row r="53" spans="1:11" x14ac:dyDescent="0.2">
      <c r="B53" s="38" t="s">
        <v>66</v>
      </c>
      <c r="C53" s="7">
        <f>(А+В)*2</f>
        <v>12.5</v>
      </c>
      <c r="D53" s="2"/>
      <c r="E53" s="235"/>
      <c r="F53" s="2"/>
      <c r="G53" s="8"/>
    </row>
    <row r="54" spans="1:11" x14ac:dyDescent="0.2">
      <c r="A54" s="21"/>
      <c r="D54" s="2"/>
    </row>
    <row r="55" spans="1:11" ht="13.5" customHeight="1" x14ac:dyDescent="0.25">
      <c r="A55" s="57"/>
      <c r="B55" s="26"/>
      <c r="C55" s="43"/>
      <c r="D55" s="25"/>
      <c r="E55" s="26"/>
      <c r="F55" s="26"/>
      <c r="G55" s="27"/>
      <c r="I55" t="s">
        <v>418</v>
      </c>
      <c r="J55" t="s">
        <v>419</v>
      </c>
    </row>
    <row r="56" spans="1:11" x14ac:dyDescent="0.2">
      <c r="B56" s="10" t="s">
        <v>377</v>
      </c>
      <c r="E56" s="30"/>
      <c r="F56" s="2"/>
      <c r="G56" s="102" t="s">
        <v>27</v>
      </c>
    </row>
    <row r="57" spans="1:11" x14ac:dyDescent="0.2">
      <c r="A57" s="173">
        <v>1</v>
      </c>
      <c r="B57" s="23" t="s">
        <v>136</v>
      </c>
      <c r="C57" s="46" t="s">
        <v>155</v>
      </c>
      <c r="D57" s="41"/>
      <c r="E57" s="570">
        <f>Время_констр</f>
        <v>2</v>
      </c>
      <c r="F57" s="296" t="s">
        <v>31</v>
      </c>
      <c r="G57" s="327">
        <f>Время_констр*Цнч</f>
        <v>1385.32</v>
      </c>
      <c r="H57" s="62">
        <f>G57/Цнч</f>
        <v>2</v>
      </c>
      <c r="I57" s="437">
        <f ca="1">G57+Изготовление_ФШ_сумма+G60+G61+G63</f>
        <v>6387.2949239999998</v>
      </c>
      <c r="J57" s="437">
        <f>G59+G62</f>
        <v>3218.5889664334995</v>
      </c>
      <c r="K57" s="437">
        <f ca="1">I57+J57</f>
        <v>9605.8838904334989</v>
      </c>
    </row>
    <row r="58" spans="1:11" x14ac:dyDescent="0.2">
      <c r="A58" s="596">
        <v>2</v>
      </c>
      <c r="B58" s="601" t="str">
        <f>CONCATENATE("Изготовление фотошаблонов ",Класс_точности," кл. точности")</f>
        <v>Изготовление фотошаблонов 3 кл. точности</v>
      </c>
      <c r="C58" s="279" t="s">
        <v>155</v>
      </c>
      <c r="D58" s="37"/>
      <c r="E58" s="570">
        <f ca="1">'Нормы трудоемкости'!F9</f>
        <v>0.5</v>
      </c>
      <c r="F58" s="296" t="s">
        <v>156</v>
      </c>
      <c r="G58" s="327">
        <f ca="1">Цнч*Изготовление_ФШ*E58</f>
        <v>3116.97</v>
      </c>
      <c r="H58" s="62">
        <f ca="1">G58/Цнч</f>
        <v>4.5</v>
      </c>
    </row>
    <row r="59" spans="1:11" x14ac:dyDescent="0.2">
      <c r="A59" s="598"/>
      <c r="B59" s="602"/>
      <c r="C59" s="279" t="s">
        <v>157</v>
      </c>
      <c r="D59" s="37"/>
      <c r="E59" s="570" t="s">
        <v>164</v>
      </c>
      <c r="F59" s="296" t="s">
        <v>72</v>
      </c>
      <c r="G59" s="327">
        <f>Материалы_ФШ*(1+Плановые_накопления/100)</f>
        <v>1730.9758020974996</v>
      </c>
      <c r="H59" s="62"/>
    </row>
    <row r="60" spans="1:11" ht="26.45" customHeight="1" x14ac:dyDescent="0.2">
      <c r="A60" s="120">
        <v>3</v>
      </c>
      <c r="B60" s="121" t="str">
        <f>CONCATENATE("Проверка, паспортизация, ретушь ФШ ",Класс_точности," кл. точности")</f>
        <v>Проверка, паспортизация, ретушь ФШ 3 кл. точности</v>
      </c>
      <c r="C60" s="310" t="s">
        <v>155</v>
      </c>
      <c r="D60" s="40"/>
      <c r="E60" s="570">
        <f ca="1">'Нормы трудоемкости'!F11</f>
        <v>0.35</v>
      </c>
      <c r="F60" s="296" t="s">
        <v>156</v>
      </c>
      <c r="G60" s="327">
        <f ca="1">E60*Цнч*Подготовка_ФШ</f>
        <v>0</v>
      </c>
      <c r="H60" s="62">
        <f ca="1">G60/Цнч</f>
        <v>0</v>
      </c>
    </row>
    <row r="61" spans="1:11" ht="12" customHeight="1" x14ac:dyDescent="0.2">
      <c r="A61" s="596">
        <v>4</v>
      </c>
      <c r="B61" s="601" t="s">
        <v>230</v>
      </c>
      <c r="C61" s="279" t="s">
        <v>155</v>
      </c>
      <c r="D61" s="37"/>
      <c r="E61" s="570">
        <f ca="1">IF(Изготовление_ФШ&gt;0,'Нормы трудоемкости'!F76+'Нормы трудоемкости'!F87,'Нормы трудоемкости'!F87)</f>
        <v>2.431</v>
      </c>
      <c r="F61" s="296" t="s">
        <v>158</v>
      </c>
      <c r="G61" s="327">
        <f ca="1">E61*Цнч</f>
        <v>1683.85646</v>
      </c>
      <c r="H61" s="62">
        <f ca="1">G61/Цнч</f>
        <v>2.431</v>
      </c>
    </row>
    <row r="62" spans="1:11" x14ac:dyDescent="0.2">
      <c r="A62" s="597"/>
      <c r="B62" s="602"/>
      <c r="C62" s="279" t="s">
        <v>157</v>
      </c>
      <c r="D62" s="41"/>
      <c r="E62" s="570" t="s">
        <v>164</v>
      </c>
      <c r="F62" s="297" t="s">
        <v>72</v>
      </c>
      <c r="G62" s="328">
        <f>Материалы_МП*(1+Плановые_накопления/100)</f>
        <v>1487.613164336</v>
      </c>
      <c r="H62" s="62"/>
    </row>
    <row r="63" spans="1:11" ht="13.15" customHeight="1" thickBot="1" x14ac:dyDescent="0.25">
      <c r="A63" s="120">
        <v>5</v>
      </c>
      <c r="B63" s="387" t="s">
        <v>138</v>
      </c>
      <c r="C63" s="279" t="s">
        <v>155</v>
      </c>
      <c r="D63" s="41"/>
      <c r="E63" s="570">
        <f ca="1">'Нормы трудоемкости'!F13</f>
        <v>0.29040000000000005</v>
      </c>
      <c r="F63" s="297" t="s">
        <v>159</v>
      </c>
      <c r="G63" s="328">
        <f ca="1">E63*Цнч</f>
        <v>201.14846400000002</v>
      </c>
      <c r="H63" s="62">
        <f ca="1">G63/Цнч</f>
        <v>0.29040000000000005</v>
      </c>
    </row>
    <row r="64" spans="1:11" ht="13.5" thickBot="1" x14ac:dyDescent="0.25">
      <c r="A64" s="2"/>
      <c r="B64" s="103" t="s">
        <v>160</v>
      </c>
      <c r="C64" s="14"/>
      <c r="D64" s="14"/>
      <c r="E64" s="36"/>
      <c r="F64" s="14"/>
      <c r="G64" s="492">
        <f ca="1">SUM(G57:G63)</f>
        <v>9605.8838904334989</v>
      </c>
      <c r="H64" s="62"/>
      <c r="I64" s="62"/>
      <c r="K64">
        <f>Плановые_накопления</f>
        <v>15</v>
      </c>
    </row>
    <row r="65" spans="1:13" x14ac:dyDescent="0.2">
      <c r="A65" s="2"/>
      <c r="B65" s="19"/>
      <c r="C65" s="2"/>
      <c r="D65" s="2"/>
      <c r="E65" s="5"/>
      <c r="F65" s="2"/>
      <c r="G65" s="114"/>
      <c r="H65" s="62"/>
      <c r="I65" s="62"/>
    </row>
    <row r="66" spans="1:13" x14ac:dyDescent="0.2">
      <c r="A66" s="2"/>
      <c r="B66" s="309" t="s">
        <v>376</v>
      </c>
      <c r="D66" s="2"/>
      <c r="E66" s="2"/>
      <c r="F66" s="11"/>
      <c r="G66" s="62"/>
      <c r="H66" s="62"/>
    </row>
    <row r="67" spans="1:13" x14ac:dyDescent="0.2">
      <c r="A67" s="104" t="s">
        <v>69</v>
      </c>
      <c r="B67" s="105" t="s">
        <v>161</v>
      </c>
      <c r="C67" s="50"/>
      <c r="D67" s="106"/>
      <c r="E67" s="104" t="s">
        <v>162</v>
      </c>
      <c r="F67" s="107" t="s">
        <v>163</v>
      </c>
      <c r="G67" s="108" t="s">
        <v>27</v>
      </c>
      <c r="H67" s="62"/>
      <c r="I67" t="s">
        <v>418</v>
      </c>
      <c r="J67" t="s">
        <v>419</v>
      </c>
    </row>
    <row r="68" spans="1:13" s="185" customFormat="1" x14ac:dyDescent="0.2">
      <c r="A68" s="181">
        <v>1</v>
      </c>
      <c r="B68" s="549" t="s">
        <v>601</v>
      </c>
      <c r="C68" s="183"/>
      <c r="D68" s="184"/>
      <c r="E68" s="241" t="s">
        <v>164</v>
      </c>
      <c r="F68" s="513" t="s">
        <v>164</v>
      </c>
      <c r="G68" s="322">
        <f>Материалы_основные*(1+Плановые_накопления/100)+ПКИ*(1+НаценкаПКИ/100)</f>
        <v>110052.60210651939</v>
      </c>
      <c r="H68" s="62"/>
      <c r="I68" s="438">
        <f ca="1">G69+G70+G71+G72+G73+G75+G77+G80+G81+G83+G85+G87</f>
        <v>311721.98713637557</v>
      </c>
      <c r="J68" s="438">
        <f>G68+G76+G78+G82+G84+G86</f>
        <v>123251.85583644216</v>
      </c>
      <c r="K68" s="438">
        <f ca="1">I68+J68</f>
        <v>434973.84297281771</v>
      </c>
      <c r="L68"/>
      <c r="M68"/>
    </row>
    <row r="69" spans="1:13" s="185" customFormat="1" x14ac:dyDescent="0.2">
      <c r="A69" s="181">
        <v>2</v>
      </c>
      <c r="B69" s="182" t="s">
        <v>165</v>
      </c>
      <c r="C69" s="183"/>
      <c r="D69" s="184"/>
      <c r="E69" s="570">
        <f ca="1">То</f>
        <v>0.56099999999999994</v>
      </c>
      <c r="F69" s="242" t="s">
        <v>483</v>
      </c>
      <c r="G69" s="322">
        <f ca="1">(E69*Площадь_заготовок_оплачиваемая*Коэффициент_серийности*Коэфф_плотности_и_сложн*Цнч*Квг)</f>
        <v>199354.73765841479</v>
      </c>
      <c r="H69" s="62">
        <f t="shared" ref="H69:H75" ca="1" si="0">G69/Цнч</f>
        <v>287.81037978000001</v>
      </c>
      <c r="I69" s="438"/>
      <c r="J69"/>
      <c r="K69"/>
      <c r="L69"/>
      <c r="M69"/>
    </row>
    <row r="70" spans="1:13" s="185" customFormat="1" x14ac:dyDescent="0.2">
      <c r="A70" s="243">
        <v>3</v>
      </c>
      <c r="B70" s="244" t="s">
        <v>263</v>
      </c>
      <c r="C70" s="183"/>
      <c r="D70" s="184"/>
      <c r="E70" s="570">
        <f ca="1">Трудоемкость_сверления</f>
        <v>2.0000000000000001E-4</v>
      </c>
      <c r="F70" s="242" t="s">
        <v>587</v>
      </c>
      <c r="G70" s="322">
        <f ca="1">(E70*N*(Чо1+Чо2)*Коэффициент_серийности*Коэфф_плотности_и_сложн*Цнч)*Квг</f>
        <v>44801.248800000001</v>
      </c>
      <c r="H70" s="62">
        <f t="shared" ca="1" si="0"/>
        <v>64.680000000000007</v>
      </c>
      <c r="I70"/>
      <c r="J70"/>
      <c r="K70"/>
      <c r="L70"/>
      <c r="M70"/>
    </row>
    <row r="71" spans="1:13" s="185" customFormat="1" x14ac:dyDescent="0.2">
      <c r="A71" s="612">
        <v>4</v>
      </c>
      <c r="B71" s="247" t="s">
        <v>166</v>
      </c>
      <c r="C71" s="246" t="s">
        <v>142</v>
      </c>
      <c r="D71" s="184"/>
      <c r="E71" s="570">
        <f>IF(Тф1пл&gt;15,Тф1пл,15)*Плат_на_заготовке/Цнч</f>
        <v>0.11472000000000002</v>
      </c>
      <c r="F71" s="117" t="s">
        <v>604</v>
      </c>
      <c r="G71" s="322">
        <f>IF(ФПК=1,(E71*N*IF(Кф=0,1,Кф)*Кт*Цнч),0)</f>
        <v>0</v>
      </c>
      <c r="H71" s="62">
        <f t="shared" si="0"/>
        <v>0</v>
      </c>
      <c r="I71"/>
      <c r="J71"/>
      <c r="K71"/>
      <c r="L71"/>
      <c r="M71"/>
    </row>
    <row r="72" spans="1:13" s="185" customFormat="1" x14ac:dyDescent="0.2">
      <c r="A72" s="614"/>
      <c r="B72" s="245" t="s">
        <v>167</v>
      </c>
      <c r="C72" s="246" t="s">
        <v>143</v>
      </c>
      <c r="D72" s="184"/>
      <c r="E72" s="570">
        <f>IF(Тф2пл&gt;15,Тф2пл,15)*Плат_на_заготовке/Цнч</f>
        <v>0.10608000000000001</v>
      </c>
      <c r="F72" s="117" t="s">
        <v>603</v>
      </c>
      <c r="G72" s="322">
        <f>IF(ФПК=2,(E72*N*IF(Кф=0,1,Кф)*Кт*Цнч),0)</f>
        <v>3600.3912672000006</v>
      </c>
      <c r="H72" s="62">
        <f t="shared" si="0"/>
        <v>5.1979200000000008</v>
      </c>
      <c r="I72"/>
      <c r="J72"/>
      <c r="K72"/>
      <c r="L72"/>
      <c r="M72"/>
    </row>
    <row r="73" spans="1:13" s="185" customFormat="1" x14ac:dyDescent="0.2">
      <c r="A73" s="181">
        <v>5</v>
      </c>
      <c r="B73" s="248" t="s">
        <v>168</v>
      </c>
      <c r="D73" s="249"/>
      <c r="E73" s="570">
        <f ca="1">Тсл</f>
        <v>0.11550000000000001</v>
      </c>
      <c r="F73" s="249" t="s">
        <v>467</v>
      </c>
      <c r="G73" s="322">
        <f ca="1">E73*N*Коэфф_плотности_и_сложн*Кт*Цнч*SIGN(razr)</f>
        <v>7840.2185399999998</v>
      </c>
      <c r="H73" s="62">
        <f t="shared" ca="1" si="0"/>
        <v>11.319000000000001</v>
      </c>
      <c r="I73"/>
      <c r="J73"/>
      <c r="K73"/>
      <c r="L73"/>
      <c r="M73"/>
    </row>
    <row r="74" spans="1:13" s="185" customFormat="1" x14ac:dyDescent="0.2">
      <c r="A74" s="612">
        <v>6</v>
      </c>
      <c r="B74" s="244" t="s">
        <v>128</v>
      </c>
      <c r="C74" s="250"/>
      <c r="D74" s="250"/>
      <c r="E74" s="570"/>
      <c r="F74" s="183"/>
      <c r="G74" s="323"/>
      <c r="H74" s="62">
        <f t="shared" si="0"/>
        <v>0</v>
      </c>
      <c r="I74"/>
      <c r="J74"/>
      <c r="K74"/>
      <c r="L74"/>
      <c r="M74"/>
    </row>
    <row r="75" spans="1:13" s="185" customFormat="1" x14ac:dyDescent="0.2">
      <c r="A75" s="613"/>
      <c r="B75" s="110" t="s">
        <v>517</v>
      </c>
      <c r="C75" s="250"/>
      <c r="D75" s="251"/>
      <c r="E75" s="570">
        <f ca="1">IF(Колво_СЗПМ=1,'Нормы трудоемкости'!F64,'Нормы трудоемкости'!F65)</f>
        <v>3.4300112000000008E-2</v>
      </c>
      <c r="F75" s="117" t="s">
        <v>462</v>
      </c>
      <c r="G75" s="322">
        <f ca="1">E75*Цнч*Площадь_заготовок_оплачиваемая*Км*SIGN(Колво_СЗПМ)</f>
        <v>6094.3759620447827</v>
      </c>
      <c r="H75" s="62">
        <f t="shared" ca="1" si="0"/>
        <v>8.7985100367348821</v>
      </c>
    </row>
    <row r="76" spans="1:13" s="185" customFormat="1" x14ac:dyDescent="0.2">
      <c r="A76" s="613"/>
      <c r="B76" s="234" t="s">
        <v>518</v>
      </c>
      <c r="C76" s="235"/>
      <c r="D76" s="236"/>
      <c r="E76" s="570" t="s">
        <v>164</v>
      </c>
      <c r="F76" s="233"/>
      <c r="G76" s="322">
        <f>Материалы_КМ*(1+Плановые_накопления/100)</f>
        <v>9354.2221160849986</v>
      </c>
      <c r="H76" s="62"/>
    </row>
    <row r="77" spans="1:13" s="185" customFormat="1" x14ac:dyDescent="0.2">
      <c r="A77" s="613"/>
      <c r="B77" s="110" t="s">
        <v>519</v>
      </c>
      <c r="C77" s="250"/>
      <c r="D77" s="251"/>
      <c r="E77" s="570">
        <f ca="1">IF(Колво_ЖЗПМ=1,'Нормы трудоемкости'!F66,'Нормы трудоемкости'!F67)</f>
        <v>0.06</v>
      </c>
      <c r="F77" s="117" t="s">
        <v>463</v>
      </c>
      <c r="G77" s="322">
        <f ca="1">(E77*Цнч*Площадь_заготовок_оплачиваемая*Км*SIGN(Колво_ЖЗПМ))</f>
        <v>10660.681158203999</v>
      </c>
      <c r="H77" s="62">
        <f ca="1">G77/Цнч</f>
        <v>15.390929399999999</v>
      </c>
    </row>
    <row r="78" spans="1:13" s="185" customFormat="1" x14ac:dyDescent="0.2">
      <c r="A78" s="614"/>
      <c r="B78" s="237" t="s">
        <v>520</v>
      </c>
      <c r="C78" s="238"/>
      <c r="D78" s="239"/>
      <c r="E78" s="570" t="s">
        <v>164</v>
      </c>
      <c r="F78" s="233"/>
      <c r="G78" s="322">
        <f>Материалы_ЖМ*(1+Плановые_накопления/100)</f>
        <v>875.58586931816001</v>
      </c>
      <c r="H78" s="62"/>
    </row>
    <row r="79" spans="1:13" s="185" customFormat="1" x14ac:dyDescent="0.2">
      <c r="A79" s="612">
        <v>7</v>
      </c>
      <c r="B79" s="252" t="s">
        <v>169</v>
      </c>
      <c r="C79" s="238"/>
      <c r="D79" s="238"/>
      <c r="E79" s="570"/>
      <c r="F79" s="183"/>
      <c r="G79" s="323"/>
      <c r="H79" s="62">
        <f>G79/Цнч</f>
        <v>0</v>
      </c>
    </row>
    <row r="80" spans="1:13" s="185" customFormat="1" x14ac:dyDescent="0.2">
      <c r="A80" s="613"/>
      <c r="B80" s="581" t="s">
        <v>516</v>
      </c>
      <c r="C80" s="594"/>
      <c r="D80" s="616"/>
      <c r="E80" s="570">
        <f ca="1">'Нормы трудоемкости'!F68</f>
        <v>7.3700000000000015E-2</v>
      </c>
      <c r="F80" s="117" t="s">
        <v>389</v>
      </c>
      <c r="G80" s="322">
        <f ca="1">(E80*Цнч*П)*G13</f>
        <v>7402.1110900000012</v>
      </c>
      <c r="H80" s="62">
        <f ca="1">G80/Цнч</f>
        <v>10.686500000000002</v>
      </c>
    </row>
    <row r="81" spans="1:11" s="185" customFormat="1" x14ac:dyDescent="0.2">
      <c r="A81" s="613"/>
      <c r="B81" s="580" t="s">
        <v>515</v>
      </c>
      <c r="C81" s="580"/>
      <c r="D81" s="580"/>
      <c r="E81" s="570">
        <f ca="1">IF(ТипМаркировки=1,IF(Колво_ФМ=1,'Нормы трудоемкости'!F73,'Нормы трудоемкости'!F74),IF(ТипМаркировки=2,IF(Колво_ФМ=1,'Нормы трудоемкости'!F70,'Нормы трудоемкости'!F71),0))</f>
        <v>1.4999999999999999E-2</v>
      </c>
      <c r="F81" s="117" t="s">
        <v>388</v>
      </c>
      <c r="G81" s="322">
        <f ca="1">(E81*Цнч*Площадь_заготовок_оплачиваемая)</f>
        <v>2422.8820814099995</v>
      </c>
      <c r="H81" s="62">
        <f ca="1">G81/Цнч</f>
        <v>3.4979384999999996</v>
      </c>
    </row>
    <row r="82" spans="1:11" s="185" customFormat="1" x14ac:dyDescent="0.2">
      <c r="A82" s="614"/>
      <c r="B82" s="580" t="s">
        <v>514</v>
      </c>
      <c r="C82" s="580"/>
      <c r="D82" s="580"/>
      <c r="E82" s="570" t="s">
        <v>164</v>
      </c>
      <c r="F82" s="240"/>
      <c r="G82" s="322">
        <f>IF(ТипМаркировки=1,Материалы_ФМ,IF(ТипМаркировки=2,Материалы_Printar,0))*(1+Плановые_накопления/100)</f>
        <v>2171.3574372360249</v>
      </c>
      <c r="H82" s="62"/>
    </row>
    <row r="83" spans="1:11" s="185" customFormat="1" x14ac:dyDescent="0.2">
      <c r="A83" s="612">
        <v>8</v>
      </c>
      <c r="B83" s="581" t="s">
        <v>387</v>
      </c>
      <c r="C83" s="594"/>
      <c r="D83" s="616"/>
      <c r="E83" s="570">
        <f ca="1">Трудоемкость_олово</f>
        <v>1.6500000000000001E-2</v>
      </c>
      <c r="F83" s="319" t="s">
        <v>476</v>
      </c>
      <c r="G83" s="324">
        <f ca="1">IF(Sи&gt;0,0,E83*Площадь_заготовок_оплачиваемая*Коэффициент_серийности*Коэфф_плотности_и_сложн*Цнч)</f>
        <v>5330.3405791019995</v>
      </c>
      <c r="H83" s="62">
        <f ca="1">G83/Цнч</f>
        <v>7.6954646999999996</v>
      </c>
    </row>
    <row r="84" spans="1:11" s="185" customFormat="1" x14ac:dyDescent="0.2">
      <c r="A84" s="614"/>
      <c r="B84" s="581" t="s">
        <v>415</v>
      </c>
      <c r="C84" s="594"/>
      <c r="D84" s="616"/>
      <c r="E84" s="570" t="s">
        <v>164</v>
      </c>
      <c r="F84" s="319"/>
      <c r="G84" s="324">
        <f>IF(Sи&gt;0,0,Материалы_ГорПОС)*(1+Плановые_накопления/100)</f>
        <v>798.08830728357486</v>
      </c>
      <c r="H84" s="62"/>
    </row>
    <row r="85" spans="1:11" x14ac:dyDescent="0.2">
      <c r="A85" s="596">
        <v>9</v>
      </c>
      <c r="B85" s="581" t="s">
        <v>547</v>
      </c>
      <c r="C85" s="594"/>
      <c r="D85" s="616"/>
      <c r="E85" s="570">
        <f ca="1">'Нормы трудоемкости'!F75</f>
        <v>0.33</v>
      </c>
      <c r="F85" s="90" t="s">
        <v>477</v>
      </c>
      <c r="G85" s="325">
        <f>IF(Sи&gt;0,E85*Цнч*N,IF(колво_ламелей*1&gt;0,П*труёмзол1пл*0,0))*Коэфф_плотности_и_сложн*Коэффициент_серийности</f>
        <v>0</v>
      </c>
      <c r="H85" s="62">
        <f>G85/Цнч</f>
        <v>0</v>
      </c>
    </row>
    <row r="86" spans="1:11" x14ac:dyDescent="0.2">
      <c r="A86" s="598"/>
      <c r="B86" s="592" t="s">
        <v>170</v>
      </c>
      <c r="C86" s="593"/>
      <c r="D86" s="615"/>
      <c r="E86" s="256" t="s">
        <v>164</v>
      </c>
      <c r="F86" s="46"/>
      <c r="G86" s="326">
        <f>IF(Sи&gt;0,Материалы_золочение,IF(колво_ламелей*1&gt;0,Коэфстоиостизолота*колво_ламелей*Ширина_ламелей*Длина_ламелей/100*П*0,0))*(1+Плановые_накопления/100)</f>
        <v>0</v>
      </c>
      <c r="H86" s="62"/>
      <c r="I86" s="62"/>
    </row>
    <row r="87" spans="1:11" x14ac:dyDescent="0.2">
      <c r="A87" s="6">
        <v>10</v>
      </c>
      <c r="B87" s="604" t="s">
        <v>26</v>
      </c>
      <c r="C87" s="604"/>
      <c r="D87" s="604"/>
      <c r="E87" s="256" t="s">
        <v>164</v>
      </c>
      <c r="F87" s="117" t="s">
        <v>29</v>
      </c>
      <c r="G87" s="326">
        <f>IF(Электроконтроль=0,0,IF(MOD(Электроконтроль,2)=0,ROUND(П*Цэкатг,0),ROUND(П*Цэкман,0)))</f>
        <v>24215</v>
      </c>
      <c r="H87" s="62">
        <f>G87/Цнч</f>
        <v>34.959431755839809</v>
      </c>
      <c r="I87" s="260"/>
    </row>
    <row r="88" spans="1:11" ht="13.5" thickBot="1" x14ac:dyDescent="0.25">
      <c r="A88" s="8"/>
      <c r="B88" s="115"/>
      <c r="C88" s="2"/>
      <c r="D88" s="2"/>
      <c r="E88" s="8"/>
      <c r="F88" s="2"/>
      <c r="G88" s="116"/>
      <c r="I88" s="62"/>
    </row>
    <row r="89" spans="1:11" ht="13.5" thickBot="1" x14ac:dyDescent="0.25">
      <c r="A89" s="35"/>
      <c r="B89" s="111" t="s">
        <v>25</v>
      </c>
      <c r="C89" s="111"/>
      <c r="D89" s="14"/>
      <c r="E89" s="36"/>
      <c r="F89" s="14"/>
      <c r="G89" s="329">
        <f ca="1">SUM(G68:G88)</f>
        <v>434973.84297281766</v>
      </c>
      <c r="I89" t="s">
        <v>418</v>
      </c>
      <c r="J89" t="s">
        <v>419</v>
      </c>
    </row>
    <row r="90" spans="1:11" ht="13.5" thickBot="1" x14ac:dyDescent="0.25">
      <c r="A90" s="35"/>
      <c r="B90" s="111" t="s">
        <v>171</v>
      </c>
      <c r="C90" s="95"/>
      <c r="D90" s="14"/>
      <c r="E90" s="36"/>
      <c r="F90" s="14"/>
      <c r="G90" s="329">
        <f ca="1">CEILING(Подготовка_сумма+Изготовление_сумма,1)</f>
        <v>444580</v>
      </c>
      <c r="I90" s="438">
        <f ca="1">I57+I68</f>
        <v>318109.28206037555</v>
      </c>
      <c r="J90" s="438">
        <f>J57+J68</f>
        <v>126470.44480287566</v>
      </c>
      <c r="K90" s="438">
        <f ca="1">I90+J90</f>
        <v>444579.72686325118</v>
      </c>
    </row>
    <row r="91" spans="1:11" ht="13.5" thickBot="1" x14ac:dyDescent="0.25">
      <c r="A91" s="8"/>
      <c r="B91" s="93" t="s">
        <v>172</v>
      </c>
      <c r="C91" s="112"/>
      <c r="D91" s="14"/>
      <c r="E91" s="14"/>
      <c r="F91" s="36"/>
      <c r="G91" s="329">
        <f ca="1">Итого_сумма*Кср</f>
        <v>444580</v>
      </c>
    </row>
    <row r="92" spans="1:11" ht="13.5" thickBot="1" x14ac:dyDescent="0.25">
      <c r="A92" s="8"/>
      <c r="B92" s="19"/>
      <c r="C92" s="113"/>
      <c r="D92" s="2"/>
      <c r="E92" s="2"/>
      <c r="F92" s="5"/>
      <c r="G92" s="330"/>
    </row>
    <row r="93" spans="1:11" ht="13.5" thickBot="1" x14ac:dyDescent="0.25">
      <c r="A93" s="109"/>
      <c r="E93" t="s">
        <v>32</v>
      </c>
      <c r="F93" s="2"/>
      <c r="G93" s="329">
        <f ca="1">ROUNDUP(Итого_окончательное/П,0)</f>
        <v>3067</v>
      </c>
    </row>
    <row r="95" spans="1:11" ht="15.75" x14ac:dyDescent="0.25">
      <c r="B95" s="172" t="s">
        <v>541</v>
      </c>
      <c r="G95" s="435" t="s">
        <v>416</v>
      </c>
    </row>
    <row r="98" spans="8:9" x14ac:dyDescent="0.2">
      <c r="H98" s="62">
        <f ca="1">SUM(H57:H87)</f>
        <v>459.2574741725748</v>
      </c>
      <c r="I98">
        <f ca="1">I90/Цнч</f>
        <v>459.25747417257469</v>
      </c>
    </row>
    <row r="99" spans="8:9" x14ac:dyDescent="0.2">
      <c r="I99">
        <f ca="1">I98*ФОТнч</f>
        <v>111448.0112574587</v>
      </c>
    </row>
  </sheetData>
  <mergeCells count="45">
    <mergeCell ref="E16:F16"/>
    <mergeCell ref="E18:F18"/>
    <mergeCell ref="E44:G45"/>
    <mergeCell ref="A83:A84"/>
    <mergeCell ref="B84:D84"/>
    <mergeCell ref="B83:D83"/>
    <mergeCell ref="A71:A72"/>
    <mergeCell ref="B82:D82"/>
    <mergeCell ref="B81:D81"/>
    <mergeCell ref="B80:D80"/>
    <mergeCell ref="E51:F51"/>
    <mergeCell ref="E50:F50"/>
    <mergeCell ref="B87:D87"/>
    <mergeCell ref="A85:A86"/>
    <mergeCell ref="A79:A82"/>
    <mergeCell ref="A74:A78"/>
    <mergeCell ref="B86:D86"/>
    <mergeCell ref="B85:D85"/>
    <mergeCell ref="I12:O12"/>
    <mergeCell ref="I13:O13"/>
    <mergeCell ref="A61:A62"/>
    <mergeCell ref="A58:A59"/>
    <mergeCell ref="E24:F24"/>
    <mergeCell ref="B61:B62"/>
    <mergeCell ref="E21:F21"/>
    <mergeCell ref="E22:F22"/>
    <mergeCell ref="B58:B59"/>
    <mergeCell ref="E12:F12"/>
    <mergeCell ref="E23:F23"/>
    <mergeCell ref="E17:F17"/>
    <mergeCell ref="E19:F19"/>
    <mergeCell ref="E20:F20"/>
    <mergeCell ref="E14:F14"/>
    <mergeCell ref="E15:F15"/>
    <mergeCell ref="I10:O10"/>
    <mergeCell ref="I11:O11"/>
    <mergeCell ref="E9:F9"/>
    <mergeCell ref="E7:F7"/>
    <mergeCell ref="B2:G3"/>
    <mergeCell ref="E11:F11"/>
    <mergeCell ref="E10:F10"/>
    <mergeCell ref="C4:G4"/>
    <mergeCell ref="C5:E5"/>
    <mergeCell ref="C6:F6"/>
    <mergeCell ref="E8:F8"/>
  </mergeCells>
  <phoneticPr fontId="0" type="noConversion"/>
  <pageMargins left="0.59055118110236227" right="0.39370078740157483" top="0.39370078740157483" bottom="0.39370078740157483" header="0" footer="0"/>
  <pageSetup paperSize="9" scale="76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8" r:id="rId4" name="Drop Down 50">
              <controlPr defaultSize="0" print="0" autoLine="0" autoPict="0">
                <anchor>
                  <from>
                    <xdr:col>1</xdr:col>
                    <xdr:colOff>161925</xdr:colOff>
                    <xdr:row>22</xdr:row>
                    <xdr:rowOff>133350</xdr:rowOff>
                  </from>
                  <to>
                    <xdr:col>3</xdr:col>
                    <xdr:colOff>142875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" name="Drop Down 52">
              <controlPr defaultSize="0" print="0" autoLine="0" autoPict="0">
                <anchor>
                  <from>
                    <xdr:col>1</xdr:col>
                    <xdr:colOff>161925</xdr:colOff>
                    <xdr:row>23</xdr:row>
                    <xdr:rowOff>133350</xdr:rowOff>
                  </from>
                  <to>
                    <xdr:col>3</xdr:col>
                    <xdr:colOff>142875</xdr:colOff>
                    <xdr:row>42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6" name="Button 108">
              <controlPr defaultSize="0" print="0" autoFill="0" autoPict="0" macro="[0]!Занести_в_базу">
                <anchor moveWithCells="1">
                  <from>
                    <xdr:col>8</xdr:col>
                    <xdr:colOff>38100</xdr:colOff>
                    <xdr:row>2</xdr:row>
                    <xdr:rowOff>28575</xdr:rowOff>
                  </from>
                  <to>
                    <xdr:col>10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O62"/>
  <sheetViews>
    <sheetView workbookViewId="0">
      <selection activeCell="K18" sqref="K18"/>
    </sheetView>
  </sheetViews>
  <sheetFormatPr defaultRowHeight="12.75" x14ac:dyDescent="0.2"/>
  <cols>
    <col min="1" max="1" width="10.7109375" customWidth="1"/>
    <col min="2" max="2" width="8" customWidth="1"/>
    <col min="3" max="3" width="1" customWidth="1"/>
    <col min="4" max="4" width="9" customWidth="1"/>
    <col min="6" max="6" width="0.85546875" customWidth="1"/>
    <col min="7" max="7" width="9.28515625" customWidth="1"/>
    <col min="8" max="8" width="10.7109375" customWidth="1"/>
    <col min="9" max="9" width="0.85546875" customWidth="1"/>
    <col min="10" max="10" width="9.5703125" customWidth="1"/>
    <col min="11" max="11" width="9" customWidth="1"/>
    <col min="12" max="12" width="8" customWidth="1"/>
    <col min="13" max="13" width="17.7109375" customWidth="1"/>
    <col min="14" max="14" width="9" customWidth="1"/>
  </cols>
  <sheetData>
    <row r="1" spans="1:14" x14ac:dyDescent="0.2">
      <c r="L1" s="54" t="s">
        <v>36</v>
      </c>
    </row>
    <row r="2" spans="1:14" x14ac:dyDescent="0.2">
      <c r="B2" t="s">
        <v>1</v>
      </c>
    </row>
    <row r="3" spans="1:14" x14ac:dyDescent="0.2">
      <c r="B3" s="32" t="s">
        <v>0</v>
      </c>
      <c r="C3" s="32"/>
      <c r="E3" t="s">
        <v>369</v>
      </c>
      <c r="M3" s="29"/>
      <c r="N3" s="29"/>
    </row>
    <row r="4" spans="1:14" x14ac:dyDescent="0.2">
      <c r="A4" s="624" t="s">
        <v>577</v>
      </c>
      <c r="B4" s="625"/>
      <c r="E4" t="s">
        <v>578</v>
      </c>
    </row>
    <row r="5" spans="1:14" x14ac:dyDescent="0.2">
      <c r="A5" s="626"/>
      <c r="B5" s="627"/>
      <c r="E5" t="s">
        <v>370</v>
      </c>
      <c r="N5" s="264"/>
    </row>
    <row r="6" spans="1:14" x14ac:dyDescent="0.2">
      <c r="A6" s="628"/>
      <c r="B6" s="629"/>
      <c r="E6" t="s">
        <v>372</v>
      </c>
    </row>
    <row r="7" spans="1:14" x14ac:dyDescent="0.2">
      <c r="A7" s="262" t="s">
        <v>18</v>
      </c>
      <c r="B7" s="263" t="s">
        <v>2</v>
      </c>
      <c r="E7" t="s">
        <v>371</v>
      </c>
    </row>
    <row r="8" spans="1:14" ht="13.5" thickBot="1" x14ac:dyDescent="0.25">
      <c r="A8" s="28" t="s">
        <v>20</v>
      </c>
      <c r="B8" s="9" t="s">
        <v>272</v>
      </c>
    </row>
    <row r="9" spans="1:14" ht="13.5" thickBot="1" x14ac:dyDescent="0.25">
      <c r="A9" s="3">
        <v>1</v>
      </c>
      <c r="B9" s="4">
        <v>1.5</v>
      </c>
      <c r="C9" s="5"/>
      <c r="E9" t="s">
        <v>373</v>
      </c>
      <c r="H9" t="s">
        <v>3</v>
      </c>
      <c r="K9" t="s">
        <v>4</v>
      </c>
    </row>
    <row r="10" spans="1:14" ht="13.15" customHeight="1" x14ac:dyDescent="0.2">
      <c r="A10" s="6">
        <v>2</v>
      </c>
      <c r="B10" s="7">
        <v>1.4</v>
      </c>
      <c r="C10" s="5"/>
      <c r="D10" s="640" t="s">
        <v>374</v>
      </c>
      <c r="E10" s="637" t="s">
        <v>575</v>
      </c>
      <c r="G10" s="640" t="s">
        <v>10</v>
      </c>
      <c r="H10" s="637" t="s">
        <v>576</v>
      </c>
      <c r="J10" s="640" t="s">
        <v>385</v>
      </c>
      <c r="K10" s="637" t="s">
        <v>386</v>
      </c>
    </row>
    <row r="11" spans="1:14" x14ac:dyDescent="0.2">
      <c r="A11" s="6">
        <v>3</v>
      </c>
      <c r="B11" s="7">
        <v>1.3</v>
      </c>
      <c r="C11" s="5"/>
      <c r="D11" s="641"/>
      <c r="E11" s="638"/>
      <c r="G11" s="641"/>
      <c r="H11" s="638"/>
      <c r="J11" s="641"/>
      <c r="K11" s="638"/>
    </row>
    <row r="12" spans="1:14" x14ac:dyDescent="0.2">
      <c r="A12" s="6">
        <v>4</v>
      </c>
      <c r="B12" s="7">
        <v>1.2</v>
      </c>
      <c r="C12" s="5"/>
      <c r="D12" s="641"/>
      <c r="E12" s="638"/>
      <c r="G12" s="641"/>
      <c r="H12" s="638"/>
      <c r="J12" s="641"/>
      <c r="K12" s="638"/>
    </row>
    <row r="13" spans="1:14" ht="13.5" thickBot="1" x14ac:dyDescent="0.25">
      <c r="A13" s="6">
        <v>5</v>
      </c>
      <c r="B13" s="7">
        <v>1.1499999999999999</v>
      </c>
      <c r="C13" s="5"/>
      <c r="D13" s="642"/>
      <c r="E13" s="639"/>
      <c r="G13" s="642"/>
      <c r="H13" s="639"/>
      <c r="J13" s="642"/>
      <c r="K13" s="639"/>
    </row>
    <row r="14" spans="1:14" x14ac:dyDescent="0.2">
      <c r="A14" s="6">
        <v>6</v>
      </c>
      <c r="B14" s="7">
        <v>1.1000000000000001</v>
      </c>
      <c r="C14" s="5"/>
      <c r="D14" s="299">
        <v>0</v>
      </c>
      <c r="E14" s="300">
        <v>1</v>
      </c>
      <c r="G14" s="299">
        <v>3</v>
      </c>
      <c r="H14" s="307">
        <v>1.1000000000000001</v>
      </c>
      <c r="J14" s="313">
        <v>0</v>
      </c>
      <c r="K14" s="316">
        <v>1</v>
      </c>
    </row>
    <row r="15" spans="1:14" x14ac:dyDescent="0.2">
      <c r="A15" s="6">
        <v>7</v>
      </c>
      <c r="B15" s="7">
        <v>1.05</v>
      </c>
      <c r="C15" s="5"/>
      <c r="D15" s="301">
        <v>2</v>
      </c>
      <c r="E15" s="302">
        <v>1.1000000000000001</v>
      </c>
      <c r="G15" s="301">
        <v>4</v>
      </c>
      <c r="H15" s="302">
        <v>1.2</v>
      </c>
      <c r="J15" s="314">
        <v>230</v>
      </c>
      <c r="K15" s="317">
        <v>1</v>
      </c>
    </row>
    <row r="16" spans="1:14" x14ac:dyDescent="0.2">
      <c r="A16" s="6">
        <v>8</v>
      </c>
      <c r="B16" s="7">
        <v>1</v>
      </c>
      <c r="C16" s="5"/>
      <c r="D16" s="301">
        <v>2.5</v>
      </c>
      <c r="E16" s="302">
        <v>1.3</v>
      </c>
      <c r="G16" s="301">
        <v>5</v>
      </c>
      <c r="H16" s="302">
        <v>1.5</v>
      </c>
      <c r="J16" s="314">
        <v>280</v>
      </c>
      <c r="K16" s="317">
        <v>1</v>
      </c>
    </row>
    <row r="17" spans="1:15" ht="13.5" thickBot="1" x14ac:dyDescent="0.25">
      <c r="A17" s="6">
        <v>9</v>
      </c>
      <c r="B17" s="7">
        <v>1</v>
      </c>
      <c r="C17" s="5"/>
      <c r="D17" s="301">
        <v>3</v>
      </c>
      <c r="E17" s="302">
        <v>1.5</v>
      </c>
      <c r="G17" s="303">
        <v>6</v>
      </c>
      <c r="H17" s="304">
        <v>2.5</v>
      </c>
      <c r="J17" s="315">
        <v>485</v>
      </c>
      <c r="K17" s="318">
        <v>1.2</v>
      </c>
    </row>
    <row r="18" spans="1:15" ht="13.5" thickBot="1" x14ac:dyDescent="0.25">
      <c r="A18" s="6">
        <v>10</v>
      </c>
      <c r="B18" s="7">
        <v>1</v>
      </c>
      <c r="C18" s="5"/>
      <c r="D18" s="303">
        <v>3.5</v>
      </c>
      <c r="E18" s="304">
        <v>2</v>
      </c>
    </row>
    <row r="19" spans="1:15" x14ac:dyDescent="0.2">
      <c r="A19" s="6">
        <v>11</v>
      </c>
      <c r="B19" s="7">
        <v>1</v>
      </c>
      <c r="C19" s="5"/>
    </row>
    <row r="20" spans="1:15" x14ac:dyDescent="0.2">
      <c r="A20" s="6">
        <v>12</v>
      </c>
      <c r="B20" s="7">
        <v>1</v>
      </c>
      <c r="C20" s="5"/>
    </row>
    <row r="21" spans="1:15" x14ac:dyDescent="0.2">
      <c r="A21" s="6">
        <v>13</v>
      </c>
      <c r="B21" s="7">
        <v>1</v>
      </c>
      <c r="C21" s="5"/>
    </row>
    <row r="22" spans="1:15" x14ac:dyDescent="0.2">
      <c r="A22" s="6">
        <v>14</v>
      </c>
      <c r="B22" s="7">
        <v>1</v>
      </c>
      <c r="C22" s="5"/>
      <c r="E22" s="32" t="s">
        <v>5</v>
      </c>
      <c r="F22" s="32"/>
      <c r="H22" s="32" t="s">
        <v>383</v>
      </c>
    </row>
    <row r="23" spans="1:15" x14ac:dyDescent="0.2">
      <c r="A23" s="6">
        <v>16</v>
      </c>
      <c r="B23" s="7">
        <v>1</v>
      </c>
      <c r="C23" s="5"/>
      <c r="D23" s="630" t="s">
        <v>273</v>
      </c>
      <c r="E23" s="631"/>
      <c r="G23" s="630" t="s">
        <v>274</v>
      </c>
      <c r="H23" s="631"/>
    </row>
    <row r="24" spans="1:15" x14ac:dyDescent="0.2">
      <c r="A24" s="6">
        <v>18</v>
      </c>
      <c r="B24" s="7">
        <v>1</v>
      </c>
      <c r="C24" s="5"/>
      <c r="D24" s="632"/>
      <c r="E24" s="633"/>
      <c r="G24" s="632"/>
      <c r="H24" s="633"/>
    </row>
    <row r="25" spans="1:15" x14ac:dyDescent="0.2">
      <c r="A25" s="6">
        <v>19</v>
      </c>
      <c r="B25" s="7">
        <v>1</v>
      </c>
      <c r="C25" s="5"/>
      <c r="D25" s="634"/>
      <c r="E25" s="635"/>
      <c r="G25" s="634"/>
      <c r="H25" s="635"/>
    </row>
    <row r="26" spans="1:15" x14ac:dyDescent="0.2">
      <c r="A26" s="6">
        <v>21</v>
      </c>
      <c r="B26" s="7">
        <v>1</v>
      </c>
      <c r="C26" s="5"/>
      <c r="D26" s="262" t="s">
        <v>21</v>
      </c>
      <c r="E26" s="263" t="s">
        <v>2</v>
      </c>
      <c r="F26" s="20"/>
      <c r="G26" s="262" t="s">
        <v>21</v>
      </c>
      <c r="H26" s="263" t="s">
        <v>2</v>
      </c>
    </row>
    <row r="27" spans="1:15" ht="13.5" thickBot="1" x14ac:dyDescent="0.25">
      <c r="A27" s="6">
        <v>22</v>
      </c>
      <c r="B27" s="7">
        <v>1</v>
      </c>
      <c r="C27" s="5"/>
      <c r="D27" s="28" t="s">
        <v>23</v>
      </c>
      <c r="E27" s="9" t="s">
        <v>22</v>
      </c>
      <c r="F27" s="33"/>
      <c r="G27" s="28" t="s">
        <v>23</v>
      </c>
      <c r="H27" s="9" t="s">
        <v>22</v>
      </c>
    </row>
    <row r="28" spans="1:15" x14ac:dyDescent="0.2">
      <c r="A28" s="6">
        <v>24</v>
      </c>
      <c r="B28" s="7">
        <v>1</v>
      </c>
      <c r="C28" s="5"/>
      <c r="D28" s="4">
        <v>12.5</v>
      </c>
      <c r="E28" s="4">
        <v>2</v>
      </c>
      <c r="F28" s="33"/>
      <c r="G28" s="4">
        <v>10</v>
      </c>
      <c r="H28" s="4">
        <v>2</v>
      </c>
    </row>
    <row r="29" spans="1:15" x14ac:dyDescent="0.2">
      <c r="A29" s="6">
        <v>26</v>
      </c>
      <c r="B29" s="7">
        <v>1</v>
      </c>
      <c r="C29" s="5"/>
      <c r="D29" s="7">
        <v>15</v>
      </c>
      <c r="E29" s="7">
        <v>1.5</v>
      </c>
      <c r="F29" s="33"/>
      <c r="G29" s="7">
        <v>12.5</v>
      </c>
      <c r="H29" s="7">
        <v>1.5</v>
      </c>
    </row>
    <row r="30" spans="1:15" x14ac:dyDescent="0.2">
      <c r="A30" s="6">
        <v>27</v>
      </c>
      <c r="B30" s="7">
        <v>1</v>
      </c>
      <c r="C30" s="5"/>
      <c r="D30" s="7">
        <v>20</v>
      </c>
      <c r="E30" s="7">
        <v>1</v>
      </c>
      <c r="G30" s="7">
        <v>17.5</v>
      </c>
      <c r="H30" s="7">
        <v>1</v>
      </c>
    </row>
    <row r="31" spans="1:15" x14ac:dyDescent="0.2">
      <c r="A31" s="6">
        <v>29</v>
      </c>
      <c r="B31" s="7">
        <v>1</v>
      </c>
      <c r="C31" s="5"/>
      <c r="D31" s="5"/>
      <c r="E31" s="5"/>
      <c r="G31" s="5"/>
      <c r="H31" s="5"/>
      <c r="J31" s="20"/>
    </row>
    <row r="32" spans="1:15" x14ac:dyDescent="0.2">
      <c r="A32" s="6">
        <v>35</v>
      </c>
      <c r="B32" s="7">
        <v>1</v>
      </c>
      <c r="C32" s="5"/>
      <c r="M32" s="2"/>
      <c r="N32" s="2"/>
      <c r="O32" s="2"/>
    </row>
    <row r="33" spans="1:15" x14ac:dyDescent="0.2">
      <c r="A33" s="6">
        <v>43</v>
      </c>
      <c r="B33" s="7">
        <v>1</v>
      </c>
      <c r="C33" s="5"/>
      <c r="M33" s="2"/>
      <c r="N33" s="2"/>
      <c r="O33" s="19"/>
    </row>
    <row r="34" spans="1:15" x14ac:dyDescent="0.2">
      <c r="A34" s="6">
        <v>49</v>
      </c>
      <c r="B34" s="7">
        <v>1</v>
      </c>
      <c r="C34" s="5"/>
      <c r="M34" s="34"/>
      <c r="N34" s="8"/>
      <c r="O34" s="42"/>
    </row>
    <row r="35" spans="1:15" x14ac:dyDescent="0.2">
      <c r="A35" s="6">
        <v>53</v>
      </c>
      <c r="B35" s="7">
        <v>1</v>
      </c>
      <c r="C35" s="5"/>
      <c r="M35" s="34"/>
      <c r="N35" s="8"/>
      <c r="O35" s="42"/>
    </row>
    <row r="36" spans="1:15" x14ac:dyDescent="0.2">
      <c r="A36" s="6">
        <v>55</v>
      </c>
      <c r="B36" s="7">
        <v>1</v>
      </c>
      <c r="C36" s="5"/>
      <c r="M36" s="2"/>
      <c r="N36" s="8"/>
      <c r="O36" s="8"/>
    </row>
    <row r="37" spans="1:15" x14ac:dyDescent="0.2">
      <c r="A37" s="6">
        <v>57</v>
      </c>
      <c r="B37" s="7">
        <v>0.99000000000000288</v>
      </c>
      <c r="M37" s="2"/>
      <c r="N37" s="8"/>
      <c r="O37" s="8"/>
    </row>
    <row r="38" spans="1:15" x14ac:dyDescent="0.2">
      <c r="A38" s="6">
        <v>61</v>
      </c>
      <c r="B38" s="7">
        <v>0.98000000000000309</v>
      </c>
      <c r="M38" s="2"/>
      <c r="N38" s="8"/>
      <c r="O38" s="8"/>
    </row>
    <row r="39" spans="1:15" x14ac:dyDescent="0.2">
      <c r="A39" s="6">
        <v>73</v>
      </c>
      <c r="B39" s="7">
        <v>0.9700000000000033</v>
      </c>
      <c r="M39" s="2"/>
      <c r="N39" s="8"/>
      <c r="O39" s="8"/>
    </row>
    <row r="40" spans="1:15" x14ac:dyDescent="0.2">
      <c r="A40" s="6">
        <v>99</v>
      </c>
      <c r="B40" s="7">
        <v>0.95</v>
      </c>
      <c r="D40" s="34"/>
      <c r="E40" s="8"/>
      <c r="F40" s="2"/>
      <c r="G40" s="34"/>
      <c r="H40" s="2"/>
      <c r="I40" s="2"/>
      <c r="J40" s="5"/>
      <c r="M40" s="2"/>
      <c r="N40" s="8"/>
      <c r="O40" s="8"/>
    </row>
    <row r="41" spans="1:15" x14ac:dyDescent="0.2">
      <c r="A41" s="5"/>
      <c r="B41" s="5"/>
      <c r="I41" s="8"/>
    </row>
    <row r="42" spans="1:15" x14ac:dyDescent="0.2">
      <c r="A42" s="8"/>
      <c r="B42" s="8"/>
      <c r="I42" s="8"/>
    </row>
    <row r="43" spans="1:15" x14ac:dyDescent="0.2">
      <c r="A43" s="8"/>
      <c r="B43" s="8"/>
      <c r="C43" s="8"/>
      <c r="D43" s="8"/>
    </row>
    <row r="46" spans="1:15" x14ac:dyDescent="0.2">
      <c r="A46" s="8"/>
      <c r="B46" s="8"/>
      <c r="C46" s="8"/>
      <c r="D46" s="8"/>
    </row>
    <row r="47" spans="1:15" x14ac:dyDescent="0.2">
      <c r="C47" s="8"/>
      <c r="G47" s="8"/>
      <c r="J47" s="31"/>
      <c r="L47" s="8"/>
    </row>
    <row r="48" spans="1:15" x14ac:dyDescent="0.2">
      <c r="C48" s="8"/>
      <c r="I48" s="19"/>
      <c r="L48" s="8"/>
      <c r="M48" s="8"/>
      <c r="N48" s="8"/>
    </row>
    <row r="49" spans="1:14" x14ac:dyDescent="0.2">
      <c r="A49" s="19"/>
      <c r="B49" s="8"/>
      <c r="C49" s="8"/>
      <c r="M49" s="8"/>
      <c r="N49" s="8"/>
    </row>
    <row r="50" spans="1:14" x14ac:dyDescent="0.2">
      <c r="A50" s="19"/>
      <c r="B50" s="8"/>
      <c r="C50" s="8"/>
    </row>
    <row r="51" spans="1:14" x14ac:dyDescent="0.2">
      <c r="C51" s="8"/>
    </row>
    <row r="52" spans="1:14" x14ac:dyDescent="0.2">
      <c r="C52" s="8"/>
    </row>
    <row r="53" spans="1:14" x14ac:dyDescent="0.2">
      <c r="C53" s="8"/>
    </row>
    <row r="54" spans="1:14" x14ac:dyDescent="0.2">
      <c r="C54" s="8"/>
    </row>
    <row r="55" spans="1:14" x14ac:dyDescent="0.2">
      <c r="C55" s="8"/>
    </row>
    <row r="56" spans="1:14" x14ac:dyDescent="0.2">
      <c r="C56" s="8"/>
    </row>
    <row r="57" spans="1:14" x14ac:dyDescent="0.2">
      <c r="C57" s="8"/>
    </row>
    <row r="58" spans="1:14" x14ac:dyDescent="0.2">
      <c r="C58" s="8"/>
    </row>
    <row r="59" spans="1:14" x14ac:dyDescent="0.2">
      <c r="A59" s="636" t="s">
        <v>542</v>
      </c>
      <c r="B59" s="636"/>
      <c r="C59" s="636"/>
      <c r="D59" s="636"/>
      <c r="E59" s="636"/>
      <c r="F59" s="636"/>
      <c r="G59" s="636"/>
      <c r="H59" s="636"/>
      <c r="I59" s="636"/>
      <c r="J59" s="636"/>
      <c r="K59" s="636"/>
      <c r="L59" s="636"/>
    </row>
    <row r="60" spans="1:14" x14ac:dyDescent="0.2">
      <c r="A60" s="636"/>
      <c r="B60" s="636"/>
      <c r="C60" s="636"/>
      <c r="D60" s="636"/>
      <c r="E60" s="636"/>
      <c r="F60" s="636"/>
      <c r="G60" s="636"/>
      <c r="H60" s="636"/>
      <c r="I60" s="636"/>
      <c r="J60" s="636"/>
      <c r="K60" s="636"/>
      <c r="L60" s="636"/>
    </row>
    <row r="61" spans="1:14" x14ac:dyDescent="0.2">
      <c r="A61" s="636"/>
      <c r="B61" s="636"/>
      <c r="C61" s="636"/>
      <c r="D61" s="636"/>
      <c r="E61" s="636"/>
      <c r="F61" s="636"/>
      <c r="G61" s="636"/>
      <c r="H61" s="636"/>
      <c r="I61" s="636"/>
      <c r="J61" s="636"/>
      <c r="K61" s="636"/>
      <c r="L61" s="636"/>
    </row>
    <row r="62" spans="1:14" ht="15.75" x14ac:dyDescent="0.25">
      <c r="A62" s="172" t="s">
        <v>541</v>
      </c>
      <c r="L62" s="435" t="s">
        <v>416</v>
      </c>
    </row>
  </sheetData>
  <mergeCells count="10">
    <mergeCell ref="A4:B6"/>
    <mergeCell ref="D23:E25"/>
    <mergeCell ref="G23:H25"/>
    <mergeCell ref="A59:L61"/>
    <mergeCell ref="E10:E13"/>
    <mergeCell ref="D10:D13"/>
    <mergeCell ref="G10:G13"/>
    <mergeCell ref="H10:H13"/>
    <mergeCell ref="J10:J13"/>
    <mergeCell ref="K10:K13"/>
  </mergeCells>
  <phoneticPr fontId="0" type="noConversion"/>
  <pageMargins left="0.59055118110236227" right="0.39370078740157483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B1:M45"/>
  <sheetViews>
    <sheetView topLeftCell="A16" workbookViewId="0">
      <selection activeCell="L6" sqref="L6"/>
    </sheetView>
  </sheetViews>
  <sheetFormatPr defaultRowHeight="12.75" x14ac:dyDescent="0.2"/>
  <cols>
    <col min="1" max="1" width="3.42578125" customWidth="1"/>
    <col min="2" max="2" width="14.7109375" customWidth="1"/>
    <col min="5" max="5" width="11.140625" customWidth="1"/>
    <col min="6" max="6" width="10.7109375" bestFit="1" customWidth="1"/>
    <col min="8" max="8" width="10.42578125" customWidth="1"/>
    <col min="9" max="9" width="2.85546875" customWidth="1"/>
    <col min="10" max="10" width="39.7109375" customWidth="1"/>
    <col min="12" max="12" width="12.7109375" customWidth="1"/>
  </cols>
  <sheetData>
    <row r="1" spans="2:12" x14ac:dyDescent="0.2">
      <c r="L1" s="54" t="s">
        <v>444</v>
      </c>
    </row>
    <row r="2" spans="2:12" ht="15.75" x14ac:dyDescent="0.25">
      <c r="B2" s="172" t="s">
        <v>543</v>
      </c>
    </row>
    <row r="3" spans="2:12" s="186" customFormat="1" x14ac:dyDescent="0.2"/>
    <row r="4" spans="2:12" s="186" customFormat="1" ht="15.75" x14ac:dyDescent="0.2">
      <c r="B4" s="668" t="s">
        <v>222</v>
      </c>
      <c r="C4" s="668"/>
      <c r="D4" s="668"/>
      <c r="E4" s="668"/>
      <c r="F4" s="668"/>
      <c r="G4" s="668"/>
      <c r="H4" s="668"/>
      <c r="J4" s="653" t="s">
        <v>223</v>
      </c>
      <c r="K4" s="653"/>
      <c r="L4" s="653"/>
    </row>
    <row r="5" spans="2:12" s="186" customFormat="1" ht="13.5" thickBot="1" x14ac:dyDescent="0.25"/>
    <row r="6" spans="2:12" s="186" customFormat="1" x14ac:dyDescent="0.2">
      <c r="B6" s="681" t="s">
        <v>226</v>
      </c>
      <c r="C6" s="682"/>
      <c r="D6" s="682"/>
      <c r="E6" s="682"/>
      <c r="F6" s="683"/>
      <c r="G6" s="679" t="str">
        <f>Наименование_платы</f>
        <v>Децимальный номер платы</v>
      </c>
      <c r="H6" s="680"/>
      <c r="J6" s="669" t="s">
        <v>236</v>
      </c>
      <c r="K6" s="280" t="s">
        <v>237</v>
      </c>
      <c r="L6" s="281">
        <f>_NO1*_Np1*д1*ш1*1.2*(Ц01+Ц02)*0.000001</f>
        <v>287.40776399999999</v>
      </c>
    </row>
    <row r="7" spans="2:12" s="186" customFormat="1" x14ac:dyDescent="0.2">
      <c r="B7" s="643" t="s">
        <v>336</v>
      </c>
      <c r="C7" s="644"/>
      <c r="D7" s="644"/>
      <c r="E7" s="644"/>
      <c r="F7" s="188" t="s">
        <v>39</v>
      </c>
      <c r="G7" s="675">
        <f>П</f>
        <v>145</v>
      </c>
      <c r="H7" s="676"/>
      <c r="J7" s="670"/>
      <c r="K7" s="283" t="s">
        <v>238</v>
      </c>
      <c r="L7" s="284">
        <f>_NO2*_Np2*д2*ш2*1.2*(Ц01+Ц02)*0.000001</f>
        <v>0</v>
      </c>
    </row>
    <row r="8" spans="2:12" s="186" customFormat="1" x14ac:dyDescent="0.2">
      <c r="B8" s="684" t="s">
        <v>337</v>
      </c>
      <c r="C8" s="685"/>
      <c r="D8" s="685"/>
      <c r="E8" s="685"/>
      <c r="F8" s="188" t="s">
        <v>338</v>
      </c>
      <c r="G8" s="677">
        <v>1</v>
      </c>
      <c r="H8" s="678"/>
      <c r="J8" s="670" t="s">
        <v>239</v>
      </c>
      <c r="K8" s="283" t="s">
        <v>237</v>
      </c>
      <c r="L8" s="284">
        <f>Цена_твердосплавного_сверла*_nK1*_NO1*_Np1/2000</f>
        <v>130</v>
      </c>
    </row>
    <row r="9" spans="2:12" s="186" customFormat="1" x14ac:dyDescent="0.2">
      <c r="B9" s="643" t="s">
        <v>339</v>
      </c>
      <c r="C9" s="644"/>
      <c r="D9" s="644"/>
      <c r="E9" s="644"/>
      <c r="F9" s="188" t="s">
        <v>340</v>
      </c>
      <c r="G9" s="675">
        <f>G7/G8</f>
        <v>145</v>
      </c>
      <c r="H9" s="676"/>
      <c r="J9" s="670"/>
      <c r="K9" s="283" t="s">
        <v>238</v>
      </c>
      <c r="L9" s="284">
        <f>Цена_твердосплавного_сверла*_nK2*_NO2*_Np2/2000</f>
        <v>0</v>
      </c>
    </row>
    <row r="10" spans="2:12" s="186" customFormat="1" ht="13.15" customHeight="1" x14ac:dyDescent="0.2">
      <c r="B10" s="643" t="s">
        <v>341</v>
      </c>
      <c r="C10" s="644"/>
      <c r="D10" s="644"/>
      <c r="E10" s="644"/>
      <c r="F10" s="188" t="s">
        <v>342</v>
      </c>
      <c r="G10" s="673">
        <f>G15+H15</f>
        <v>1</v>
      </c>
      <c r="H10" s="674"/>
      <c r="J10" s="666" t="s">
        <v>240</v>
      </c>
      <c r="K10" s="686" t="s">
        <v>343</v>
      </c>
      <c r="L10" s="671">
        <f>SUM(L6:L9)</f>
        <v>417.40776399999999</v>
      </c>
    </row>
    <row r="11" spans="2:12" s="186" customFormat="1" x14ac:dyDescent="0.2">
      <c r="B11" s="643" t="s">
        <v>232</v>
      </c>
      <c r="C11" s="644"/>
      <c r="D11" s="644"/>
      <c r="E11" s="644"/>
      <c r="F11" s="645"/>
      <c r="G11" s="191" t="s">
        <v>237</v>
      </c>
      <c r="H11" s="187" t="s">
        <v>238</v>
      </c>
      <c r="J11" s="667"/>
      <c r="K11" s="687"/>
      <c r="L11" s="672"/>
    </row>
    <row r="12" spans="2:12" s="186" customFormat="1" ht="13.15" customHeight="1" x14ac:dyDescent="0.2">
      <c r="B12" s="643" t="s">
        <v>344</v>
      </c>
      <c r="C12" s="644"/>
      <c r="D12" s="644"/>
      <c r="E12" s="644"/>
      <c r="F12" s="188" t="s">
        <v>345</v>
      </c>
      <c r="G12" s="269"/>
      <c r="H12" s="269"/>
      <c r="J12" s="666" t="s">
        <v>346</v>
      </c>
      <c r="K12" s="662" t="s">
        <v>347</v>
      </c>
      <c r="L12" s="662">
        <f>G14*_NO1+H14*_NO2</f>
        <v>1</v>
      </c>
    </row>
    <row r="13" spans="2:12" s="186" customFormat="1" x14ac:dyDescent="0.2">
      <c r="B13" s="643" t="s">
        <v>348</v>
      </c>
      <c r="C13" s="644"/>
      <c r="D13" s="644"/>
      <c r="E13" s="644"/>
      <c r="F13" s="188" t="s">
        <v>338</v>
      </c>
      <c r="G13" s="269">
        <v>1000</v>
      </c>
      <c r="H13" s="269">
        <v>1000</v>
      </c>
      <c r="J13" s="667"/>
      <c r="K13" s="663"/>
      <c r="L13" s="663"/>
    </row>
    <row r="14" spans="2:12" s="186" customFormat="1" ht="26.45" customHeight="1" x14ac:dyDescent="0.2">
      <c r="B14" s="651" t="s">
        <v>329</v>
      </c>
      <c r="C14" s="652"/>
      <c r="D14" s="652"/>
      <c r="E14" s="652"/>
      <c r="F14" s="287" t="s">
        <v>349</v>
      </c>
      <c r="G14" s="269">
        <v>1</v>
      </c>
      <c r="H14" s="269">
        <v>1</v>
      </c>
      <c r="J14" s="285" t="s">
        <v>350</v>
      </c>
      <c r="K14" s="288" t="s">
        <v>351</v>
      </c>
      <c r="L14" s="288">
        <f>VLOOKUP(_nK1,Времена_кондуктора,2)*_NO1</f>
        <v>1.05</v>
      </c>
    </row>
    <row r="15" spans="2:12" s="186" customFormat="1" ht="16.899999999999999" customHeight="1" x14ac:dyDescent="0.2">
      <c r="B15" s="655" t="s">
        <v>352</v>
      </c>
      <c r="C15" s="656"/>
      <c r="D15" s="656"/>
      <c r="E15" s="657"/>
      <c r="F15" s="189" t="s">
        <v>353</v>
      </c>
      <c r="G15" s="269">
        <v>1</v>
      </c>
      <c r="H15" s="270">
        <v>0</v>
      </c>
      <c r="J15" s="286"/>
      <c r="K15" s="288" t="s">
        <v>354</v>
      </c>
      <c r="L15" s="288">
        <f>VLOOKUP(_nK2,Времена_кондуктора,2)*_NO2</f>
        <v>0</v>
      </c>
    </row>
    <row r="16" spans="2:12" s="186" customFormat="1" ht="17.45" customHeight="1" x14ac:dyDescent="0.2">
      <c r="B16" s="651" t="s">
        <v>355</v>
      </c>
      <c r="C16" s="652"/>
      <c r="D16" s="652"/>
      <c r="E16" s="654"/>
      <c r="F16" s="188" t="s">
        <v>356</v>
      </c>
      <c r="G16" s="269">
        <v>5</v>
      </c>
      <c r="H16" s="270">
        <v>3</v>
      </c>
      <c r="J16" s="282" t="s">
        <v>244</v>
      </c>
      <c r="K16" s="289" t="s">
        <v>357</v>
      </c>
      <c r="L16" s="288">
        <f>SUM(L14:L15)</f>
        <v>1.05</v>
      </c>
    </row>
    <row r="17" spans="2:13" s="186" customFormat="1" ht="13.15" customHeight="1" x14ac:dyDescent="0.2">
      <c r="B17" s="643" t="s">
        <v>233</v>
      </c>
      <c r="C17" s="644"/>
      <c r="D17" s="644"/>
      <c r="E17" s="644"/>
      <c r="F17" s="188" t="s">
        <v>241</v>
      </c>
      <c r="G17" s="269">
        <v>210</v>
      </c>
      <c r="H17" s="269">
        <v>210</v>
      </c>
      <c r="J17" s="282" t="s">
        <v>243</v>
      </c>
      <c r="K17" s="289" t="s">
        <v>358</v>
      </c>
      <c r="L17" s="288">
        <f>VLOOKUP(_nK1,Времена_кондуктора,IF(_Np1=3,4,5))+VLOOKUP(_nK2,Времена_кондуктора,IF(_Np2=3,4,5))</f>
        <v>4.2300000000000004</v>
      </c>
    </row>
    <row r="18" spans="2:13" s="186" customFormat="1" ht="13.15" customHeight="1" thickBot="1" x14ac:dyDescent="0.25">
      <c r="B18" s="643"/>
      <c r="C18" s="644"/>
      <c r="D18" s="644"/>
      <c r="E18" s="644"/>
      <c r="F18" s="188" t="s">
        <v>242</v>
      </c>
      <c r="G18" s="269">
        <v>150</v>
      </c>
      <c r="H18" s="269">
        <v>150</v>
      </c>
      <c r="J18" s="290" t="s">
        <v>248</v>
      </c>
      <c r="K18" s="193" t="s">
        <v>359</v>
      </c>
      <c r="L18" s="291">
        <f>VLOOKUP(Nb,'Приложение MANIA'!C24:D32,2)</f>
        <v>0.05</v>
      </c>
    </row>
    <row r="19" spans="2:13" s="186" customFormat="1" ht="13.5" thickBot="1" x14ac:dyDescent="0.25">
      <c r="B19" s="664" t="s">
        <v>360</v>
      </c>
      <c r="C19" s="665"/>
      <c r="D19" s="665"/>
      <c r="E19" s="665"/>
      <c r="F19" s="190" t="s">
        <v>361</v>
      </c>
      <c r="G19" s="271">
        <v>2</v>
      </c>
      <c r="H19" s="272">
        <v>2</v>
      </c>
    </row>
    <row r="20" spans="2:13" s="186" customFormat="1" x14ac:dyDescent="0.2"/>
    <row r="21" spans="2:13" s="186" customFormat="1" ht="16.5" thickBot="1" x14ac:dyDescent="0.25">
      <c r="B21" s="653" t="s">
        <v>234</v>
      </c>
      <c r="C21" s="653"/>
      <c r="D21" s="653"/>
      <c r="E21" s="653"/>
      <c r="F21" s="653"/>
      <c r="G21" s="653"/>
      <c r="H21" s="653"/>
    </row>
    <row r="22" spans="2:13" s="186" customFormat="1" ht="39" thickBot="1" x14ac:dyDescent="0.25">
      <c r="B22" s="649" t="s">
        <v>362</v>
      </c>
      <c r="C22" s="650"/>
      <c r="D22" s="650"/>
      <c r="E22" s="650"/>
      <c r="F22" s="650"/>
      <c r="G22" s="650"/>
      <c r="H22" s="192" t="s">
        <v>363</v>
      </c>
      <c r="J22" s="661" t="s">
        <v>417</v>
      </c>
      <c r="K22" s="661"/>
      <c r="L22" s="661"/>
    </row>
    <row r="23" spans="2:13" s="186" customFormat="1" ht="26.45" customHeight="1" thickBot="1" x14ac:dyDescent="0.25">
      <c r="B23" s="658" t="s">
        <v>245</v>
      </c>
      <c r="C23" s="659"/>
      <c r="D23" s="659"/>
      <c r="E23" s="659"/>
      <c r="F23" s="659"/>
      <c r="G23" s="660"/>
      <c r="H23" s="416">
        <f>М</f>
        <v>417.40776399999999</v>
      </c>
      <c r="J23" s="661"/>
      <c r="K23" s="661"/>
      <c r="L23" s="661"/>
    </row>
    <row r="24" spans="2:13" s="186" customFormat="1" ht="13.5" thickBot="1" x14ac:dyDescent="0.25">
      <c r="J24" s="661"/>
      <c r="K24" s="661"/>
      <c r="L24" s="661"/>
    </row>
    <row r="25" spans="2:13" s="186" customFormat="1" ht="39" thickBot="1" x14ac:dyDescent="0.25">
      <c r="B25" s="649" t="s">
        <v>364</v>
      </c>
      <c r="C25" s="650"/>
      <c r="D25" s="650"/>
      <c r="E25" s="650"/>
      <c r="F25" s="650"/>
      <c r="G25" s="650"/>
      <c r="H25" s="192" t="s">
        <v>363</v>
      </c>
    </row>
    <row r="26" spans="2:13" s="186" customFormat="1" ht="27" customHeight="1" thickBot="1" x14ac:dyDescent="0.25">
      <c r="B26" s="658" t="s">
        <v>247</v>
      </c>
      <c r="C26" s="659"/>
      <c r="D26" s="659"/>
      <c r="E26" s="659"/>
      <c r="F26" s="659"/>
      <c r="G26" s="659"/>
      <c r="H26" s="417">
        <f>РО*(ТП+ТО+ТК+Т1*Nb)/G7+H23/G7</f>
        <v>68.971215970734491</v>
      </c>
    </row>
    <row r="27" spans="2:13" s="186" customFormat="1" ht="13.5" thickBot="1" x14ac:dyDescent="0.25"/>
    <row r="28" spans="2:13" s="186" customFormat="1" ht="39" thickBot="1" x14ac:dyDescent="0.25">
      <c r="B28" s="649" t="s">
        <v>235</v>
      </c>
      <c r="C28" s="650"/>
      <c r="D28" s="650"/>
      <c r="E28" s="650"/>
      <c r="F28" s="650"/>
      <c r="G28" s="650"/>
      <c r="H28" s="192" t="s">
        <v>363</v>
      </c>
    </row>
    <row r="29" spans="2:13" s="186" customFormat="1" ht="27.6" customHeight="1" thickBot="1" x14ac:dyDescent="0.25">
      <c r="B29" s="646" t="s">
        <v>246</v>
      </c>
      <c r="C29" s="647"/>
      <c r="D29" s="647"/>
      <c r="E29" s="647"/>
      <c r="F29" s="647"/>
      <c r="G29" s="648"/>
      <c r="H29" s="416">
        <f>РО*(ТК+Т1*Nb)/N</f>
        <v>40.544574753206895</v>
      </c>
      <c r="K29" s="292"/>
      <c r="L29" s="293"/>
    </row>
    <row r="30" spans="2:13" s="186" customFormat="1" x14ac:dyDescent="0.2">
      <c r="M30" s="186">
        <f>Электроконтроль</f>
        <v>2</v>
      </c>
    </row>
    <row r="31" spans="2:13" s="186" customFormat="1" x14ac:dyDescent="0.2">
      <c r="C31" s="414"/>
      <c r="D31" s="414"/>
      <c r="E31" s="414"/>
      <c r="F31" s="414"/>
      <c r="G31" s="414"/>
      <c r="H31" s="414"/>
      <c r="I31" s="414"/>
      <c r="J31" s="414"/>
      <c r="K31" s="130" t="s">
        <v>409</v>
      </c>
      <c r="L31" s="415" t="str">
        <f>CONCATENATE(Цэкман,".00 руб.")</f>
        <v>0.00 руб.</v>
      </c>
      <c r="M31" s="186">
        <f>CEILING(IF(Электроконтроль=1,H26,(IF(Электроконтроль=5,H29,0))),1)</f>
        <v>0</v>
      </c>
    </row>
    <row r="32" spans="2:13" s="186" customFormat="1" x14ac:dyDescent="0.2"/>
    <row r="33" spans="2:12" s="186" customFormat="1" ht="15.75" x14ac:dyDescent="0.25">
      <c r="B33" s="172" t="s">
        <v>541</v>
      </c>
      <c r="C33"/>
      <c r="D33"/>
      <c r="E33"/>
      <c r="F33"/>
      <c r="H33"/>
      <c r="I33"/>
      <c r="J33"/>
      <c r="K33"/>
      <c r="L33" s="435" t="s">
        <v>416</v>
      </c>
    </row>
    <row r="34" spans="2:12" s="186" customFormat="1" x14ac:dyDescent="0.2"/>
    <row r="35" spans="2:12" s="186" customFormat="1" x14ac:dyDescent="0.2"/>
    <row r="42" spans="2:12" x14ac:dyDescent="0.2">
      <c r="B42" s="59"/>
    </row>
    <row r="45" spans="2:12" x14ac:dyDescent="0.2">
      <c r="D45" s="51"/>
    </row>
  </sheetData>
  <mergeCells count="36">
    <mergeCell ref="B4:H4"/>
    <mergeCell ref="J6:J7"/>
    <mergeCell ref="J8:J9"/>
    <mergeCell ref="L10:L11"/>
    <mergeCell ref="G10:H10"/>
    <mergeCell ref="G9:H9"/>
    <mergeCell ref="G8:H8"/>
    <mergeCell ref="G7:H7"/>
    <mergeCell ref="J4:L4"/>
    <mergeCell ref="J10:J11"/>
    <mergeCell ref="G6:H6"/>
    <mergeCell ref="B6:F6"/>
    <mergeCell ref="B7:E7"/>
    <mergeCell ref="B8:E8"/>
    <mergeCell ref="K10:K11"/>
    <mergeCell ref="B9:E9"/>
    <mergeCell ref="J22:L24"/>
    <mergeCell ref="B22:G22"/>
    <mergeCell ref="K12:K13"/>
    <mergeCell ref="B17:E18"/>
    <mergeCell ref="B19:E19"/>
    <mergeCell ref="B13:E13"/>
    <mergeCell ref="L12:L13"/>
    <mergeCell ref="J12:J13"/>
    <mergeCell ref="B12:E12"/>
    <mergeCell ref="B11:F11"/>
    <mergeCell ref="B10:E10"/>
    <mergeCell ref="B29:G29"/>
    <mergeCell ref="B28:G28"/>
    <mergeCell ref="B14:E14"/>
    <mergeCell ref="B21:H21"/>
    <mergeCell ref="B16:E16"/>
    <mergeCell ref="B15:E15"/>
    <mergeCell ref="B25:G25"/>
    <mergeCell ref="B26:G26"/>
    <mergeCell ref="B23:G23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7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V60"/>
  <sheetViews>
    <sheetView topLeftCell="B37" zoomScaleNormal="100" workbookViewId="0">
      <selection activeCell="I51" sqref="I51"/>
    </sheetView>
  </sheetViews>
  <sheetFormatPr defaultRowHeight="12.75" x14ac:dyDescent="0.2"/>
  <cols>
    <col min="1" max="1" width="3.85546875" hidden="1" customWidth="1"/>
    <col min="2" max="2" width="5.140625" customWidth="1"/>
    <col min="3" max="3" width="15.140625" customWidth="1"/>
    <col min="4" max="4" width="17.28515625" customWidth="1"/>
    <col min="5" max="5" width="9.85546875" customWidth="1"/>
    <col min="6" max="6" width="2.140625" hidden="1" customWidth="1"/>
    <col min="7" max="7" width="3.5703125" customWidth="1"/>
    <col min="8" max="8" width="11.140625" customWidth="1"/>
    <col min="9" max="9" width="11.5703125" customWidth="1"/>
    <col min="10" max="10" width="2.85546875" style="2" customWidth="1"/>
    <col min="11" max="11" width="12.28515625" customWidth="1"/>
    <col min="12" max="12" width="12" customWidth="1"/>
    <col min="13" max="13" width="3.5703125" style="2" customWidth="1"/>
    <col min="14" max="14" width="5.28515625" customWidth="1"/>
    <col min="15" max="15" width="16.7109375" customWidth="1"/>
    <col min="16" max="16" width="9.5703125" customWidth="1"/>
    <col min="17" max="17" width="12.28515625" customWidth="1"/>
    <col min="18" max="18" width="12.5703125" customWidth="1"/>
    <col min="19" max="19" width="10.7109375" customWidth="1"/>
    <col min="24" max="24" width="11.28515625" customWidth="1"/>
    <col min="25" max="25" width="15.42578125" customWidth="1"/>
  </cols>
  <sheetData>
    <row r="1" spans="1:15" ht="13.15" customHeight="1" x14ac:dyDescent="0.2"/>
    <row r="2" spans="1:15" ht="14.25" x14ac:dyDescent="0.2">
      <c r="C2" s="124" t="s">
        <v>186</v>
      </c>
    </row>
    <row r="3" spans="1:15" ht="15.75" x14ac:dyDescent="0.25">
      <c r="C3" s="125"/>
      <c r="O3" s="126"/>
    </row>
    <row r="4" spans="1:15" ht="15.75" x14ac:dyDescent="0.25">
      <c r="D4" s="124" t="s">
        <v>187</v>
      </c>
      <c r="I4" s="127"/>
      <c r="J4" s="128"/>
    </row>
    <row r="5" spans="1:15" ht="15.75" x14ac:dyDescent="0.25">
      <c r="D5" s="124"/>
      <c r="I5" s="127"/>
      <c r="J5" s="128"/>
    </row>
    <row r="6" spans="1:15" ht="16.899999999999999" customHeight="1" x14ac:dyDescent="0.2">
      <c r="A6" s="129"/>
      <c r="F6" s="129"/>
      <c r="G6" s="129"/>
      <c r="H6" s="129"/>
      <c r="I6" s="130" t="s">
        <v>3</v>
      </c>
      <c r="L6" s="130" t="s">
        <v>4</v>
      </c>
    </row>
    <row r="7" spans="1:15" ht="28.9" customHeight="1" x14ac:dyDescent="0.25">
      <c r="A7" s="131"/>
      <c r="C7" s="95"/>
      <c r="D7" s="150"/>
      <c r="E7" t="s">
        <v>0</v>
      </c>
      <c r="F7" s="131"/>
      <c r="G7" s="131"/>
      <c r="H7" s="690" t="s">
        <v>188</v>
      </c>
      <c r="I7" s="690" t="s">
        <v>189</v>
      </c>
      <c r="J7" s="131"/>
      <c r="K7" s="703" t="s">
        <v>190</v>
      </c>
      <c r="L7" s="704"/>
    </row>
    <row r="8" spans="1:15" ht="13.15" customHeight="1" x14ac:dyDescent="0.2">
      <c r="A8" s="131"/>
      <c r="C8" s="711" t="s">
        <v>324</v>
      </c>
      <c r="D8" s="712"/>
      <c r="E8" s="717" t="s">
        <v>325</v>
      </c>
      <c r="F8" s="131"/>
      <c r="G8" s="131"/>
      <c r="H8" s="720"/>
      <c r="I8" s="720"/>
      <c r="J8" s="95"/>
      <c r="K8" s="134" t="s">
        <v>191</v>
      </c>
      <c r="L8" s="137" t="s">
        <v>192</v>
      </c>
    </row>
    <row r="9" spans="1:15" ht="15.6" customHeight="1" x14ac:dyDescent="0.2">
      <c r="A9" s="131"/>
      <c r="C9" s="713"/>
      <c r="D9" s="714"/>
      <c r="E9" s="718"/>
      <c r="F9" s="131"/>
      <c r="G9" s="131"/>
      <c r="H9" s="418" t="s">
        <v>193</v>
      </c>
      <c r="I9" s="138" t="s">
        <v>30</v>
      </c>
      <c r="J9" s="131"/>
      <c r="K9" s="139" t="s">
        <v>194</v>
      </c>
      <c r="L9" s="136" t="s">
        <v>195</v>
      </c>
    </row>
    <row r="10" spans="1:15" ht="13.9" customHeight="1" x14ac:dyDescent="0.2">
      <c r="A10" s="131"/>
      <c r="C10" s="715"/>
      <c r="D10" s="716"/>
      <c r="E10" s="719"/>
      <c r="F10" s="131"/>
      <c r="G10" s="131"/>
      <c r="H10" s="6">
        <v>0</v>
      </c>
      <c r="I10" s="6">
        <v>0</v>
      </c>
      <c r="J10" s="140"/>
      <c r="K10" s="141">
        <v>1.01</v>
      </c>
      <c r="L10" s="132">
        <v>1.45</v>
      </c>
    </row>
    <row r="11" spans="1:15" x14ac:dyDescent="0.2">
      <c r="A11" s="131"/>
      <c r="C11" s="688" t="s">
        <v>197</v>
      </c>
      <c r="D11" s="689"/>
      <c r="E11" s="267">
        <f>ФОТнч</f>
        <v>242.67</v>
      </c>
      <c r="F11" s="131"/>
      <c r="G11" s="131"/>
      <c r="H11" s="419">
        <v>100</v>
      </c>
      <c r="I11" s="430">
        <v>0.35</v>
      </c>
      <c r="J11" s="140"/>
      <c r="K11" s="142">
        <v>1.1100000000000001</v>
      </c>
      <c r="L11" s="143">
        <v>1.62</v>
      </c>
    </row>
    <row r="12" spans="1:15" x14ac:dyDescent="0.2">
      <c r="A12" s="131"/>
      <c r="C12" s="707" t="str">
        <f>CONCATENATE("Отчисления на социальное страхование, ",Социальный_налог,"%")</f>
        <v>Отчисления на социальное страхование, 30.6%</v>
      </c>
      <c r="D12" s="708"/>
      <c r="E12" s="698">
        <f>E11*Социальный_налог*0.01</f>
        <v>74.257019999999997</v>
      </c>
      <c r="F12" s="131"/>
      <c r="G12" s="131"/>
      <c r="H12" s="421">
        <v>200</v>
      </c>
      <c r="I12" s="422">
        <v>0.45</v>
      </c>
      <c r="J12" s="140"/>
      <c r="K12" s="141">
        <v>1.1599999999999999</v>
      </c>
      <c r="L12" s="144">
        <v>1.71</v>
      </c>
    </row>
    <row r="13" spans="1:15" x14ac:dyDescent="0.2">
      <c r="A13" s="131"/>
      <c r="C13" s="709"/>
      <c r="D13" s="710"/>
      <c r="E13" s="699"/>
      <c r="F13" s="131"/>
      <c r="G13" s="131"/>
      <c r="H13" s="423">
        <v>300</v>
      </c>
      <c r="I13" s="420">
        <v>0.55000000000000004</v>
      </c>
      <c r="J13" s="140"/>
      <c r="K13" s="142">
        <v>1.21</v>
      </c>
      <c r="L13" s="143">
        <v>1.79</v>
      </c>
    </row>
    <row r="14" spans="1:15" ht="13.15" customHeight="1" x14ac:dyDescent="0.2">
      <c r="A14" s="131"/>
      <c r="C14" s="688" t="str">
        <f>CONCATENATE("Накладные расходы (",Накладные_расходы,"%)")</f>
        <v>Накладные расходы (117.6%)</v>
      </c>
      <c r="D14" s="689"/>
      <c r="E14" s="267">
        <f>E11*123.21*0.01</f>
        <v>298.99370699999997</v>
      </c>
      <c r="F14" s="131"/>
      <c r="G14" s="131"/>
      <c r="H14" s="421">
        <v>400</v>
      </c>
      <c r="I14" s="422">
        <v>0.65</v>
      </c>
      <c r="J14" s="140"/>
      <c r="K14" s="141">
        <v>1.32</v>
      </c>
      <c r="L14" s="144">
        <v>1.96</v>
      </c>
    </row>
    <row r="15" spans="1:15" x14ac:dyDescent="0.2">
      <c r="A15" s="131"/>
      <c r="C15" s="688" t="s">
        <v>198</v>
      </c>
      <c r="D15" s="689"/>
      <c r="E15" s="268">
        <f>SUM(E11:E14)</f>
        <v>615.92072699999994</v>
      </c>
      <c r="F15" s="131"/>
      <c r="G15" s="131"/>
      <c r="H15" s="423">
        <v>500</v>
      </c>
      <c r="I15" s="420">
        <v>0.75</v>
      </c>
      <c r="J15" s="140"/>
      <c r="K15" s="142">
        <v>1.37</v>
      </c>
      <c r="L15" s="143">
        <v>2.0499999999999998</v>
      </c>
    </row>
    <row r="16" spans="1:15" ht="14.45" customHeight="1" x14ac:dyDescent="0.2">
      <c r="A16" s="131"/>
      <c r="C16" s="688" t="str">
        <f>CONCATENATE("Плановые накопления (",Плановые_накопления,"%)")</f>
        <v>Плановые накопления (15%)</v>
      </c>
      <c r="D16" s="689"/>
      <c r="E16" s="267">
        <f>E15*Плановые_накопления/100</f>
        <v>92.388109049999983</v>
      </c>
      <c r="F16" s="131"/>
      <c r="G16" s="131"/>
      <c r="H16" s="421">
        <v>600</v>
      </c>
      <c r="I16" s="422">
        <v>0.8</v>
      </c>
      <c r="J16" s="140"/>
      <c r="K16" s="141">
        <v>1.42</v>
      </c>
      <c r="L16" s="144">
        <v>2.13</v>
      </c>
    </row>
    <row r="17" spans="1:21" x14ac:dyDescent="0.2">
      <c r="A17" s="129"/>
      <c r="C17" s="694" t="s">
        <v>326</v>
      </c>
      <c r="D17" s="695"/>
      <c r="E17" s="698">
        <f>E16+E15</f>
        <v>708.30883604999997</v>
      </c>
      <c r="F17" s="129"/>
      <c r="G17" s="129"/>
      <c r="H17" s="423">
        <v>700</v>
      </c>
      <c r="I17" s="420">
        <v>0.85</v>
      </c>
      <c r="J17" s="140"/>
      <c r="K17" s="142">
        <v>1.47</v>
      </c>
      <c r="L17" s="143">
        <v>2.2200000000000002</v>
      </c>
    </row>
    <row r="18" spans="1:21" ht="13.15" customHeight="1" x14ac:dyDescent="0.2">
      <c r="A18" s="145"/>
      <c r="C18" s="696"/>
      <c r="D18" s="697"/>
      <c r="E18" s="699"/>
      <c r="F18" s="145"/>
      <c r="G18" s="145"/>
      <c r="H18" s="421">
        <v>800</v>
      </c>
      <c r="I18" s="422">
        <v>0.9</v>
      </c>
      <c r="J18" s="140"/>
      <c r="K18" s="141">
        <v>1.52</v>
      </c>
      <c r="L18" s="144">
        <v>2.2999999999999998</v>
      </c>
    </row>
    <row r="19" spans="1:21" ht="12.6" customHeight="1" x14ac:dyDescent="0.2">
      <c r="A19" s="145"/>
      <c r="F19" s="145"/>
      <c r="G19" s="145"/>
      <c r="H19" s="423">
        <v>900</v>
      </c>
      <c r="I19" s="420">
        <v>1</v>
      </c>
      <c r="J19" s="140"/>
      <c r="K19" s="142">
        <v>1.57</v>
      </c>
      <c r="L19" s="143">
        <v>2.39</v>
      </c>
    </row>
    <row r="20" spans="1:21" ht="12.6" customHeight="1" x14ac:dyDescent="0.2">
      <c r="A20" s="146"/>
      <c r="D20" s="130" t="s">
        <v>196</v>
      </c>
      <c r="F20" s="146"/>
      <c r="G20" s="146"/>
      <c r="H20" s="423">
        <v>1000</v>
      </c>
      <c r="I20" s="420">
        <v>1.05</v>
      </c>
      <c r="J20" s="140"/>
      <c r="K20" s="141">
        <v>1.67</v>
      </c>
      <c r="L20" s="144">
        <v>2.56</v>
      </c>
    </row>
    <row r="21" spans="1:21" x14ac:dyDescent="0.2">
      <c r="A21" s="146"/>
      <c r="C21" s="700" t="s">
        <v>327</v>
      </c>
      <c r="D21" s="700" t="s">
        <v>328</v>
      </c>
      <c r="F21" s="146"/>
      <c r="G21" s="146"/>
      <c r="H21" s="423">
        <v>1100</v>
      </c>
      <c r="I21" s="420">
        <v>1.1000000000000001</v>
      </c>
      <c r="J21" s="140"/>
      <c r="K21" s="142">
        <v>1.72</v>
      </c>
      <c r="L21" s="143">
        <v>2.64</v>
      </c>
    </row>
    <row r="22" spans="1:21" x14ac:dyDescent="0.2">
      <c r="A22" s="95"/>
      <c r="C22" s="701"/>
      <c r="D22" s="701"/>
      <c r="F22" s="95"/>
      <c r="G22" s="95"/>
      <c r="H22" s="421">
        <v>1200</v>
      </c>
      <c r="I22" s="422">
        <v>1.1499999999999999</v>
      </c>
      <c r="J22" s="140"/>
      <c r="K22" s="141">
        <v>1.78</v>
      </c>
      <c r="L22" s="144">
        <v>2.73</v>
      </c>
    </row>
    <row r="23" spans="1:21" x14ac:dyDescent="0.2">
      <c r="A23" s="146"/>
      <c r="C23" s="702"/>
      <c r="D23" s="702"/>
      <c r="F23" s="146"/>
      <c r="G23" s="146"/>
      <c r="H23" s="423">
        <v>1300</v>
      </c>
      <c r="I23" s="420">
        <v>1.2</v>
      </c>
      <c r="J23" s="140"/>
      <c r="K23" s="142">
        <v>1.88</v>
      </c>
      <c r="L23" s="143">
        <v>2.9</v>
      </c>
    </row>
    <row r="24" spans="1:21" ht="13.15" customHeight="1" x14ac:dyDescent="0.25">
      <c r="A24" s="146"/>
      <c r="C24" s="137">
        <v>1</v>
      </c>
      <c r="D24" s="135">
        <v>0.3</v>
      </c>
      <c r="F24" s="146"/>
      <c r="G24" s="146"/>
      <c r="H24" s="421">
        <v>1400</v>
      </c>
      <c r="I24" s="422">
        <v>1.25</v>
      </c>
      <c r="J24" s="140"/>
      <c r="K24" s="141">
        <v>1.93</v>
      </c>
      <c r="L24" s="144">
        <v>2.98</v>
      </c>
      <c r="U24" s="149"/>
    </row>
    <row r="25" spans="1:21" ht="15.75" x14ac:dyDescent="0.25">
      <c r="A25" s="146"/>
      <c r="C25" s="136">
        <v>2</v>
      </c>
      <c r="D25" s="147">
        <v>0.2</v>
      </c>
      <c r="F25" s="146"/>
      <c r="G25" s="146"/>
      <c r="H25" s="423">
        <v>1500</v>
      </c>
      <c r="I25" s="420">
        <v>1.35</v>
      </c>
      <c r="J25" s="140"/>
      <c r="K25" s="142">
        <v>1.98</v>
      </c>
      <c r="L25" s="143">
        <v>3.07</v>
      </c>
      <c r="U25" s="149"/>
    </row>
    <row r="26" spans="1:21" x14ac:dyDescent="0.2">
      <c r="A26" s="146"/>
      <c r="C26" s="137">
        <v>3</v>
      </c>
      <c r="D26" s="148">
        <v>0.15</v>
      </c>
      <c r="F26" s="146"/>
      <c r="G26" s="146"/>
      <c r="H26" s="421">
        <v>1600</v>
      </c>
      <c r="I26" s="422">
        <v>1.3</v>
      </c>
      <c r="J26" s="140"/>
      <c r="K26" s="141">
        <v>2.0299999999999998</v>
      </c>
      <c r="L26" s="144">
        <v>3.15</v>
      </c>
    </row>
    <row r="27" spans="1:21" x14ac:dyDescent="0.2">
      <c r="A27" s="146"/>
      <c r="C27" s="136">
        <v>4</v>
      </c>
      <c r="D27" s="147">
        <v>0.1</v>
      </c>
      <c r="F27" s="146"/>
      <c r="G27" s="146"/>
      <c r="H27" s="423">
        <v>1700</v>
      </c>
      <c r="I27" s="420">
        <v>1.4</v>
      </c>
      <c r="J27" s="140"/>
      <c r="K27" s="142">
        <v>2.13</v>
      </c>
      <c r="L27" s="143">
        <v>3.32</v>
      </c>
    </row>
    <row r="28" spans="1:21" x14ac:dyDescent="0.2">
      <c r="A28" s="146"/>
      <c r="B28" s="146"/>
      <c r="C28" s="137">
        <v>5</v>
      </c>
      <c r="D28" s="148">
        <v>0.08</v>
      </c>
      <c r="F28" s="146"/>
      <c r="G28" s="146"/>
      <c r="H28" s="421">
        <v>1800</v>
      </c>
      <c r="I28" s="422">
        <v>1.5</v>
      </c>
      <c r="J28" s="140"/>
      <c r="K28" s="141">
        <v>2.23</v>
      </c>
      <c r="L28" s="144">
        <v>3.49</v>
      </c>
    </row>
    <row r="29" spans="1:21" x14ac:dyDescent="0.2">
      <c r="A29" s="95"/>
      <c r="B29" s="95"/>
      <c r="C29" s="136">
        <v>10</v>
      </c>
      <c r="D29" s="147">
        <v>7.0000000000000007E-2</v>
      </c>
      <c r="F29" s="95"/>
      <c r="G29" s="95"/>
      <c r="H29" s="423">
        <v>1900</v>
      </c>
      <c r="I29" s="420">
        <v>1.65</v>
      </c>
      <c r="J29" s="140"/>
      <c r="K29" s="142">
        <v>2.34</v>
      </c>
      <c r="L29" s="143">
        <v>3.66</v>
      </c>
    </row>
    <row r="30" spans="1:21" x14ac:dyDescent="0.2">
      <c r="A30" s="95"/>
      <c r="B30" s="2"/>
      <c r="C30" s="137">
        <v>50</v>
      </c>
      <c r="D30" s="148">
        <v>0.06</v>
      </c>
      <c r="F30" s="95"/>
      <c r="G30" s="95"/>
      <c r="H30" s="421">
        <v>2000</v>
      </c>
      <c r="I30" s="422">
        <v>1.75</v>
      </c>
      <c r="J30" s="140"/>
      <c r="K30" s="141">
        <v>2.44</v>
      </c>
      <c r="L30" s="144">
        <v>3.83</v>
      </c>
    </row>
    <row r="31" spans="1:21" x14ac:dyDescent="0.2">
      <c r="A31" s="146"/>
      <c r="B31" s="146"/>
      <c r="C31" s="136">
        <v>100</v>
      </c>
      <c r="D31" s="147">
        <v>0.05</v>
      </c>
      <c r="F31" s="146"/>
      <c r="G31" s="146"/>
      <c r="H31" s="423">
        <v>2100</v>
      </c>
      <c r="I31" s="420">
        <v>1.9</v>
      </c>
      <c r="J31" s="140"/>
      <c r="K31" s="142">
        <v>2.54</v>
      </c>
      <c r="L31" s="143">
        <v>4</v>
      </c>
    </row>
    <row r="32" spans="1:21" x14ac:dyDescent="0.2">
      <c r="A32" s="95"/>
      <c r="B32" s="2"/>
      <c r="C32" s="137">
        <v>500</v>
      </c>
      <c r="D32" s="147">
        <v>0.04</v>
      </c>
      <c r="F32" s="95"/>
      <c r="G32" s="95"/>
      <c r="H32" s="421">
        <v>2200</v>
      </c>
      <c r="I32" s="422">
        <v>2.0499999999999998</v>
      </c>
      <c r="J32" s="140"/>
      <c r="K32" s="141">
        <v>2.64</v>
      </c>
      <c r="L32" s="144">
        <v>4.17</v>
      </c>
    </row>
    <row r="33" spans="1:13" x14ac:dyDescent="0.2">
      <c r="A33" s="95"/>
      <c r="B33" s="2"/>
      <c r="F33" s="95"/>
      <c r="G33" s="95"/>
      <c r="H33" s="423">
        <v>2300</v>
      </c>
      <c r="I33" s="420">
        <v>2.2000000000000002</v>
      </c>
      <c r="J33" s="140"/>
      <c r="K33" s="142">
        <v>2.74</v>
      </c>
      <c r="L33" s="143">
        <v>4.34</v>
      </c>
    </row>
    <row r="34" spans="1:13" x14ac:dyDescent="0.2">
      <c r="A34" s="95"/>
      <c r="B34" s="2"/>
      <c r="F34" s="95"/>
      <c r="G34" s="95"/>
      <c r="H34" s="421">
        <v>2400</v>
      </c>
      <c r="I34" s="422">
        <v>2.35</v>
      </c>
      <c r="J34" s="140"/>
      <c r="K34" s="141">
        <v>2.85</v>
      </c>
      <c r="L34" s="144">
        <v>4.51</v>
      </c>
    </row>
    <row r="35" spans="1:13" x14ac:dyDescent="0.2">
      <c r="A35" s="146"/>
      <c r="B35" s="2"/>
      <c r="F35" s="146"/>
      <c r="G35" s="146"/>
      <c r="H35" s="423">
        <v>2500</v>
      </c>
      <c r="I35" s="420">
        <v>2.5</v>
      </c>
      <c r="J35" s="140"/>
      <c r="K35" s="142">
        <v>2.95</v>
      </c>
      <c r="L35" s="143">
        <v>4.68</v>
      </c>
    </row>
    <row r="36" spans="1:13" x14ac:dyDescent="0.2">
      <c r="A36" s="146"/>
      <c r="B36" s="2"/>
      <c r="F36" s="146"/>
      <c r="G36" s="146"/>
      <c r="H36" s="424">
        <v>2600</v>
      </c>
      <c r="I36" s="425">
        <v>2.7</v>
      </c>
      <c r="J36" s="140"/>
      <c r="K36" s="141">
        <v>3.05</v>
      </c>
      <c r="L36" s="144">
        <v>4.8499999999999996</v>
      </c>
    </row>
    <row r="37" spans="1:13" x14ac:dyDescent="0.2">
      <c r="A37" s="129"/>
      <c r="B37" s="2"/>
      <c r="F37" s="129"/>
      <c r="G37" s="129"/>
      <c r="H37" s="426">
        <v>2700</v>
      </c>
      <c r="I37" s="427">
        <v>2.9</v>
      </c>
      <c r="J37" s="140"/>
      <c r="K37" s="142">
        <v>3.15</v>
      </c>
      <c r="L37" s="143">
        <v>5.0199999999999996</v>
      </c>
    </row>
    <row r="38" spans="1:13" x14ac:dyDescent="0.2">
      <c r="A38" s="129"/>
      <c r="B38" s="2"/>
      <c r="F38" s="129"/>
      <c r="G38" s="129"/>
      <c r="H38" s="428">
        <v>2800</v>
      </c>
      <c r="I38" s="429">
        <v>3.1</v>
      </c>
      <c r="J38" s="140"/>
      <c r="K38" s="141">
        <v>3.25</v>
      </c>
      <c r="L38" s="144">
        <v>5.19</v>
      </c>
    </row>
    <row r="39" spans="1:13" x14ac:dyDescent="0.2">
      <c r="A39" s="129"/>
      <c r="B39" s="2"/>
      <c r="F39" s="129"/>
      <c r="G39" s="129"/>
      <c r="H39" s="426">
        <v>2900</v>
      </c>
      <c r="I39" s="427">
        <v>3.1</v>
      </c>
      <c r="J39" s="140"/>
      <c r="K39" s="142">
        <v>3.36</v>
      </c>
      <c r="L39" s="143">
        <v>5.36</v>
      </c>
    </row>
    <row r="40" spans="1:13" x14ac:dyDescent="0.2">
      <c r="A40" s="129"/>
      <c r="F40" s="129"/>
      <c r="G40" s="129"/>
      <c r="H40" s="428">
        <v>3000</v>
      </c>
      <c r="I40" s="429">
        <v>3.5</v>
      </c>
      <c r="J40" s="140"/>
      <c r="K40" s="141">
        <v>3.46</v>
      </c>
      <c r="L40" s="144">
        <v>5.53</v>
      </c>
    </row>
    <row r="41" spans="1:13" x14ac:dyDescent="0.2">
      <c r="A41" s="129"/>
      <c r="F41" s="129"/>
      <c r="G41" s="129"/>
      <c r="H41" s="426">
        <v>3100</v>
      </c>
      <c r="I41" s="427">
        <v>3.7</v>
      </c>
      <c r="J41" s="140"/>
      <c r="K41" s="142">
        <v>3.56</v>
      </c>
      <c r="L41" s="143">
        <v>5.7</v>
      </c>
    </row>
    <row r="42" spans="1:13" x14ac:dyDescent="0.2">
      <c r="A42" s="129"/>
      <c r="F42" s="129"/>
      <c r="G42" s="129"/>
      <c r="H42" s="428">
        <v>3200</v>
      </c>
      <c r="I42" s="429">
        <v>3.9</v>
      </c>
      <c r="J42" s="140"/>
      <c r="K42" s="141">
        <v>3.66</v>
      </c>
      <c r="L42" s="144">
        <v>5.87</v>
      </c>
    </row>
    <row r="43" spans="1:13" x14ac:dyDescent="0.2">
      <c r="A43" s="129"/>
      <c r="F43" s="129"/>
      <c r="G43" s="129"/>
      <c r="H43" s="426">
        <v>3300</v>
      </c>
      <c r="I43" s="427">
        <v>4.0999999999999996</v>
      </c>
      <c r="J43" s="140"/>
      <c r="K43" s="142">
        <v>3.76</v>
      </c>
      <c r="L43" s="143">
        <v>6.04</v>
      </c>
    </row>
    <row r="44" spans="1:13" x14ac:dyDescent="0.2">
      <c r="A44" s="129"/>
      <c r="F44" s="129"/>
      <c r="G44" s="129"/>
      <c r="H44" s="428">
        <v>3400</v>
      </c>
      <c r="I44" s="429">
        <v>4.2</v>
      </c>
      <c r="J44" s="140"/>
      <c r="K44" s="151">
        <v>3.87</v>
      </c>
      <c r="L44" s="152">
        <v>6.21</v>
      </c>
    </row>
    <row r="45" spans="1:13" ht="18" customHeight="1" x14ac:dyDescent="0.2">
      <c r="A45" s="129"/>
      <c r="F45" s="129"/>
      <c r="G45" s="129"/>
      <c r="H45" s="426">
        <v>3500</v>
      </c>
      <c r="I45" s="427">
        <v>4.3</v>
      </c>
      <c r="J45" s="95"/>
      <c r="K45" s="129"/>
    </row>
    <row r="46" spans="1:13" ht="15.75" x14ac:dyDescent="0.25">
      <c r="H46" s="153" t="s">
        <v>199</v>
      </c>
      <c r="M46"/>
    </row>
    <row r="47" spans="1:13" ht="27.6" customHeight="1" x14ac:dyDescent="0.2">
      <c r="C47" s="133" t="s">
        <v>200</v>
      </c>
      <c r="D47" s="133" t="s">
        <v>201</v>
      </c>
      <c r="E47" s="133" t="s">
        <v>202</v>
      </c>
      <c r="G47" s="703" t="s">
        <v>203</v>
      </c>
      <c r="H47" s="704"/>
      <c r="I47" s="134" t="s">
        <v>204</v>
      </c>
      <c r="J47" s="41"/>
      <c r="K47" s="690" t="s">
        <v>205</v>
      </c>
      <c r="L47" s="135" t="s">
        <v>206</v>
      </c>
      <c r="M47"/>
    </row>
    <row r="48" spans="1:13" ht="32.450000000000003" customHeight="1" x14ac:dyDescent="0.2">
      <c r="C48" s="138"/>
      <c r="D48" s="138"/>
      <c r="E48" s="138"/>
      <c r="F48" s="2"/>
      <c r="G48" s="705"/>
      <c r="H48" s="706"/>
      <c r="I48" s="155" t="s">
        <v>207</v>
      </c>
      <c r="J48" s="40"/>
      <c r="K48" s="691"/>
      <c r="L48" s="156" t="s">
        <v>208</v>
      </c>
      <c r="M48"/>
    </row>
    <row r="49" spans="1:22" ht="39.6" customHeight="1" x14ac:dyDescent="0.2">
      <c r="A49" s="157" t="s">
        <v>50</v>
      </c>
      <c r="C49" s="138" t="s">
        <v>209</v>
      </c>
      <c r="D49" s="158" t="s">
        <v>210</v>
      </c>
      <c r="E49" s="159">
        <v>1.28</v>
      </c>
      <c r="F49" s="160"/>
      <c r="G49" s="692" t="s">
        <v>211</v>
      </c>
      <c r="H49" s="693"/>
      <c r="I49" s="168">
        <v>513.74</v>
      </c>
      <c r="J49" s="37"/>
      <c r="K49" s="158" t="s">
        <v>212</v>
      </c>
      <c r="L49" s="170">
        <f>Цена_орг_стекла_2мм*1.2</f>
        <v>616.48799999999994</v>
      </c>
      <c r="M49"/>
      <c r="Q49" s="129"/>
      <c r="R49" s="129"/>
      <c r="T49" s="129"/>
      <c r="U49" s="129"/>
      <c r="V49" s="129"/>
    </row>
    <row r="50" spans="1:22" ht="25.5" x14ac:dyDescent="0.2">
      <c r="A50" s="139">
        <v>1</v>
      </c>
      <c r="C50" s="136" t="s">
        <v>213</v>
      </c>
      <c r="D50" s="131" t="s">
        <v>214</v>
      </c>
      <c r="E50" s="161">
        <v>1.28</v>
      </c>
      <c r="F50" s="131"/>
      <c r="G50" s="692" t="s">
        <v>211</v>
      </c>
      <c r="H50" s="693"/>
      <c r="I50" s="168">
        <v>753.49</v>
      </c>
      <c r="J50" s="37"/>
      <c r="K50" s="131" t="s">
        <v>212</v>
      </c>
      <c r="L50" s="170">
        <f>Цена_орг_стекла_4мм*1.2</f>
        <v>904.18799999999999</v>
      </c>
      <c r="M50"/>
      <c r="P50" s="145"/>
      <c r="Q50" s="129"/>
      <c r="R50" s="129"/>
      <c r="S50" s="129"/>
      <c r="T50" s="129"/>
      <c r="U50" s="129"/>
      <c r="V50" s="129"/>
    </row>
    <row r="51" spans="1:22" ht="15" customHeight="1" x14ac:dyDescent="0.2">
      <c r="A51" s="162">
        <v>2</v>
      </c>
      <c r="C51" s="133" t="s">
        <v>215</v>
      </c>
      <c r="D51" s="163" t="s">
        <v>216</v>
      </c>
      <c r="E51" s="133" t="s">
        <v>217</v>
      </c>
      <c r="F51" s="163"/>
      <c r="G51" s="163"/>
      <c r="H51" s="135" t="s">
        <v>218</v>
      </c>
      <c r="I51" s="169">
        <v>52</v>
      </c>
      <c r="J51" s="41"/>
      <c r="K51" s="163" t="s">
        <v>219</v>
      </c>
      <c r="L51" s="171">
        <f>Цена_твердосплавного_сверла*1.2</f>
        <v>62.4</v>
      </c>
      <c r="M51"/>
    </row>
    <row r="52" spans="1:22" ht="17.45" customHeight="1" x14ac:dyDescent="0.2">
      <c r="A52" s="134">
        <v>3</v>
      </c>
      <c r="C52" s="138" t="s">
        <v>220</v>
      </c>
      <c r="D52" s="158"/>
      <c r="E52" s="138"/>
      <c r="F52" s="158"/>
      <c r="G52" s="158"/>
      <c r="H52" s="154"/>
      <c r="I52" s="155"/>
      <c r="J52" s="40"/>
      <c r="K52" s="164">
        <v>40526</v>
      </c>
      <c r="L52" s="138"/>
      <c r="M52"/>
    </row>
    <row r="53" spans="1:22" ht="15.6" customHeight="1" x14ac:dyDescent="0.2">
      <c r="A53" s="155"/>
      <c r="C53" s="165"/>
      <c r="D53" s="131"/>
      <c r="E53" s="2"/>
      <c r="F53" s="131" t="s">
        <v>221</v>
      </c>
      <c r="G53" s="131"/>
      <c r="H53" s="131"/>
      <c r="M53"/>
    </row>
    <row r="54" spans="1:22" ht="15.6" customHeight="1" x14ac:dyDescent="0.2">
      <c r="A54" s="139">
        <v>4</v>
      </c>
      <c r="B54" s="131"/>
      <c r="C54" s="131"/>
      <c r="D54" s="131"/>
      <c r="E54" s="131"/>
      <c r="F54" s="131"/>
      <c r="G54" s="131"/>
      <c r="M54"/>
    </row>
    <row r="55" spans="1:22" ht="12" customHeight="1" x14ac:dyDescent="0.25">
      <c r="A55" s="149"/>
      <c r="B55" s="149"/>
      <c r="C55" s="149"/>
      <c r="D55" s="149"/>
      <c r="E55" s="149"/>
      <c r="F55" s="149"/>
      <c r="G55" s="149"/>
      <c r="M55"/>
    </row>
    <row r="56" spans="1:22" ht="14.45" customHeight="1" x14ac:dyDescent="0.2">
      <c r="M56"/>
      <c r="U56" s="166"/>
      <c r="V56" s="166"/>
    </row>
    <row r="57" spans="1:22" ht="13.9" customHeight="1" x14ac:dyDescent="0.2">
      <c r="K57" s="145"/>
      <c r="L57" s="129"/>
      <c r="M57" s="129"/>
      <c r="N57" s="129"/>
      <c r="O57" s="129"/>
      <c r="P57" s="129"/>
      <c r="Q57" s="129"/>
      <c r="R57" s="129"/>
    </row>
    <row r="58" spans="1:22" ht="8.4499999999999993" customHeight="1" x14ac:dyDescent="0.2">
      <c r="K58" s="145"/>
      <c r="L58" s="129"/>
      <c r="M58" s="129"/>
      <c r="N58" s="129"/>
      <c r="O58" s="129"/>
      <c r="P58" s="129"/>
      <c r="Q58" s="129"/>
      <c r="R58" s="129"/>
    </row>
    <row r="59" spans="1:22" ht="17.45" customHeight="1" x14ac:dyDescent="0.2">
      <c r="M59"/>
    </row>
    <row r="60" spans="1:22" ht="15.75" x14ac:dyDescent="0.25">
      <c r="H60" s="167"/>
    </row>
  </sheetData>
  <mergeCells count="19">
    <mergeCell ref="C12:D13"/>
    <mergeCell ref="E12:E13"/>
    <mergeCell ref="C14:D14"/>
    <mergeCell ref="K7:L7"/>
    <mergeCell ref="C8:D10"/>
    <mergeCell ref="E8:E10"/>
    <mergeCell ref="C11:D11"/>
    <mergeCell ref="H7:H8"/>
    <mergeCell ref="I7:I8"/>
    <mergeCell ref="C15:D15"/>
    <mergeCell ref="K47:K48"/>
    <mergeCell ref="G49:H49"/>
    <mergeCell ref="G50:H50"/>
    <mergeCell ref="C17:D18"/>
    <mergeCell ref="E17:E18"/>
    <mergeCell ref="C21:C23"/>
    <mergeCell ref="D21:D23"/>
    <mergeCell ref="G47:H48"/>
    <mergeCell ref="C16:D16"/>
  </mergeCells>
  <phoneticPr fontId="7" type="noConversion"/>
  <pageMargins left="0.16" right="0.15" top="0.25" bottom="0.49" header="0.28000000000000003" footer="0.49"/>
  <pageSetup paperSize="9" orientation="portrait" horizontalDpi="300" verticalDpi="300" copies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B1:M33"/>
  <sheetViews>
    <sheetView topLeftCell="A10" workbookViewId="0">
      <selection activeCell="K21" sqref="K21"/>
    </sheetView>
  </sheetViews>
  <sheetFormatPr defaultRowHeight="12.75" x14ac:dyDescent="0.2"/>
  <cols>
    <col min="5" max="5" width="17.28515625" customWidth="1"/>
    <col min="12" max="12" width="0" hidden="1" customWidth="1"/>
  </cols>
  <sheetData>
    <row r="1" spans="2:11" ht="15" x14ac:dyDescent="0.25">
      <c r="K1" s="436" t="s">
        <v>445</v>
      </c>
    </row>
    <row r="2" spans="2:11" ht="25.15" customHeight="1" x14ac:dyDescent="0.2">
      <c r="B2" s="742" t="s">
        <v>225</v>
      </c>
      <c r="C2" s="742"/>
      <c r="D2" s="742"/>
      <c r="E2" s="742"/>
      <c r="F2" s="742"/>
      <c r="G2" s="742"/>
      <c r="H2" s="742"/>
      <c r="I2" s="742"/>
      <c r="J2" s="742"/>
      <c r="K2" s="742"/>
    </row>
    <row r="3" spans="2:11" x14ac:dyDescent="0.2">
      <c r="B3" s="122"/>
      <c r="C3" s="122"/>
      <c r="D3" s="122"/>
      <c r="E3" s="122"/>
      <c r="F3" s="122"/>
      <c r="G3" s="122"/>
      <c r="H3" s="122"/>
      <c r="I3" s="122"/>
      <c r="J3" s="122"/>
      <c r="K3" s="122"/>
    </row>
    <row r="4" spans="2:11" ht="21" customHeight="1" x14ac:dyDescent="0.2">
      <c r="B4" s="749" t="s">
        <v>222</v>
      </c>
      <c r="C4" s="749"/>
      <c r="D4" s="749"/>
      <c r="E4" s="749"/>
      <c r="F4" s="749"/>
      <c r="G4" s="749"/>
      <c r="H4" s="749"/>
      <c r="I4" s="749"/>
      <c r="J4" s="749"/>
      <c r="K4" s="749"/>
    </row>
    <row r="5" spans="2:11" x14ac:dyDescent="0.2">
      <c r="B5" s="52" t="s">
        <v>8</v>
      </c>
      <c r="C5" s="18"/>
      <c r="D5" s="18"/>
      <c r="E5" s="18"/>
      <c r="F5" s="746" t="str">
        <f>Наименование_платы</f>
        <v>Децимальный номер платы</v>
      </c>
      <c r="G5" s="747"/>
      <c r="H5" s="747"/>
      <c r="I5" s="748"/>
      <c r="J5" s="47"/>
      <c r="K5" s="47"/>
    </row>
    <row r="6" spans="2:11" x14ac:dyDescent="0.2">
      <c r="B6" s="52" t="s">
        <v>35</v>
      </c>
      <c r="C6" s="18"/>
      <c r="D6" s="18"/>
      <c r="E6" s="18"/>
      <c r="F6" s="743">
        <f>П</f>
        <v>145</v>
      </c>
      <c r="G6" s="744"/>
      <c r="H6" s="744"/>
      <c r="I6" s="745"/>
      <c r="J6" s="8"/>
      <c r="K6" s="2"/>
    </row>
    <row r="7" spans="2:11" x14ac:dyDescent="0.2">
      <c r="B7" s="750" t="s">
        <v>489</v>
      </c>
      <c r="C7" s="751"/>
      <c r="D7" s="751"/>
      <c r="E7" s="752"/>
      <c r="F7" s="743">
        <f>БЛэк</f>
        <v>1</v>
      </c>
      <c r="G7" s="744"/>
      <c r="H7" s="744"/>
      <c r="I7" s="745"/>
      <c r="J7" s="8"/>
      <c r="K7" s="2"/>
    </row>
    <row r="8" spans="2:11" x14ac:dyDescent="0.2">
      <c r="B8" s="750" t="s">
        <v>330</v>
      </c>
      <c r="C8" s="751"/>
      <c r="D8" s="751"/>
      <c r="E8" s="752"/>
      <c r="F8" s="743">
        <f>1-INT(Электроконтроль/4)</f>
        <v>1</v>
      </c>
      <c r="G8" s="744"/>
      <c r="H8" s="744"/>
      <c r="I8" s="745"/>
      <c r="J8" s="8"/>
      <c r="K8" s="2"/>
    </row>
    <row r="9" spans="2:11" x14ac:dyDescent="0.2">
      <c r="B9" s="494" t="s">
        <v>490</v>
      </c>
      <c r="C9" s="495"/>
      <c r="D9" s="495"/>
      <c r="E9" s="496"/>
      <c r="F9" s="743">
        <f>ROUNDUP(П/БЛэк,0)</f>
        <v>145</v>
      </c>
      <c r="G9" s="744"/>
      <c r="H9" s="744"/>
      <c r="I9" s="745"/>
      <c r="J9" s="8"/>
      <c r="K9" s="2"/>
    </row>
    <row r="10" spans="2:11" x14ac:dyDescent="0.2">
      <c r="B10" s="750" t="s">
        <v>487</v>
      </c>
      <c r="C10" s="751"/>
      <c r="D10" s="751"/>
      <c r="E10" s="752"/>
      <c r="F10" s="743">
        <f>Расчет!G22</f>
        <v>1</v>
      </c>
      <c r="G10" s="744"/>
      <c r="H10" s="744"/>
      <c r="I10" s="745"/>
      <c r="J10" s="8"/>
      <c r="K10" s="2"/>
    </row>
    <row r="11" spans="2:11" x14ac:dyDescent="0.2">
      <c r="B11" s="52" t="s">
        <v>488</v>
      </c>
      <c r="C11" s="18"/>
      <c r="D11" s="18"/>
      <c r="E11" s="18"/>
      <c r="F11" s="743">
        <f>Расчет!G21</f>
        <v>600</v>
      </c>
      <c r="G11" s="744"/>
      <c r="H11" s="744"/>
      <c r="I11" s="745"/>
      <c r="J11" s="47"/>
      <c r="K11" s="47"/>
    </row>
    <row r="13" spans="2:11" ht="22.9" customHeight="1" x14ac:dyDescent="0.2">
      <c r="B13" s="738" t="s">
        <v>223</v>
      </c>
      <c r="C13" s="739"/>
      <c r="D13" s="739"/>
      <c r="E13" s="739"/>
      <c r="F13" s="739"/>
      <c r="G13" s="739"/>
      <c r="H13" s="739"/>
      <c r="I13" s="739"/>
      <c r="J13" s="739"/>
      <c r="K13" s="739"/>
    </row>
    <row r="14" spans="2:11" ht="18.75" x14ac:dyDescent="0.35">
      <c r="B14" s="63" t="s">
        <v>37</v>
      </c>
      <c r="C14" s="603" t="s">
        <v>331</v>
      </c>
      <c r="D14" s="603"/>
      <c r="E14" s="603"/>
      <c r="F14" s="603"/>
      <c r="G14" s="603"/>
      <c r="H14" s="603"/>
      <c r="I14" s="603"/>
      <c r="J14" s="603"/>
      <c r="K14" s="273">
        <v>270.61</v>
      </c>
    </row>
    <row r="15" spans="2:11" ht="15.75" x14ac:dyDescent="0.25">
      <c r="B15" s="63" t="s">
        <v>332</v>
      </c>
      <c r="C15" s="723" t="s">
        <v>333</v>
      </c>
      <c r="D15" s="724"/>
      <c r="E15" s="724"/>
      <c r="F15" s="724"/>
      <c r="G15" s="724"/>
      <c r="H15" s="724"/>
      <c r="I15" s="724"/>
      <c r="J15" s="725"/>
      <c r="K15" s="273">
        <f>Цнч</f>
        <v>692.66</v>
      </c>
    </row>
    <row r="16" spans="2:11" ht="15.75" x14ac:dyDescent="0.25">
      <c r="B16" s="63" t="s">
        <v>38</v>
      </c>
      <c r="C16" s="592" t="s">
        <v>45</v>
      </c>
      <c r="D16" s="593"/>
      <c r="E16" s="593"/>
      <c r="F16" s="593"/>
      <c r="G16" s="593"/>
      <c r="H16" s="593"/>
      <c r="I16" s="593"/>
      <c r="J16" s="615"/>
      <c r="K16" s="6">
        <v>1.2</v>
      </c>
    </row>
    <row r="17" spans="2:13" ht="15.75" x14ac:dyDescent="0.25">
      <c r="B17" s="63" t="s">
        <v>39</v>
      </c>
      <c r="C17" s="603" t="s">
        <v>486</v>
      </c>
      <c r="D17" s="603"/>
      <c r="E17" s="603"/>
      <c r="F17" s="603"/>
      <c r="G17" s="603"/>
      <c r="H17" s="603"/>
      <c r="I17" s="603"/>
      <c r="J17" s="603"/>
      <c r="K17" s="6">
        <f>$F$6</f>
        <v>145</v>
      </c>
    </row>
    <row r="18" spans="2:13" ht="15.75" hidden="1" x14ac:dyDescent="0.25">
      <c r="B18" s="63" t="s">
        <v>485</v>
      </c>
      <c r="C18" s="605" t="s">
        <v>486</v>
      </c>
      <c r="D18" s="740"/>
      <c r="E18" s="740"/>
      <c r="F18" s="740"/>
      <c r="G18" s="740"/>
      <c r="H18" s="740"/>
      <c r="I18" s="740"/>
      <c r="J18" s="741"/>
      <c r="K18" s="6"/>
    </row>
    <row r="19" spans="2:13" ht="15.75" x14ac:dyDescent="0.25">
      <c r="B19" s="63" t="s">
        <v>40</v>
      </c>
      <c r="C19" s="730" t="s">
        <v>46</v>
      </c>
      <c r="D19" s="730"/>
      <c r="E19" s="730"/>
      <c r="F19" s="730"/>
      <c r="G19" s="730"/>
      <c r="H19" s="730"/>
      <c r="I19" s="730"/>
      <c r="J19" s="730"/>
      <c r="K19" s="7">
        <f>$F$10</f>
        <v>1</v>
      </c>
    </row>
    <row r="20" spans="2:13" ht="34.9" customHeight="1" x14ac:dyDescent="0.25">
      <c r="B20" s="63" t="s">
        <v>41</v>
      </c>
      <c r="C20" s="722" t="s">
        <v>48</v>
      </c>
      <c r="D20" s="722"/>
      <c r="E20" s="722"/>
      <c r="F20" s="722"/>
      <c r="G20" s="722"/>
      <c r="H20" s="722"/>
      <c r="I20" s="722"/>
      <c r="J20" s="722"/>
      <c r="K20" s="6">
        <f>Коп*(0.2+0.00005*m)</f>
        <v>0.27600000000000002</v>
      </c>
    </row>
    <row r="21" spans="2:13" ht="27.6" customHeight="1" x14ac:dyDescent="0.25">
      <c r="B21" s="63" t="s">
        <v>42</v>
      </c>
      <c r="C21" s="722" t="s">
        <v>334</v>
      </c>
      <c r="D21" s="722"/>
      <c r="E21" s="722"/>
      <c r="F21" s="722"/>
      <c r="G21" s="722"/>
      <c r="H21" s="722"/>
      <c r="I21" s="722"/>
      <c r="J21" s="722"/>
      <c r="K21" s="6">
        <f>Коп*(0.1+2.5*10^-5*m)</f>
        <v>0.13800000000000001</v>
      </c>
    </row>
    <row r="22" spans="2:13" ht="15.6" customHeight="1" x14ac:dyDescent="0.2"/>
    <row r="24" spans="2:13" ht="20.45" customHeight="1" thickBot="1" x14ac:dyDescent="0.25">
      <c r="B24" s="737" t="s">
        <v>224</v>
      </c>
      <c r="C24" s="737"/>
      <c r="D24" s="737"/>
      <c r="E24" s="737"/>
      <c r="F24" s="737"/>
      <c r="G24" s="737"/>
      <c r="H24" s="737"/>
      <c r="I24" s="737"/>
      <c r="J24" s="737"/>
      <c r="K24" s="737"/>
    </row>
    <row r="25" spans="2:13" x14ac:dyDescent="0.2">
      <c r="B25" s="734" t="s">
        <v>43</v>
      </c>
      <c r="C25" s="735"/>
      <c r="D25" s="735"/>
      <c r="E25" s="735"/>
      <c r="F25" s="735"/>
      <c r="G25" s="735"/>
      <c r="H25" s="735"/>
      <c r="I25" s="735"/>
      <c r="J25" s="735"/>
      <c r="K25" s="736"/>
    </row>
    <row r="26" spans="2:13" ht="36.6" customHeight="1" x14ac:dyDescent="0.25">
      <c r="B26" s="721" t="s">
        <v>335</v>
      </c>
      <c r="C26" s="722"/>
      <c r="D26" s="722"/>
      <c r="E26" s="722"/>
      <c r="F26" s="722"/>
      <c r="G26" s="722"/>
      <c r="H26" s="722"/>
      <c r="I26" s="722"/>
      <c r="J26" s="722"/>
      <c r="K26" s="431">
        <f>Коп*(Цнч*(Тррп+Трпп+Трсп*(N-1))+Aatg*(Трпп+Трсп*(N-1)))/N</f>
        <v>166.34999139310341</v>
      </c>
      <c r="L26">
        <f>(447.43*Тррп+646.46*(0.24+0.00006*m+(0.12+0.00003*m)*(N-1)))/N</f>
        <v>92.912455724137928</v>
      </c>
    </row>
    <row r="27" spans="2:13" x14ac:dyDescent="0.2">
      <c r="B27" s="727" t="s">
        <v>44</v>
      </c>
      <c r="C27" s="728"/>
      <c r="D27" s="728"/>
      <c r="E27" s="728"/>
      <c r="F27" s="728"/>
      <c r="G27" s="728"/>
      <c r="H27" s="728"/>
      <c r="I27" s="728"/>
      <c r="J27" s="728"/>
      <c r="K27" s="729"/>
    </row>
    <row r="28" spans="2:13" ht="16.149999999999999" customHeight="1" thickBot="1" x14ac:dyDescent="0.25">
      <c r="B28" s="731" t="s">
        <v>491</v>
      </c>
      <c r="C28" s="732"/>
      <c r="D28" s="732"/>
      <c r="E28" s="732"/>
      <c r="F28" s="732"/>
      <c r="G28" s="732"/>
      <c r="H28" s="732"/>
      <c r="I28" s="732"/>
      <c r="J28" s="733"/>
      <c r="K28" s="401">
        <f>Коп*((Цнч+Aatg)*(Трпп+Трсп*(N-1)))/N</f>
        <v>160.6176327724138</v>
      </c>
      <c r="L28">
        <f>(646.46*(0.24+0.00003*m+(0.12+0.000003*m)*(N-1)))/N</f>
        <v>79.346054565517235</v>
      </c>
    </row>
    <row r="29" spans="2:13" ht="15.75" x14ac:dyDescent="0.25">
      <c r="B29" s="61"/>
    </row>
    <row r="31" spans="2:13" ht="15.75" x14ac:dyDescent="0.25">
      <c r="B31" s="726" t="s">
        <v>484</v>
      </c>
      <c r="C31" s="726"/>
      <c r="D31" s="726"/>
      <c r="E31" s="726"/>
      <c r="F31" s="726"/>
      <c r="G31" s="726"/>
      <c r="H31" s="726"/>
      <c r="I31" s="726"/>
      <c r="J31" s="49" t="str">
        <f>CONCATENATE(Цэкатг," руб.")</f>
        <v>167 руб.</v>
      </c>
      <c r="K31" s="261"/>
      <c r="M31">
        <f>CEILING((Контроль_первичный*K26+(1-Контроль_первичный)*K28)/БЛэк,1)</f>
        <v>167</v>
      </c>
    </row>
    <row r="33" spans="2:11" ht="62.45" customHeight="1" x14ac:dyDescent="0.25">
      <c r="B33" s="172" t="s">
        <v>541</v>
      </c>
      <c r="C33" s="432"/>
      <c r="D33" s="433"/>
      <c r="E33" s="433"/>
      <c r="F33" s="434"/>
      <c r="G33" s="434"/>
      <c r="H33" s="434"/>
      <c r="I33" s="434"/>
      <c r="J33" s="434"/>
      <c r="K33" s="435" t="s">
        <v>416</v>
      </c>
    </row>
  </sheetData>
  <mergeCells count="27">
    <mergeCell ref="B13:K13"/>
    <mergeCell ref="C18:J18"/>
    <mergeCell ref="B2:K2"/>
    <mergeCell ref="F11:I11"/>
    <mergeCell ref="F6:I6"/>
    <mergeCell ref="F5:I5"/>
    <mergeCell ref="B4:K4"/>
    <mergeCell ref="F10:I10"/>
    <mergeCell ref="B7:E7"/>
    <mergeCell ref="F7:I7"/>
    <mergeCell ref="B10:E10"/>
    <mergeCell ref="B8:E8"/>
    <mergeCell ref="F8:I8"/>
    <mergeCell ref="F9:I9"/>
    <mergeCell ref="B26:J26"/>
    <mergeCell ref="C14:J14"/>
    <mergeCell ref="C15:J15"/>
    <mergeCell ref="B31:I31"/>
    <mergeCell ref="B27:K27"/>
    <mergeCell ref="C17:J17"/>
    <mergeCell ref="C19:J19"/>
    <mergeCell ref="B28:J28"/>
    <mergeCell ref="B25:K25"/>
    <mergeCell ref="B24:K24"/>
    <mergeCell ref="C20:J20"/>
    <mergeCell ref="C21:J21"/>
    <mergeCell ref="C16:J16"/>
  </mergeCells>
  <phoneticPr fontId="7" type="noConversion"/>
  <pageMargins left="0.7" right="0.7" top="0.75" bottom="0.75" header="0.3" footer="0.3"/>
  <pageSetup paperSize="9" scale="91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pageSetUpPr fitToPage="1"/>
  </sheetPr>
  <dimension ref="B1:X88"/>
  <sheetViews>
    <sheetView topLeftCell="A39" zoomScale="130" zoomScaleNormal="130" workbookViewId="0">
      <selection activeCell="A58" sqref="A58:XFD59"/>
    </sheetView>
  </sheetViews>
  <sheetFormatPr defaultColWidth="9.140625" defaultRowHeight="11.25" x14ac:dyDescent="0.2"/>
  <cols>
    <col min="1" max="1" width="2.140625" style="53" customWidth="1"/>
    <col min="2" max="2" width="2.85546875" style="53" customWidth="1"/>
    <col min="3" max="3" width="37.28515625" style="53" customWidth="1"/>
    <col min="4" max="4" width="37.28515625" style="53" hidden="1" customWidth="1"/>
    <col min="5" max="5" width="9.140625" style="53" customWidth="1"/>
    <col min="6" max="6" width="9.28515625" style="53" customWidth="1"/>
    <col min="7" max="7" width="8" style="53" customWidth="1"/>
    <col min="8" max="8" width="5.5703125" style="53" customWidth="1"/>
    <col min="9" max="9" width="8.85546875" style="53" customWidth="1"/>
    <col min="10" max="10" width="10.28515625" style="53" customWidth="1"/>
    <col min="11" max="11" width="2.28515625" style="53" customWidth="1"/>
    <col min="12" max="12" width="21.28515625" style="53" bestFit="1" customWidth="1"/>
    <col min="13" max="13" width="1.85546875" style="53" customWidth="1"/>
    <col min="14" max="15" width="9.140625" style="53" customWidth="1"/>
    <col min="16" max="16" width="2.28515625" style="53" bestFit="1" customWidth="1"/>
    <col min="17" max="17" width="18.28515625" style="53" bestFit="1" customWidth="1"/>
    <col min="18" max="21" width="9.140625" style="53"/>
    <col min="22" max="22" width="9.7109375" style="53" bestFit="1" customWidth="1"/>
    <col min="23" max="23" width="9.140625" style="53"/>
    <col min="24" max="24" width="6.28515625" style="53" customWidth="1"/>
    <col min="25" max="16384" width="9.140625" style="53"/>
  </cols>
  <sheetData>
    <row r="1" spans="2:13" x14ac:dyDescent="0.2">
      <c r="J1" s="54" t="s">
        <v>572</v>
      </c>
    </row>
    <row r="2" spans="2:13" x14ac:dyDescent="0.2">
      <c r="H2" s="74"/>
      <c r="J2" s="54" t="s">
        <v>446</v>
      </c>
    </row>
    <row r="3" spans="2:13" ht="23.45" customHeight="1" x14ac:dyDescent="0.2">
      <c r="B3" s="753" t="s">
        <v>433</v>
      </c>
      <c r="C3" s="753"/>
      <c r="D3" s="753"/>
      <c r="E3" s="753"/>
      <c r="F3" s="753"/>
      <c r="G3" s="753"/>
      <c r="H3" s="753"/>
      <c r="I3" s="753"/>
      <c r="J3" s="753"/>
    </row>
    <row r="4" spans="2:13" ht="12.75" x14ac:dyDescent="0.2">
      <c r="B4" s="753" t="str">
        <f>CONCATENATE("на изготовление МПП ",Наименование_платы," в количестве ",Расчет!C7," шт.")</f>
        <v>на изготовление МПП Децимальный номер платы в количестве 145 шт.</v>
      </c>
      <c r="C4" s="753"/>
      <c r="D4" s="753"/>
      <c r="E4" s="753"/>
      <c r="F4" s="753"/>
      <c r="G4" s="753"/>
      <c r="H4" s="753"/>
      <c r="I4" s="753"/>
      <c r="J4" s="753"/>
    </row>
    <row r="5" spans="2:13" ht="12.75" x14ac:dyDescent="0.2">
      <c r="B5" s="753" t="str">
        <f>Номер_письма</f>
        <v>Номер заказа от дата</v>
      </c>
      <c r="C5" s="753"/>
      <c r="D5" s="753"/>
      <c r="E5" s="753"/>
      <c r="F5" s="753"/>
      <c r="G5" s="753"/>
      <c r="H5" s="753"/>
      <c r="I5" s="753"/>
      <c r="J5" s="753"/>
    </row>
    <row r="6" spans="2:13" ht="12.75" x14ac:dyDescent="0.2">
      <c r="D6"/>
      <c r="E6"/>
      <c r="F6"/>
      <c r="G6"/>
      <c r="H6"/>
      <c r="I6"/>
    </row>
    <row r="7" spans="2:13" ht="25.9" customHeight="1" x14ac:dyDescent="0.2">
      <c r="B7" s="636" t="s">
        <v>573</v>
      </c>
      <c r="C7" s="636"/>
      <c r="D7" s="636"/>
      <c r="E7" s="636"/>
      <c r="F7" s="636"/>
      <c r="G7" s="636"/>
      <c r="H7" s="636"/>
      <c r="I7" s="636"/>
      <c r="J7" s="636"/>
    </row>
    <row r="8" spans="2:13" ht="12.75" x14ac:dyDescent="0.2">
      <c r="B8" s="179"/>
      <c r="C8" s="179"/>
      <c r="D8" s="49"/>
      <c r="E8" s="179"/>
      <c r="F8" s="179"/>
      <c r="G8" s="179"/>
      <c r="H8" s="179"/>
      <c r="I8" s="179"/>
      <c r="J8" s="179"/>
    </row>
    <row r="9" spans="2:13" ht="10.15" customHeight="1" x14ac:dyDescent="0.2">
      <c r="B9" s="754" t="s">
        <v>50</v>
      </c>
      <c r="C9" s="755" t="s">
        <v>70</v>
      </c>
      <c r="D9" s="754" t="s">
        <v>70</v>
      </c>
      <c r="E9" s="754" t="s">
        <v>440</v>
      </c>
      <c r="F9" s="754"/>
      <c r="G9" s="754" t="s">
        <v>71</v>
      </c>
      <c r="H9" s="754" t="s">
        <v>261</v>
      </c>
      <c r="I9" s="754" t="s">
        <v>437</v>
      </c>
      <c r="J9" s="754" t="s">
        <v>436</v>
      </c>
    </row>
    <row r="10" spans="2:13" ht="24" customHeight="1" x14ac:dyDescent="0.2">
      <c r="B10" s="754"/>
      <c r="C10" s="756"/>
      <c r="D10" s="754"/>
      <c r="E10" s="448" t="s">
        <v>441</v>
      </c>
      <c r="F10" s="448" t="s">
        <v>442</v>
      </c>
      <c r="G10" s="754"/>
      <c r="H10" s="754"/>
      <c r="I10" s="754"/>
      <c r="J10" s="754"/>
    </row>
    <row r="11" spans="2:13" x14ac:dyDescent="0.2">
      <c r="B11" s="75">
        <v>1</v>
      </c>
      <c r="C11" s="75">
        <v>2</v>
      </c>
      <c r="D11" s="75">
        <v>2</v>
      </c>
      <c r="E11" s="75">
        <v>3</v>
      </c>
      <c r="F11" s="75">
        <v>4</v>
      </c>
      <c r="G11" s="75">
        <v>5</v>
      </c>
      <c r="H11" s="75">
        <v>6</v>
      </c>
      <c r="I11" s="75">
        <v>7</v>
      </c>
      <c r="J11" s="75">
        <v>8</v>
      </c>
    </row>
    <row r="12" spans="2:13" x14ac:dyDescent="0.2">
      <c r="B12" s="76">
        <v>1</v>
      </c>
      <c r="C12" s="552" t="str">
        <f>VLOOKUP(D12,[1]!Всё,3)</f>
        <v>Аммиак водный</v>
      </c>
      <c r="D12" s="377" t="s">
        <v>73</v>
      </c>
      <c r="E12" s="378" t="s">
        <v>164</v>
      </c>
      <c r="F12" s="378">
        <v>1110</v>
      </c>
      <c r="G12" s="194">
        <f t="shared" ref="G12:G46" si="0">2*(IF(ISNUMBER(F12),F12,0)+(Листов_материала-1)*IF(ISNUMBER(E12),E12,0))*(Площадь_заготовок/100)/1000*Квг</f>
        <v>10.870929300000002</v>
      </c>
      <c r="H12" s="379" t="s">
        <v>74</v>
      </c>
      <c r="I12" s="397">
        <f>VLOOKUP(D12,[1]!ПрайсНаМатериалы,3)</f>
        <v>53</v>
      </c>
      <c r="J12" s="194">
        <f t="shared" ref="J12:J48" si="1">I12*G12</f>
        <v>576.15925290000007</v>
      </c>
      <c r="L12" s="53" t="s">
        <v>432</v>
      </c>
    </row>
    <row r="13" spans="2:13" x14ac:dyDescent="0.2">
      <c r="B13" s="76">
        <v>2</v>
      </c>
      <c r="C13" s="552" t="str">
        <f>VLOOKUP(D13,[1]!Всё,3)</f>
        <v>Аммоний надсернокислый</v>
      </c>
      <c r="D13" s="377" t="s">
        <v>75</v>
      </c>
      <c r="E13" s="378">
        <v>40</v>
      </c>
      <c r="F13" s="378">
        <v>160</v>
      </c>
      <c r="G13" s="194">
        <f t="shared" si="0"/>
        <v>1.958726</v>
      </c>
      <c r="H13" s="379" t="s">
        <v>74</v>
      </c>
      <c r="I13" s="397">
        <f>VLOOKUP(D13,[1]!ПрайсНаМатериалы,3)</f>
        <v>160</v>
      </c>
      <c r="J13" s="194">
        <f t="shared" si="1"/>
        <v>313.39616000000001</v>
      </c>
      <c r="K13" s="77"/>
    </row>
    <row r="14" spans="2:13" ht="12.75" x14ac:dyDescent="0.2">
      <c r="B14" s="76">
        <v>3</v>
      </c>
      <c r="C14" s="552" t="str">
        <f>VLOOKUP(D14,[1]!Всё,3)</f>
        <v>Аммоний хлористый</v>
      </c>
      <c r="D14" s="377" t="s">
        <v>76</v>
      </c>
      <c r="E14" s="378" t="s">
        <v>164</v>
      </c>
      <c r="F14" s="378">
        <v>400</v>
      </c>
      <c r="G14" s="194">
        <f t="shared" si="0"/>
        <v>3.9174519999999999</v>
      </c>
      <c r="H14" s="379" t="s">
        <v>74</v>
      </c>
      <c r="I14" s="397">
        <f>VLOOKUP(D14,[1]!ПрайсНаМатериалы,3)</f>
        <v>150</v>
      </c>
      <c r="J14" s="194">
        <f t="shared" si="1"/>
        <v>587.61779999999999</v>
      </c>
      <c r="M14"/>
    </row>
    <row r="15" spans="2:13" ht="12.75" x14ac:dyDescent="0.2">
      <c r="B15" s="76">
        <v>4</v>
      </c>
      <c r="C15" s="552" t="str">
        <f>VLOOKUP(D15,[1]!Всё,3)</f>
        <v>Аноды медные АМФ</v>
      </c>
      <c r="D15" s="377" t="s">
        <v>77</v>
      </c>
      <c r="E15" s="378" t="s">
        <v>164</v>
      </c>
      <c r="F15" s="378">
        <v>150</v>
      </c>
      <c r="G15" s="194">
        <f t="shared" si="0"/>
        <v>1.4690445000000001</v>
      </c>
      <c r="H15" s="379" t="s">
        <v>74</v>
      </c>
      <c r="I15" s="397">
        <f>VLOOKUP(D15,[1]!ПрайсНаМатериалы,3)</f>
        <v>818.62</v>
      </c>
      <c r="J15" s="194">
        <f t="shared" si="1"/>
        <v>1202.58920859</v>
      </c>
      <c r="M15"/>
    </row>
    <row r="16" spans="2:13" ht="12.75" x14ac:dyDescent="0.2">
      <c r="B16" s="76">
        <v>5</v>
      </c>
      <c r="C16" s="552" t="str">
        <f>VLOOKUP(D16,[1]!Всё,3)</f>
        <v>Кислота борфтористоводородная</v>
      </c>
      <c r="D16" s="377" t="s">
        <v>78</v>
      </c>
      <c r="E16" s="378" t="s">
        <v>164</v>
      </c>
      <c r="F16" s="380">
        <v>360</v>
      </c>
      <c r="G16" s="194">
        <f t="shared" si="0"/>
        <v>3.5257068000000005</v>
      </c>
      <c r="H16" s="76" t="s">
        <v>74</v>
      </c>
      <c r="I16" s="397">
        <f>VLOOKUP(D16,[1]!ПрайсНаМатериалы,3)</f>
        <v>246</v>
      </c>
      <c r="J16" s="194">
        <f t="shared" si="1"/>
        <v>867.32387280000012</v>
      </c>
      <c r="M16"/>
    </row>
    <row r="17" spans="2:13" ht="12.75" x14ac:dyDescent="0.2">
      <c r="B17" s="76">
        <v>6</v>
      </c>
      <c r="C17" s="552" t="str">
        <f>VLOOKUP(D17,[1]!Всё,3)</f>
        <v>Кислота серная</v>
      </c>
      <c r="D17" s="377" t="s">
        <v>79</v>
      </c>
      <c r="E17" s="381">
        <v>5.4</v>
      </c>
      <c r="F17" s="378">
        <v>1000</v>
      </c>
      <c r="G17" s="194">
        <f t="shared" si="0"/>
        <v>9.8465156020000002</v>
      </c>
      <c r="H17" s="379" t="s">
        <v>74</v>
      </c>
      <c r="I17" s="397">
        <f>VLOOKUP(D17,[1]!ПрайсНаМатериалы,3)</f>
        <v>48</v>
      </c>
      <c r="J17" s="194">
        <f t="shared" si="1"/>
        <v>472.63274889600001</v>
      </c>
      <c r="M17"/>
    </row>
    <row r="18" spans="2:13" ht="12.75" x14ac:dyDescent="0.2">
      <c r="B18" s="76">
        <v>7</v>
      </c>
      <c r="C18" s="552" t="str">
        <f>VLOOKUP(D18,[1]!Всё,3)</f>
        <v>Кислота соляная</v>
      </c>
      <c r="D18" s="382" t="s">
        <v>80</v>
      </c>
      <c r="E18" s="76">
        <v>900</v>
      </c>
      <c r="F18" s="383">
        <v>220</v>
      </c>
      <c r="G18" s="194">
        <f t="shared" si="0"/>
        <v>10.968865600000001</v>
      </c>
      <c r="H18" s="76" t="s">
        <v>74</v>
      </c>
      <c r="I18" s="397">
        <f>VLOOKUP(D18,[1]!ПрайсНаМатериалы,3)</f>
        <v>46</v>
      </c>
      <c r="J18" s="194">
        <f t="shared" si="1"/>
        <v>504.56781760000001</v>
      </c>
      <c r="M18"/>
    </row>
    <row r="19" spans="2:13" ht="12.75" x14ac:dyDescent="0.2">
      <c r="B19" s="76">
        <v>8</v>
      </c>
      <c r="C19" s="552" t="str">
        <f>VLOOKUP(D19,[1]!Всё,3)</f>
        <v>Медь сернокислая 5-водная</v>
      </c>
      <c r="D19" s="377" t="s">
        <v>81</v>
      </c>
      <c r="E19" s="379" t="s">
        <v>164</v>
      </c>
      <c r="F19" s="379">
        <v>35</v>
      </c>
      <c r="G19" s="194">
        <f t="shared" si="0"/>
        <v>0.34277705000000003</v>
      </c>
      <c r="H19" s="379" t="s">
        <v>74</v>
      </c>
      <c r="I19" s="397">
        <f>VLOOKUP(D19,[1]!ПрайсНаМатериалы,3)</f>
        <v>320</v>
      </c>
      <c r="J19" s="194">
        <f t="shared" si="1"/>
        <v>109.68865600000001</v>
      </c>
      <c r="M19"/>
    </row>
    <row r="20" spans="2:13" ht="12.75" x14ac:dyDescent="0.2">
      <c r="B20" s="76">
        <v>9</v>
      </c>
      <c r="C20" s="552" t="str">
        <f>VLOOKUP(D20,[1]!Всё,3)</f>
        <v>Натрий надсернокислый</v>
      </c>
      <c r="D20" s="382" t="s">
        <v>82</v>
      </c>
      <c r="E20" s="76" t="s">
        <v>164</v>
      </c>
      <c r="F20" s="76">
        <v>170</v>
      </c>
      <c r="G20" s="194">
        <f t="shared" si="0"/>
        <v>1.6649171</v>
      </c>
      <c r="H20" s="76" t="s">
        <v>74</v>
      </c>
      <c r="I20" s="397">
        <f>VLOOKUP(D20,[1]!ПрайсНаМатериалы,3)</f>
        <v>299</v>
      </c>
      <c r="J20" s="194">
        <f t="shared" si="1"/>
        <v>497.81021290000001</v>
      </c>
      <c r="M20"/>
    </row>
    <row r="21" spans="2:13" ht="12.75" x14ac:dyDescent="0.2">
      <c r="B21" s="447">
        <v>10</v>
      </c>
      <c r="C21" s="552" t="str">
        <f>VLOOKUP(D21,[1]!Всё,3)</f>
        <v>Натрий гидроокись</v>
      </c>
      <c r="D21" s="550" t="s">
        <v>588</v>
      </c>
      <c r="E21" s="76">
        <v>120</v>
      </c>
      <c r="F21" s="76">
        <v>150</v>
      </c>
      <c r="G21" s="194">
        <f t="shared" si="0"/>
        <v>2.6442801000000005</v>
      </c>
      <c r="H21" s="76" t="s">
        <v>74</v>
      </c>
      <c r="I21" s="397">
        <f>VLOOKUP(D21,[1]!ПрайсНаМатериалы,3)</f>
        <v>160</v>
      </c>
      <c r="J21" s="194">
        <f t="shared" si="1"/>
        <v>423.08481600000005</v>
      </c>
      <c r="M21"/>
    </row>
    <row r="22" spans="2:13" ht="12.75" x14ac:dyDescent="0.2">
      <c r="B22" s="76">
        <v>11</v>
      </c>
      <c r="C22" s="552" t="str">
        <f>VLOOKUP(D22,[1]!Всё,3)</f>
        <v>Натрий углекислый</v>
      </c>
      <c r="D22" s="382" t="s">
        <v>530</v>
      </c>
      <c r="E22" s="76">
        <v>30</v>
      </c>
      <c r="F22" s="76">
        <v>72</v>
      </c>
      <c r="G22" s="194">
        <f t="shared" si="0"/>
        <v>0.99895026000000009</v>
      </c>
      <c r="H22" s="76" t="s">
        <v>74</v>
      </c>
      <c r="I22" s="397">
        <f>VLOOKUP(D22,[1]!ПрайсНаМатериалы,3)</f>
        <v>240</v>
      </c>
      <c r="J22" s="194">
        <f t="shared" si="1"/>
        <v>239.74806240000001</v>
      </c>
      <c r="M22"/>
    </row>
    <row r="23" spans="2:13" ht="12.75" x14ac:dyDescent="0.2">
      <c r="B23" s="76">
        <v>12</v>
      </c>
      <c r="C23" s="552" t="str">
        <f>VLOOKUP(D23,[1]!Всё,3)</f>
        <v>Олово металлическое (аноды оловянные)</v>
      </c>
      <c r="D23" s="382" t="s">
        <v>83</v>
      </c>
      <c r="E23" s="76" t="s">
        <v>164</v>
      </c>
      <c r="F23" s="76">
        <v>40</v>
      </c>
      <c r="G23" s="194">
        <f t="shared" si="0"/>
        <v>0.39174520000000002</v>
      </c>
      <c r="H23" s="76" t="s">
        <v>74</v>
      </c>
      <c r="I23" s="397">
        <f>VLOOKUP(D23,[1]!ПрайсНаМатериалы,3)</f>
        <v>1981</v>
      </c>
      <c r="J23" s="194">
        <f t="shared" si="1"/>
        <v>776.04724120000003</v>
      </c>
      <c r="M23"/>
    </row>
    <row r="24" spans="2:13" ht="12.75" x14ac:dyDescent="0.2">
      <c r="B24" s="76">
        <v>13</v>
      </c>
      <c r="C24" s="552" t="str">
        <f>VLOOKUP(D24,[1]!Всё,3)</f>
        <v>Олово сернокислое (олова сульфат)</v>
      </c>
      <c r="D24" s="382" t="s">
        <v>84</v>
      </c>
      <c r="E24" s="76" t="s">
        <v>164</v>
      </c>
      <c r="F24" s="76">
        <v>3</v>
      </c>
      <c r="G24" s="194">
        <f t="shared" si="0"/>
        <v>2.938089E-2</v>
      </c>
      <c r="H24" s="76" t="s">
        <v>74</v>
      </c>
      <c r="I24" s="397">
        <f>VLOOKUP(D24,[1]!ПрайсНаМатериалы,3)</f>
        <v>2312.69</v>
      </c>
      <c r="J24" s="194">
        <f t="shared" si="1"/>
        <v>67.948890494099999</v>
      </c>
      <c r="M24"/>
    </row>
    <row r="25" spans="2:13" ht="12.75" x14ac:dyDescent="0.2">
      <c r="B25" s="76">
        <v>14</v>
      </c>
      <c r="C25" s="552" t="str">
        <f>VLOOKUP(D25,[1]!Всё,3)</f>
        <v>Пеногаситель</v>
      </c>
      <c r="D25" s="382" t="s">
        <v>85</v>
      </c>
      <c r="E25" s="76">
        <v>15</v>
      </c>
      <c r="F25" s="76">
        <v>15</v>
      </c>
      <c r="G25" s="194">
        <f t="shared" si="0"/>
        <v>0.29380889999999998</v>
      </c>
      <c r="H25" s="76" t="s">
        <v>74</v>
      </c>
      <c r="I25" s="397">
        <f>VLOOKUP(D25,[1]!ПрайсНаМатериалы,3)</f>
        <v>1115.8900000000001</v>
      </c>
      <c r="J25" s="194">
        <f t="shared" si="1"/>
        <v>327.85841342100002</v>
      </c>
      <c r="M25"/>
    </row>
    <row r="26" spans="2:13" ht="12.75" x14ac:dyDescent="0.2">
      <c r="B26" s="76">
        <v>15</v>
      </c>
      <c r="C26" s="552" t="str">
        <f>VLOOKUP(D26,[1]!Всё,3)</f>
        <v>Перекись водорода</v>
      </c>
      <c r="D26" s="382" t="s">
        <v>86</v>
      </c>
      <c r="E26" s="76">
        <v>900</v>
      </c>
      <c r="F26" s="76">
        <v>300</v>
      </c>
      <c r="G26" s="194">
        <f t="shared" si="0"/>
        <v>11.752356000000001</v>
      </c>
      <c r="H26" s="76" t="s">
        <v>74</v>
      </c>
      <c r="I26" s="397">
        <f>VLOOKUP(D26,[1]!ПрайсНаМатериалы,3)</f>
        <v>82</v>
      </c>
      <c r="J26" s="194">
        <f t="shared" si="1"/>
        <v>963.69319200000007</v>
      </c>
      <c r="M26"/>
    </row>
    <row r="27" spans="2:13" ht="12.75" x14ac:dyDescent="0.2">
      <c r="B27" s="76">
        <v>16</v>
      </c>
      <c r="C27" s="552" t="str">
        <f>VLOOKUP(D27,[1]!Всё,3)</f>
        <v>Состав для удаления олова</v>
      </c>
      <c r="D27" s="384" t="s">
        <v>87</v>
      </c>
      <c r="E27" s="378" t="s">
        <v>164</v>
      </c>
      <c r="F27" s="378">
        <v>620</v>
      </c>
      <c r="G27" s="194">
        <f t="shared" si="0"/>
        <v>6.0720506000000016</v>
      </c>
      <c r="H27" s="76" t="s">
        <v>74</v>
      </c>
      <c r="I27" s="397">
        <f>VLOOKUP(D27,[1]!ПрайсНаМатериалы,3)</f>
        <v>241.53</v>
      </c>
      <c r="J27" s="194">
        <f t="shared" si="1"/>
        <v>1466.5823814180003</v>
      </c>
      <c r="M27"/>
    </row>
    <row r="28" spans="2:13" ht="12.75" x14ac:dyDescent="0.2">
      <c r="B28" s="76">
        <v>17</v>
      </c>
      <c r="C28" s="552" t="str">
        <f>VLOOKUP(D28,[1]!Всё,3)</f>
        <v>Сода кальцинированная</v>
      </c>
      <c r="D28" s="384" t="s">
        <v>88</v>
      </c>
      <c r="E28" s="378">
        <v>200</v>
      </c>
      <c r="F28" s="378">
        <v>200</v>
      </c>
      <c r="G28" s="194">
        <f t="shared" si="0"/>
        <v>3.9174519999999999</v>
      </c>
      <c r="H28" s="76" t="s">
        <v>74</v>
      </c>
      <c r="I28" s="397">
        <f>VLOOKUP(D28,[1]!ПрайсНаМатериалы,3)</f>
        <v>36</v>
      </c>
      <c r="J28" s="194">
        <f t="shared" si="1"/>
        <v>141.02827199999999</v>
      </c>
      <c r="M28"/>
    </row>
    <row r="29" spans="2:13" ht="12.75" x14ac:dyDescent="0.2">
      <c r="B29" s="76">
        <v>18</v>
      </c>
      <c r="C29" s="552" t="str">
        <f>VLOOKUP(D29,[1]!Всё,3)</f>
        <v>Тринатрийфосфат</v>
      </c>
      <c r="D29" s="384" t="s">
        <v>90</v>
      </c>
      <c r="E29" s="378">
        <v>22</v>
      </c>
      <c r="F29" s="378">
        <v>140</v>
      </c>
      <c r="G29" s="194">
        <f t="shared" si="0"/>
        <v>1.5865680600000001</v>
      </c>
      <c r="H29" s="379" t="s">
        <v>74</v>
      </c>
      <c r="I29" s="397">
        <f>VLOOKUP(D29,[1]!ПрайсНаМатериалы,3)</f>
        <v>88.8</v>
      </c>
      <c r="J29" s="194">
        <f t="shared" si="1"/>
        <v>140.88724372799999</v>
      </c>
      <c r="M29"/>
    </row>
    <row r="30" spans="2:13" ht="12.75" x14ac:dyDescent="0.2">
      <c r="B30" s="76">
        <v>19</v>
      </c>
      <c r="C30" s="552" t="str">
        <f>VLOOKUP(D30,[1]!Всё,3)</f>
        <v>Очиститель BONDFILM REINIGER ALK</v>
      </c>
      <c r="D30" s="382" t="s">
        <v>253</v>
      </c>
      <c r="E30" s="76">
        <v>60</v>
      </c>
      <c r="F30" s="76" t="s">
        <v>164</v>
      </c>
      <c r="G30" s="194">
        <f t="shared" si="0"/>
        <v>0.58761779999999997</v>
      </c>
      <c r="H30" s="76" t="s">
        <v>74</v>
      </c>
      <c r="I30" s="397">
        <f>VLOOKUP(D30,[1]!ПрайсНаМатериалы,3)</f>
        <v>470.02</v>
      </c>
      <c r="J30" s="194">
        <f t="shared" si="1"/>
        <v>276.19211835599998</v>
      </c>
      <c r="M30"/>
    </row>
    <row r="31" spans="2:13" ht="12.75" x14ac:dyDescent="0.2">
      <c r="B31" s="76">
        <v>20</v>
      </c>
      <c r="C31" s="552" t="str">
        <f>VLOOKUP(D31,[1]!Всё,3)</f>
        <v>Активатор BONDFILM ACTIVATOR</v>
      </c>
      <c r="D31" s="382" t="s">
        <v>254</v>
      </c>
      <c r="E31" s="76">
        <v>13</v>
      </c>
      <c r="F31" s="76" t="s">
        <v>164</v>
      </c>
      <c r="G31" s="194">
        <f t="shared" si="0"/>
        <v>0.12731719</v>
      </c>
      <c r="H31" s="76" t="s">
        <v>74</v>
      </c>
      <c r="I31" s="397">
        <f>VLOOKUP(D31,[1]!ПрайсНаМатериалы,3)</f>
        <v>397.15</v>
      </c>
      <c r="J31" s="194">
        <f t="shared" si="1"/>
        <v>50.564022008499997</v>
      </c>
      <c r="M31"/>
    </row>
    <row r="32" spans="2:13" ht="12.75" x14ac:dyDescent="0.2">
      <c r="B32" s="76">
        <v>21</v>
      </c>
      <c r="C32" s="552" t="str">
        <f>VLOOKUP(D32,[1]!Всё,3)</f>
        <v>Модификатор BONDFILM PART A</v>
      </c>
      <c r="D32" s="382" t="s">
        <v>255</v>
      </c>
      <c r="E32" s="76">
        <v>170</v>
      </c>
      <c r="F32" s="76" t="s">
        <v>164</v>
      </c>
      <c r="G32" s="194">
        <f t="shared" si="0"/>
        <v>1.6649171</v>
      </c>
      <c r="H32" s="76" t="s">
        <v>74</v>
      </c>
      <c r="I32" s="397">
        <f>VLOOKUP(D32,[1]!ПрайсНаМатериалы,3)</f>
        <v>501.46</v>
      </c>
      <c r="J32" s="194">
        <f t="shared" si="1"/>
        <v>834.88932896599999</v>
      </c>
      <c r="M32"/>
    </row>
    <row r="33" spans="2:13" ht="13.15" customHeight="1" x14ac:dyDescent="0.2">
      <c r="B33" s="76">
        <v>22</v>
      </c>
      <c r="C33" s="552" t="str">
        <f>VLOOKUP(D33,[1]!Всё,3)</f>
        <v>Состав для приготовления BONDFILM STARTER</v>
      </c>
      <c r="D33" s="382" t="s">
        <v>256</v>
      </c>
      <c r="E33" s="383">
        <v>8</v>
      </c>
      <c r="F33" s="385"/>
      <c r="G33" s="194">
        <f t="shared" si="0"/>
        <v>7.8349039999999995E-2</v>
      </c>
      <c r="H33" s="76" t="s">
        <v>74</v>
      </c>
      <c r="I33" s="397">
        <f>VLOOKUP(D33,[1]!ПрайсНаМатериалы,3)</f>
        <v>373.54</v>
      </c>
      <c r="J33" s="194">
        <f t="shared" si="1"/>
        <v>29.266500401599998</v>
      </c>
      <c r="M33"/>
    </row>
    <row r="34" spans="2:13" ht="11.45" customHeight="1" x14ac:dyDescent="0.2">
      <c r="B34" s="76">
        <v>23</v>
      </c>
      <c r="C34" s="552" t="str">
        <f>VLOOKUP(D34,[1]!Всё,3)</f>
        <v>Набухатель SECURIGANTH P SWELLER</v>
      </c>
      <c r="D34" s="382" t="s">
        <v>257</v>
      </c>
      <c r="E34" s="76" t="s">
        <v>164</v>
      </c>
      <c r="F34" s="383">
        <v>150</v>
      </c>
      <c r="G34" s="194">
        <f t="shared" si="0"/>
        <v>1.4690445000000001</v>
      </c>
      <c r="H34" s="76" t="s">
        <v>74</v>
      </c>
      <c r="I34" s="397">
        <f>VLOOKUP(D34,[1]!ПрайсНаМатериалы,3)</f>
        <v>584.27</v>
      </c>
      <c r="J34" s="194">
        <f t="shared" si="1"/>
        <v>858.31863001500005</v>
      </c>
      <c r="M34"/>
    </row>
    <row r="35" spans="2:13" ht="12.75" x14ac:dyDescent="0.2">
      <c r="B35" s="76">
        <v>24</v>
      </c>
      <c r="C35" s="552" t="str">
        <f>VLOOKUP(D35,[1]!Всё,3)</f>
        <v>Дозир. раствор SECURIGANTH P500 DOSING SOLUTION</v>
      </c>
      <c r="D35" s="382" t="s">
        <v>258</v>
      </c>
      <c r="E35" s="76" t="s">
        <v>164</v>
      </c>
      <c r="F35" s="383">
        <v>180</v>
      </c>
      <c r="G35" s="194">
        <f t="shared" si="0"/>
        <v>1.7628534000000002</v>
      </c>
      <c r="H35" s="76" t="s">
        <v>74</v>
      </c>
      <c r="I35" s="397">
        <f>VLOOKUP(D35,[1]!ПрайсНаМатериалы,3)</f>
        <v>1349.5</v>
      </c>
      <c r="J35" s="194">
        <f t="shared" si="1"/>
        <v>2378.9706633000005</v>
      </c>
      <c r="M35"/>
    </row>
    <row r="36" spans="2:13" ht="12.75" x14ac:dyDescent="0.2">
      <c r="B36" s="76">
        <v>25</v>
      </c>
      <c r="C36" s="552" t="str">
        <f>VLOOKUP(D36,[1]!Всё,3)</f>
        <v>Восстановитель SECURIGANTH P500 REDUCTION CONDITIONER</v>
      </c>
      <c r="D36" s="382" t="s">
        <v>259</v>
      </c>
      <c r="E36" s="76" t="s">
        <v>164</v>
      </c>
      <c r="F36" s="383">
        <v>45</v>
      </c>
      <c r="G36" s="194">
        <f t="shared" si="0"/>
        <v>0.44071335000000006</v>
      </c>
      <c r="H36" s="76" t="s">
        <v>74</v>
      </c>
      <c r="I36" s="397">
        <f>VLOOKUP(D36,[1]!ПрайсНаМатериалы,3)</f>
        <v>993.56</v>
      </c>
      <c r="J36" s="194">
        <f t="shared" si="1"/>
        <v>437.87515602600001</v>
      </c>
      <c r="M36"/>
    </row>
    <row r="37" spans="2:13" ht="12.75" x14ac:dyDescent="0.2">
      <c r="B37" s="76">
        <v>26</v>
      </c>
      <c r="C37" s="552" t="str">
        <f>VLOOKUP(D37,[1]!Всё,3)</f>
        <v>Добавка NOVIGANTH HC ADDITIVE</v>
      </c>
      <c r="D37" s="377" t="s">
        <v>91</v>
      </c>
      <c r="E37" s="378" t="s">
        <v>164</v>
      </c>
      <c r="F37" s="378">
        <v>175</v>
      </c>
      <c r="G37" s="194">
        <f t="shared" si="0"/>
        <v>1.7138852499999999</v>
      </c>
      <c r="H37" s="379" t="s">
        <v>74</v>
      </c>
      <c r="I37" s="397">
        <f>VLOOKUP(D37,[1]!ПрайсНаМатериалы,3)</f>
        <v>1495.95</v>
      </c>
      <c r="J37" s="194">
        <f t="shared" si="1"/>
        <v>2563.8866397375</v>
      </c>
      <c r="M37"/>
    </row>
    <row r="38" spans="2:13" ht="12.75" x14ac:dyDescent="0.2">
      <c r="B38" s="76">
        <v>27</v>
      </c>
      <c r="C38" s="552" t="str">
        <f>VLOOKUP(D38,[1]!Всё,3)</f>
        <v>Очиститель SECURIGANTH 902 CLEANER</v>
      </c>
      <c r="D38" s="382" t="s">
        <v>260</v>
      </c>
      <c r="E38" s="378" t="s">
        <v>164</v>
      </c>
      <c r="F38" s="378">
        <v>45</v>
      </c>
      <c r="G38" s="194">
        <f t="shared" si="0"/>
        <v>0.44071335000000006</v>
      </c>
      <c r="H38" s="76" t="s">
        <v>74</v>
      </c>
      <c r="I38" s="397">
        <f>VLOOKUP(D38,[1]!ПрайсНаМатериалы,3)</f>
        <v>1131.17</v>
      </c>
      <c r="J38" s="194">
        <f t="shared" si="1"/>
        <v>498.52172011950012</v>
      </c>
      <c r="M38"/>
    </row>
    <row r="39" spans="2:13" x14ac:dyDescent="0.2">
      <c r="B39" s="76">
        <v>28</v>
      </c>
      <c r="C39" s="552" t="str">
        <f>VLOOKUP(D39,[1]!Всё,3)</f>
        <v>Восстановитель меди CU-REDUCTION SOLUTION</v>
      </c>
      <c r="D39" s="384" t="s">
        <v>92</v>
      </c>
      <c r="E39" s="378" t="s">
        <v>164</v>
      </c>
      <c r="F39" s="378">
        <v>190</v>
      </c>
      <c r="G39" s="194">
        <f t="shared" si="0"/>
        <v>1.8607897000000002</v>
      </c>
      <c r="H39" s="76" t="s">
        <v>74</v>
      </c>
      <c r="I39" s="397">
        <f>VLOOKUP(D39,[1]!ПрайсНаМатериалы,3)</f>
        <v>254.56</v>
      </c>
      <c r="J39" s="194">
        <f t="shared" si="1"/>
        <v>473.68262603200003</v>
      </c>
    </row>
    <row r="40" spans="2:13" x14ac:dyDescent="0.2">
      <c r="B40" s="76">
        <v>29</v>
      </c>
      <c r="C40" s="552" t="str">
        <f>VLOOKUP(D40,[1]!Всё,3)</f>
        <v>Стабилизатор NOVIGANTH HC STABILIZER</v>
      </c>
      <c r="D40" s="384" t="s">
        <v>93</v>
      </c>
      <c r="E40" s="378" t="s">
        <v>164</v>
      </c>
      <c r="F40" s="378">
        <v>5</v>
      </c>
      <c r="G40" s="194">
        <f t="shared" si="0"/>
        <v>4.8968150000000002E-2</v>
      </c>
      <c r="H40" s="76" t="s">
        <v>74</v>
      </c>
      <c r="I40" s="397">
        <f>VLOOKUP(D40,[1]!ПрайсНаМатериалы,3)</f>
        <v>2499.88</v>
      </c>
      <c r="J40" s="194">
        <f t="shared" si="1"/>
        <v>122.41449882200001</v>
      </c>
    </row>
    <row r="41" spans="2:13" x14ac:dyDescent="0.2">
      <c r="B41" s="76">
        <v>30</v>
      </c>
      <c r="C41" s="552" t="str">
        <f>VLOOKUP(D41,[1]!Всё,3)</f>
        <v>Состав для приготовления NOVIGANTH HC MAKE-UP</v>
      </c>
      <c r="D41" s="384" t="s">
        <v>94</v>
      </c>
      <c r="E41" s="378" t="s">
        <v>164</v>
      </c>
      <c r="F41" s="378">
        <v>7</v>
      </c>
      <c r="G41" s="194">
        <f t="shared" si="0"/>
        <v>6.8555410000000011E-2</v>
      </c>
      <c r="H41" s="76" t="s">
        <v>74</v>
      </c>
      <c r="I41" s="397">
        <f>VLOOKUP(D41,[1]!ПрайсНаМатериалы,3)</f>
        <v>1121.22</v>
      </c>
      <c r="J41" s="194">
        <f t="shared" si="1"/>
        <v>76.865696800200013</v>
      </c>
    </row>
    <row r="42" spans="2:13" x14ac:dyDescent="0.2">
      <c r="B42" s="76">
        <v>31</v>
      </c>
      <c r="C42" s="552" t="str">
        <f>VLOOKUP(D42,[1]!Всё,3)</f>
        <v>Предактиватор NEOGANTH LS PRE DIP</v>
      </c>
      <c r="D42" s="512" t="s">
        <v>529</v>
      </c>
      <c r="E42" s="378" t="s">
        <v>164</v>
      </c>
      <c r="F42" s="378">
        <v>7</v>
      </c>
      <c r="G42" s="194">
        <f t="shared" si="0"/>
        <v>6.8555410000000011E-2</v>
      </c>
      <c r="H42" s="76" t="s">
        <v>74</v>
      </c>
      <c r="I42" s="397">
        <f>VLOOKUP(D42,[1]!ПрайсНаМатериалы,3)</f>
        <v>367</v>
      </c>
      <c r="J42" s="194">
        <f t="shared" si="1"/>
        <v>25.159835470000004</v>
      </c>
    </row>
    <row r="43" spans="2:13" x14ac:dyDescent="0.2">
      <c r="B43" s="76">
        <v>32</v>
      </c>
      <c r="C43" s="552" t="str">
        <f>VLOOKUP(D43,[1]!Всё,3)</f>
        <v>Активатор NEOGANTH LS ACTIVATOR PLUS</v>
      </c>
      <c r="D43" s="512" t="s">
        <v>521</v>
      </c>
      <c r="E43" s="378" t="s">
        <v>164</v>
      </c>
      <c r="F43" s="378">
        <v>16</v>
      </c>
      <c r="G43" s="194">
        <f t="shared" si="0"/>
        <v>0.15669807999999999</v>
      </c>
      <c r="H43" s="76" t="s">
        <v>74</v>
      </c>
      <c r="I43" s="397">
        <f>VLOOKUP(D43,[1]!ПрайсНаМатериалы,3)</f>
        <v>6372.89</v>
      </c>
      <c r="J43" s="194">
        <f t="shared" si="1"/>
        <v>998.61962705120004</v>
      </c>
    </row>
    <row r="44" spans="2:13" x14ac:dyDescent="0.2">
      <c r="B44" s="76">
        <v>33</v>
      </c>
      <c r="C44" s="552" t="str">
        <f>VLOOKUP(D44,[1]!Всё,3)</f>
        <v>Восстановитель NEOGANTH LS REDUCER</v>
      </c>
      <c r="D44" s="512" t="s">
        <v>522</v>
      </c>
      <c r="E44" s="378" t="s">
        <v>164</v>
      </c>
      <c r="F44" s="378">
        <v>18</v>
      </c>
      <c r="G44" s="194">
        <f t="shared" si="0"/>
        <v>0.17628534000000001</v>
      </c>
      <c r="H44" s="76" t="s">
        <v>74</v>
      </c>
      <c r="I44" s="397">
        <f>VLOOKUP(D44,[1]!ПрайсНаМатериалы,3)</f>
        <v>3129.96</v>
      </c>
      <c r="J44" s="194">
        <f t="shared" si="1"/>
        <v>551.76606278640008</v>
      </c>
    </row>
    <row r="45" spans="2:13" x14ac:dyDescent="0.2">
      <c r="B45" s="76">
        <v>34</v>
      </c>
      <c r="C45" s="552" t="str">
        <f>VLOOKUP(D45,[1]!Всё,3)</f>
        <v>Кислота борная</v>
      </c>
      <c r="D45" s="512" t="s">
        <v>523</v>
      </c>
      <c r="E45" s="378" t="s">
        <v>164</v>
      </c>
      <c r="F45" s="378">
        <v>8</v>
      </c>
      <c r="G45" s="194">
        <f t="shared" si="0"/>
        <v>7.8349039999999995E-2</v>
      </c>
      <c r="H45" s="76" t="s">
        <v>74</v>
      </c>
      <c r="I45" s="397">
        <f>VLOOKUP(D45,[1]!ПрайсНаМатериалы,3)</f>
        <v>198</v>
      </c>
      <c r="J45" s="194">
        <f t="shared" si="1"/>
        <v>15.51310992</v>
      </c>
    </row>
    <row r="46" spans="2:13" x14ac:dyDescent="0.2">
      <c r="B46" s="76">
        <v>35</v>
      </c>
      <c r="C46" s="552" t="str">
        <f>VLOOKUP(D46,[1]!Всё,3)</f>
        <v>Состав для гальванизации CUPROSTAR LP-1</v>
      </c>
      <c r="D46" s="384" t="s">
        <v>95</v>
      </c>
      <c r="E46" s="378" t="s">
        <v>164</v>
      </c>
      <c r="F46" s="378">
        <v>23</v>
      </c>
      <c r="G46" s="194">
        <f t="shared" si="0"/>
        <v>0.22525349000000003</v>
      </c>
      <c r="H46" s="76" t="s">
        <v>74</v>
      </c>
      <c r="I46" s="397">
        <f>VLOOKUP(D46,[1]!ПрайсНаМатериалы,3)</f>
        <v>7389.74</v>
      </c>
      <c r="J46" s="194">
        <f t="shared" si="1"/>
        <v>1664.5647251926002</v>
      </c>
      <c r="L46" s="53" t="s">
        <v>439</v>
      </c>
    </row>
    <row r="47" spans="2:13" x14ac:dyDescent="0.2">
      <c r="B47" s="76">
        <v>36</v>
      </c>
      <c r="C47" s="552" t="str">
        <f>VLOOKUP(D47,[1]!Всё,3)</f>
        <v>Добавка STH ADDITIVE</v>
      </c>
      <c r="D47" s="384" t="s">
        <v>478</v>
      </c>
      <c r="E47" s="378" t="s">
        <v>164</v>
      </c>
      <c r="F47" s="378">
        <v>3</v>
      </c>
      <c r="G47" s="194">
        <f>2*(IF(ISNUMBER(F47),F47,0)+(Листов_материала-1)*IF(ISNUMBER(E47),E47,0))*(Площадь_заготовок/100)/1000</f>
        <v>2.6709899999999998E-2</v>
      </c>
      <c r="H47" s="76" t="s">
        <v>74</v>
      </c>
      <c r="I47" s="397">
        <f>VLOOKUP(D47,[1]!ПрайсНаМатериалы,3)</f>
        <v>984.12</v>
      </c>
      <c r="J47" s="194">
        <f t="shared" si="1"/>
        <v>26.285746787999997</v>
      </c>
    </row>
    <row r="48" spans="2:13" x14ac:dyDescent="0.2">
      <c r="B48" s="76">
        <v>37</v>
      </c>
      <c r="C48" s="552" t="str">
        <f>VLOOKUP(D48,[1]!Всё,3)</f>
        <v>Добавка SULFOTECH SP ADDITIVE</v>
      </c>
      <c r="D48" s="384" t="s">
        <v>479</v>
      </c>
      <c r="E48" s="378" t="s">
        <v>164</v>
      </c>
      <c r="F48" s="378">
        <v>3</v>
      </c>
      <c r="G48" s="194">
        <f>2*(IF(ISNUMBER(F48),F48,0)+(Листов_материала-1)*IF(ISNUMBER(E48),E48,0))*(Площадь_заготовок/100)/1000*Квг</f>
        <v>2.938089E-2</v>
      </c>
      <c r="H48" s="76" t="s">
        <v>74</v>
      </c>
      <c r="I48" s="397">
        <f>VLOOKUP(D48,[1]!ПрайсНаМатериалы,3)</f>
        <v>947.74</v>
      </c>
      <c r="J48" s="194">
        <f t="shared" si="1"/>
        <v>27.845444688600001</v>
      </c>
    </row>
    <row r="49" spans="2:14" x14ac:dyDescent="0.2">
      <c r="B49" s="395"/>
      <c r="C49" s="395"/>
      <c r="D49" s="392"/>
      <c r="E49" s="393"/>
      <c r="F49" s="393"/>
      <c r="G49" s="394"/>
      <c r="H49" s="395"/>
      <c r="I49" s="396"/>
      <c r="J49" s="394"/>
      <c r="L49" s="489">
        <f>SUM(J12:J48)</f>
        <v>21589.866394828205</v>
      </c>
    </row>
    <row r="50" spans="2:14" x14ac:dyDescent="0.2">
      <c r="B50" s="754" t="s">
        <v>50</v>
      </c>
      <c r="C50" s="754" t="s">
        <v>70</v>
      </c>
      <c r="D50" s="754" t="s">
        <v>70</v>
      </c>
      <c r="E50" s="754" t="s">
        <v>440</v>
      </c>
      <c r="F50" s="754"/>
      <c r="G50" s="754" t="s">
        <v>71</v>
      </c>
      <c r="H50" s="754" t="s">
        <v>261</v>
      </c>
      <c r="I50" s="754" t="s">
        <v>437</v>
      </c>
      <c r="J50" s="754" t="s">
        <v>436</v>
      </c>
      <c r="M50" s="320"/>
    </row>
    <row r="51" spans="2:14" ht="33.75" x14ac:dyDescent="0.2">
      <c r="B51" s="754"/>
      <c r="C51" s="754"/>
      <c r="D51" s="754"/>
      <c r="E51" s="448" t="s">
        <v>434</v>
      </c>
      <c r="F51" s="448" t="s">
        <v>435</v>
      </c>
      <c r="G51" s="754"/>
      <c r="H51" s="754"/>
      <c r="I51" s="754"/>
      <c r="J51" s="754"/>
    </row>
    <row r="52" spans="2:14" x14ac:dyDescent="0.2">
      <c r="B52" s="75">
        <v>1</v>
      </c>
      <c r="C52" s="75">
        <v>2</v>
      </c>
      <c r="D52" s="75">
        <v>2</v>
      </c>
      <c r="E52" s="75">
        <v>3</v>
      </c>
      <c r="F52" s="75">
        <v>4</v>
      </c>
      <c r="G52" s="75">
        <v>5</v>
      </c>
      <c r="H52" s="75">
        <v>6</v>
      </c>
      <c r="I52" s="75">
        <v>7</v>
      </c>
      <c r="J52" s="75">
        <v>8</v>
      </c>
    </row>
    <row r="53" spans="2:14" x14ac:dyDescent="0.2">
      <c r="B53" s="447">
        <v>1</v>
      </c>
      <c r="C53" s="552" t="str">
        <f>VLOOKUP(D53,[1]!Всё,3)</f>
        <v>Гетинакс -1 1.0мм</v>
      </c>
      <c r="D53" s="377" t="s">
        <v>584</v>
      </c>
      <c r="E53" s="379" t="s">
        <v>164</v>
      </c>
      <c r="F53" s="194">
        <f>IF(OR(MIN(bsizex,bsizey)=4.85,NOT(smalldrill&gt;0)),1.28,0)*1.4</f>
        <v>0</v>
      </c>
      <c r="G53" s="194">
        <f>F53*Площадь_заготовок/100*Квг</f>
        <v>0</v>
      </c>
      <c r="H53" s="383" t="s">
        <v>74</v>
      </c>
      <c r="I53" s="397">
        <f>VLOOKUP(D53,[1]!ПрайсНаМатериалы,3)</f>
        <v>364</v>
      </c>
      <c r="J53" s="194">
        <f t="shared" ref="J53:J62" si="2">I53*G53</f>
        <v>0</v>
      </c>
      <c r="M53" s="543"/>
      <c r="N53" s="543"/>
    </row>
    <row r="54" spans="2:14" x14ac:dyDescent="0.2">
      <c r="B54" s="447">
        <v>2</v>
      </c>
      <c r="C54" s="552" t="str">
        <f>VLOOKUP(D54,[1]!Всё,3)</f>
        <v>Гетинакс -1 1.5мм</v>
      </c>
      <c r="D54" s="377" t="s">
        <v>585</v>
      </c>
      <c r="E54" s="379" t="s">
        <v>164</v>
      </c>
      <c r="F54" s="379">
        <f>0.64*2.16</f>
        <v>1.3824000000000001</v>
      </c>
      <c r="G54" s="194">
        <f>F54*Площадь_заготовок/100*Квг</f>
        <v>6.7693570559999996</v>
      </c>
      <c r="H54" s="383" t="s">
        <v>74</v>
      </c>
      <c r="I54" s="397">
        <f>VLOOKUP(D54,[1]!ПрайсНаМатериалы,3)</f>
        <v>328</v>
      </c>
      <c r="J54" s="194">
        <f>I54*G54</f>
        <v>2220.3491143679998</v>
      </c>
      <c r="M54" s="543"/>
      <c r="N54" s="543"/>
    </row>
    <row r="55" spans="2:14" x14ac:dyDescent="0.2">
      <c r="B55" s="447">
        <v>3</v>
      </c>
      <c r="C55" s="552" t="str">
        <f>VLOOKUP(D55,[1]!Всё,3)</f>
        <v>Алюминий 0.18 (230х395мм)</v>
      </c>
      <c r="D55" s="382" t="str">
        <f>IF(MIN(bsizex,bsizey)=2.3,"Алюминий 0.18 (230х395мм)",IF(MIN(bsizex,bsizey)=2.8,"Алюминий 0.18 (280х395мм)","Алюминий 0.18 (230х395мм)"))</f>
        <v>Алюминий 0.18 (230х395мм)</v>
      </c>
      <c r="E55" s="383" t="s">
        <v>164</v>
      </c>
      <c r="F55" s="194">
        <f>IF(OR(MIN(bsizex,bsizey)=4.85,NOT(smalldrill&gt;0)),0,1)</f>
        <v>1</v>
      </c>
      <c r="G55" s="194">
        <f>F55*Площадь_заготовок/100*Квг</f>
        <v>4.8968150000000001</v>
      </c>
      <c r="H55" s="383" t="s">
        <v>68</v>
      </c>
      <c r="I55" s="397">
        <f>VLOOKUP(D55,[1]!ПрайсНаМатериалы,3)</f>
        <v>555.95000000000005</v>
      </c>
      <c r="J55" s="194">
        <f t="shared" si="2"/>
        <v>2722.3842992500004</v>
      </c>
      <c r="L55" s="543"/>
      <c r="M55" s="543"/>
      <c r="N55" s="543"/>
    </row>
    <row r="56" spans="2:14" ht="22.5" x14ac:dyDescent="0.2">
      <c r="B56" s="447">
        <v>4</v>
      </c>
      <c r="C56" s="552" t="str">
        <f>VLOOKUP(D56,[1]!Всё,3)</f>
        <v>Пленка отслаиваемая полиэфирная PACOTHANE</v>
      </c>
      <c r="D56" s="384" t="s">
        <v>249</v>
      </c>
      <c r="E56" s="194" t="s">
        <v>164</v>
      </c>
      <c r="F56" s="379">
        <v>1.28</v>
      </c>
      <c r="G56" s="194">
        <f>0.7*F56*O72*N*Квг</f>
        <v>7.1113503999999992</v>
      </c>
      <c r="H56" s="383" t="s">
        <v>68</v>
      </c>
      <c r="I56" s="397">
        <f>VLOOKUP(D56,[1]!ПрайсНаМатериалы,3)</f>
        <v>227.46</v>
      </c>
      <c r="J56" s="194">
        <f t="shared" si="2"/>
        <v>1617.5477619839999</v>
      </c>
      <c r="L56" s="543"/>
      <c r="M56" s="543"/>
      <c r="N56" s="543"/>
    </row>
    <row r="57" spans="2:14" x14ac:dyDescent="0.2">
      <c r="B57" s="449">
        <v>5</v>
      </c>
      <c r="C57" s="552" t="s">
        <v>625</v>
      </c>
      <c r="D57" s="377" t="s">
        <v>89</v>
      </c>
      <c r="E57" s="379">
        <f>Текстолит!C42</f>
        <v>1.28</v>
      </c>
      <c r="F57" s="379">
        <f>Текстолит!D42</f>
        <v>1.28</v>
      </c>
      <c r="G57" s="194">
        <f>(2*IF(ISNUMBER(F57),F57,0)+(Листов_материала-2)*IF(ISNUMBER(E57),E57,0))*Площадь_заготовок/100*Квг</f>
        <v>12.535846400000001</v>
      </c>
      <c r="H57" s="383" t="s">
        <v>68</v>
      </c>
      <c r="I57" s="397">
        <f>(I58+I59)/2</f>
        <v>2671</v>
      </c>
      <c r="J57" s="194">
        <f t="shared" si="2"/>
        <v>33483.245734399999</v>
      </c>
      <c r="L57" s="544"/>
      <c r="M57" s="543"/>
      <c r="N57" s="543"/>
    </row>
    <row r="58" spans="2:14" hidden="1" x14ac:dyDescent="0.2">
      <c r="B58" s="449">
        <v>5.0999999999999996</v>
      </c>
      <c r="C58" s="552" t="str">
        <f>VLOOKUP(D58,[1]!Всё,3)</f>
        <v>Стеклотекстолит фольгированный DE104ML 18/18-0.51</v>
      </c>
      <c r="D58" s="377" t="str">
        <f>VLOOKUP(Текстолит!J42,Текстолит!A3:B40,2)</f>
        <v>DE 104 ML 18/18-0,51</v>
      </c>
      <c r="E58" s="379">
        <f>E57</f>
        <v>1.28</v>
      </c>
      <c r="F58" s="379">
        <v>0</v>
      </c>
      <c r="G58" s="194">
        <f>(2*IF(ISNUMBER(F58),F58,0)+(Листов_материала-2)*IF(ISNUMBER(E58),E58,0))*Площадь_заготовок/100*Квг</f>
        <v>0</v>
      </c>
      <c r="H58" s="383" t="s">
        <v>68</v>
      </c>
      <c r="I58" s="397">
        <f>VLOOKUP(D58,[1]!ПрайсНаМатериалы,3)</f>
        <v>2671</v>
      </c>
      <c r="J58" s="194"/>
      <c r="L58" s="543"/>
      <c r="M58" s="543"/>
      <c r="N58" s="543"/>
    </row>
    <row r="59" spans="2:14" hidden="1" x14ac:dyDescent="0.2">
      <c r="B59" s="449">
        <v>5.2</v>
      </c>
      <c r="C59" s="552" t="str">
        <f>VLOOKUP(D59,[1]!Всё,3)</f>
        <v>Стеклотекстолит фольгированный DE104ML 18/18-0.51</v>
      </c>
      <c r="D59" s="377" t="str">
        <f>VLOOKUP(Текстолит!K42,Текстолит!A3:B40,2)</f>
        <v>DE 104 ML 18/18-0,51</v>
      </c>
      <c r="E59" s="379">
        <v>0</v>
      </c>
      <c r="F59" s="379">
        <f>F57</f>
        <v>1.28</v>
      </c>
      <c r="G59" s="194">
        <f>(2*IF(ISNUMBER(F59),F59,0)+(Листов_материала-2)*IF(ISNUMBER(E59),E59,0))*Площадь_заготовок/100*Квг</f>
        <v>12.535846400000001</v>
      </c>
      <c r="H59" s="383" t="s">
        <v>68</v>
      </c>
      <c r="I59" s="397">
        <f>VLOOKUP(D59,[1]!ПрайсНаМатериалы,3)</f>
        <v>2671</v>
      </c>
      <c r="J59" s="194"/>
      <c r="L59" s="543"/>
      <c r="M59" s="543"/>
      <c r="N59" s="543"/>
    </row>
    <row r="60" spans="2:14" x14ac:dyDescent="0.2">
      <c r="B60" s="447">
        <v>6</v>
      </c>
      <c r="C60" s="552" t="str">
        <f>VLOOKUP(D60,[1]!Всё,3)</f>
        <v>Фольга медная 70 мкм</v>
      </c>
      <c r="D60" s="384" t="s">
        <v>252</v>
      </c>
      <c r="E60" s="379">
        <v>1.28</v>
      </c>
      <c r="F60" s="378" t="s">
        <v>164</v>
      </c>
      <c r="G60" s="194">
        <f>E60*Слоев_теплоотвода*Площадь_заготовок/100*Квг</f>
        <v>0</v>
      </c>
      <c r="H60" s="383" t="s">
        <v>68</v>
      </c>
      <c r="I60" s="397">
        <f>VLOOKUP(D60,[1]!ПрайсНаМатериалы,3)</f>
        <v>1461.48</v>
      </c>
      <c r="J60" s="194">
        <f>I60*G60</f>
        <v>0</v>
      </c>
      <c r="L60" s="543"/>
      <c r="M60" s="543"/>
      <c r="N60" s="543"/>
    </row>
    <row r="61" spans="2:14" x14ac:dyDescent="0.2">
      <c r="B61" s="447">
        <v>7</v>
      </c>
      <c r="C61" s="552" t="str">
        <f>VLOOKUP(D61,[1]!Всё,3)</f>
        <v>Фоторезист сухой пленочный 40 мкм</v>
      </c>
      <c r="D61" s="384" t="s">
        <v>527</v>
      </c>
      <c r="E61" s="76">
        <v>1.25</v>
      </c>
      <c r="F61" s="76" t="s">
        <v>164</v>
      </c>
      <c r="G61" s="194">
        <f>(2*IF(ISNUMBER(F61),F61,0)+(Количество_слоев-2)*IF(ISNUMBER(E61),E61,0))*Площадь_заготовок/100*Квг</f>
        <v>12.242037499999999</v>
      </c>
      <c r="H61" s="383" t="s">
        <v>68</v>
      </c>
      <c r="I61" s="397" t="str">
        <f>VLOOKUP(D61,[1]!ПрайсНаМатериалы,3)</f>
        <v>204.45</v>
      </c>
      <c r="J61" s="194">
        <f>I61*G61</f>
        <v>2502.8845668749996</v>
      </c>
      <c r="L61" s="543"/>
    </row>
    <row r="62" spans="2:14" x14ac:dyDescent="0.2">
      <c r="B62" s="447">
        <v>8</v>
      </c>
      <c r="C62" s="552" t="str">
        <f>VLOOKUP(D62,[1]!Всё,3)</f>
        <v>Фоторезист сухой пленочный 50 мкм</v>
      </c>
      <c r="D62" s="384" t="s">
        <v>528</v>
      </c>
      <c r="E62" s="76" t="s">
        <v>164</v>
      </c>
      <c r="F62" s="76">
        <v>1.25</v>
      </c>
      <c r="G62" s="194">
        <f>(2*IF(ISNUMBER(F62),F62,0)+(Количество_слоев-2)*IF(ISNUMBER(E62),E62,0))*Площадь_заготовок/100*Квг</f>
        <v>12.242037499999999</v>
      </c>
      <c r="H62" s="383" t="s">
        <v>68</v>
      </c>
      <c r="I62" s="397">
        <f>VLOOKUP(D62,[1]!ПрайсНаМатериалы,3)</f>
        <v>211.8</v>
      </c>
      <c r="J62" s="194">
        <f t="shared" si="2"/>
        <v>2592.8635424999998</v>
      </c>
      <c r="L62" s="543"/>
    </row>
    <row r="63" spans="2:14" x14ac:dyDescent="0.2">
      <c r="B63" s="450"/>
      <c r="C63" s="450"/>
      <c r="D63" s="392"/>
      <c r="E63" s="395"/>
      <c r="F63" s="395"/>
      <c r="G63" s="394"/>
      <c r="H63" s="451"/>
      <c r="I63" s="452"/>
      <c r="J63" s="394"/>
      <c r="L63" s="489">
        <f>SUM(J53:J62)</f>
        <v>45139.275019377004</v>
      </c>
    </row>
    <row r="64" spans="2:14" x14ac:dyDescent="0.2">
      <c r="B64" s="754" t="s">
        <v>50</v>
      </c>
      <c r="C64" s="754" t="s">
        <v>70</v>
      </c>
      <c r="D64" s="754" t="s">
        <v>70</v>
      </c>
      <c r="E64" s="754" t="s">
        <v>440</v>
      </c>
      <c r="F64" s="754"/>
      <c r="G64" s="754" t="s">
        <v>71</v>
      </c>
      <c r="H64" s="754" t="s">
        <v>261</v>
      </c>
      <c r="I64" s="754" t="s">
        <v>437</v>
      </c>
      <c r="J64" s="754" t="s">
        <v>436</v>
      </c>
    </row>
    <row r="65" spans="2:24" ht="10.15" customHeight="1" x14ac:dyDescent="0.2">
      <c r="B65" s="754"/>
      <c r="C65" s="754"/>
      <c r="D65" s="754"/>
      <c r="E65" s="448" t="s">
        <v>434</v>
      </c>
      <c r="F65" s="448" t="s">
        <v>435</v>
      </c>
      <c r="G65" s="754"/>
      <c r="H65" s="754"/>
      <c r="I65" s="754"/>
      <c r="J65" s="754"/>
    </row>
    <row r="66" spans="2:24" x14ac:dyDescent="0.2">
      <c r="B66" s="75">
        <v>1</v>
      </c>
      <c r="C66" s="75">
        <v>2</v>
      </c>
      <c r="D66" s="75">
        <v>2</v>
      </c>
      <c r="E66" s="75">
        <v>3</v>
      </c>
      <c r="F66" s="75">
        <v>4</v>
      </c>
      <c r="G66" s="75">
        <v>5</v>
      </c>
      <c r="H66" s="75">
        <v>6</v>
      </c>
      <c r="I66" s="75">
        <v>7</v>
      </c>
      <c r="J66" s="75">
        <v>8</v>
      </c>
    </row>
    <row r="67" spans="2:24" ht="13.9" customHeight="1" x14ac:dyDescent="0.2">
      <c r="B67" s="447">
        <v>1</v>
      </c>
      <c r="C67" s="552" t="str">
        <f>VLOOKUP(D67,[1]!Всё,3)</f>
        <v>Стеклоткань прокладочная СТП-4 0,062</v>
      </c>
      <c r="D67" s="377" t="s">
        <v>250</v>
      </c>
      <c r="E67" s="379">
        <v>1.28</v>
      </c>
      <c r="F67" s="379"/>
      <c r="G67" s="194">
        <f>E67*Стеклоткань*Площадь_заготовок/100*Квг*IF(INDEX(тип_ст_таблица,FR)=B67,1,0)</f>
        <v>0</v>
      </c>
      <c r="H67" s="383" t="s">
        <v>68</v>
      </c>
      <c r="I67" s="397">
        <f>VLOOKUP(D67,[1]!ПрайсНаМатериалы,3)</f>
        <v>304.20999999999998</v>
      </c>
      <c r="J67" s="194">
        <f>I67*G67*IF(INDEX(тип_ст_таблица,FR)=B67,1,0)</f>
        <v>0</v>
      </c>
    </row>
    <row r="68" spans="2:24" ht="18.600000000000001" customHeight="1" x14ac:dyDescent="0.2">
      <c r="B68" s="447">
        <v>2</v>
      </c>
      <c r="C68" s="377" t="s">
        <v>251</v>
      </c>
      <c r="D68" s="377" t="s">
        <v>251</v>
      </c>
      <c r="E68" s="379">
        <v>1.28</v>
      </c>
      <c r="F68" s="379"/>
      <c r="G68" s="194">
        <f>E68*Стеклоткань*Площадь_заготовок/100*Квг*IF(INDEX(тип_ст_таблица,FR)=B68,1,0)</f>
        <v>56.411308799999993</v>
      </c>
      <c r="H68" s="383" t="s">
        <v>68</v>
      </c>
      <c r="I68" s="397">
        <f>VLOOKUP(D68,[1]!ПрайсНаМатериалы,3)</f>
        <v>385.55</v>
      </c>
      <c r="J68" s="194">
        <f>I68*G68*IF(INDEX(тип_ст_таблица,FR)=B68,1,0)</f>
        <v>21749.380107839999</v>
      </c>
      <c r="N68" s="757" t="s">
        <v>537</v>
      </c>
      <c r="O68" s="757"/>
    </row>
    <row r="69" spans="2:24" ht="11.45" customHeight="1" x14ac:dyDescent="0.2">
      <c r="B69" s="447">
        <v>3</v>
      </c>
      <c r="C69" s="552" t="str">
        <f>VLOOKUP(D69,[1]!Всё,3)</f>
        <v>Стеклоткань прокладочная RO4450B 0.091</v>
      </c>
      <c r="D69" s="377" t="s">
        <v>447</v>
      </c>
      <c r="E69" s="379">
        <v>1</v>
      </c>
      <c r="F69" s="379"/>
      <c r="G69" s="194">
        <f>E69*Стеклоткань*Площадь_заготовок/100*Квг*IF(INDEX(тип_ст_таблица,FR)=B69,1,0)</f>
        <v>0</v>
      </c>
      <c r="H69" s="383" t="s">
        <v>68</v>
      </c>
      <c r="I69" s="397">
        <f>VLOOKUP(D69,[1]!ПрайсНаМатериалы,3)</f>
        <v>7052.41</v>
      </c>
      <c r="J69" s="194">
        <f>I69*G69*IF(INDEX(тип_ст_таблица,FR)=B69,1,0)</f>
        <v>0</v>
      </c>
      <c r="N69" s="516" t="s">
        <v>534</v>
      </c>
      <c r="O69" s="516">
        <f>0.475*0.31</f>
        <v>0.14724999999999999</v>
      </c>
    </row>
    <row r="70" spans="2:24" x14ac:dyDescent="0.2">
      <c r="B70" s="395"/>
      <c r="C70" s="395"/>
      <c r="D70" s="392"/>
      <c r="E70" s="393"/>
      <c r="F70" s="393"/>
      <c r="G70" s="394"/>
      <c r="H70" s="395"/>
      <c r="I70" s="396"/>
      <c r="J70" s="394"/>
      <c r="L70" s="489">
        <f>SUM(J67:J69)</f>
        <v>21749.380107839999</v>
      </c>
      <c r="N70" s="516" t="s">
        <v>535</v>
      </c>
      <c r="O70" s="516">
        <f>0.47*0.36</f>
        <v>0.16919999999999999</v>
      </c>
    </row>
    <row r="71" spans="2:24" ht="10.15" customHeight="1" x14ac:dyDescent="0.2">
      <c r="B71" s="754" t="s">
        <v>50</v>
      </c>
      <c r="C71" s="754" t="s">
        <v>70</v>
      </c>
      <c r="D71" s="754" t="s">
        <v>70</v>
      </c>
      <c r="E71" s="761" t="s">
        <v>440</v>
      </c>
      <c r="F71" s="762"/>
      <c r="G71" s="754" t="s">
        <v>71</v>
      </c>
      <c r="H71" s="754" t="s">
        <v>261</v>
      </c>
      <c r="I71" s="754" t="s">
        <v>437</v>
      </c>
      <c r="J71" s="754" t="s">
        <v>436</v>
      </c>
      <c r="N71" s="516" t="s">
        <v>536</v>
      </c>
      <c r="O71" s="516">
        <f>0.665*0.57</f>
        <v>0.37905</v>
      </c>
    </row>
    <row r="72" spans="2:24" x14ac:dyDescent="0.2">
      <c r="B72" s="754"/>
      <c r="C72" s="754"/>
      <c r="D72" s="754"/>
      <c r="E72" s="763"/>
      <c r="F72" s="764"/>
      <c r="G72" s="754"/>
      <c r="H72" s="754"/>
      <c r="I72" s="754"/>
      <c r="J72" s="754"/>
      <c r="N72" s="516" t="s">
        <v>538</v>
      </c>
      <c r="O72" s="517">
        <f>IF(MIN(bsizex,bsizey)=2.3,'Материалы основные'!O69,IF(MIN(bsizex,bsizey)=2.8,'Материалы основные'!O70,'Материалы основные'!O71))</f>
        <v>0.14724999999999999</v>
      </c>
    </row>
    <row r="73" spans="2:24" ht="15" customHeight="1" x14ac:dyDescent="0.2">
      <c r="B73" s="75">
        <v>1</v>
      </c>
      <c r="C73" s="75">
        <v>2</v>
      </c>
      <c r="D73" s="75">
        <v>2</v>
      </c>
      <c r="E73" s="75">
        <v>3</v>
      </c>
      <c r="F73" s="75">
        <v>4</v>
      </c>
      <c r="G73" s="75">
        <v>5</v>
      </c>
      <c r="H73" s="75">
        <v>6</v>
      </c>
      <c r="I73" s="75">
        <v>7</v>
      </c>
      <c r="J73" s="75">
        <v>8</v>
      </c>
    </row>
    <row r="74" spans="2:24" x14ac:dyDescent="0.2">
      <c r="B74" s="76">
        <v>1</v>
      </c>
      <c r="C74" s="552" t="str">
        <f>VLOOKUP(D74,[1]!Всё,3)</f>
        <v>ткань х/б Батист отбеленный</v>
      </c>
      <c r="D74" s="384" t="s">
        <v>589</v>
      </c>
      <c r="E74" s="379" t="s">
        <v>164</v>
      </c>
      <c r="F74" s="379">
        <v>0.05</v>
      </c>
      <c r="G74" s="194">
        <f t="shared" ref="G74:G85" si="3">2*(IF(ISNUMBER(F74),F74,0)+(Листов_материала-1)*IF(ISNUMBER(E74),E74,0))*Площадь_заготовок*0.01*IF(H74="кг",0.001,1)*Квг</f>
        <v>0.4896815000000001</v>
      </c>
      <c r="H74" s="76" t="s">
        <v>68</v>
      </c>
      <c r="I74" s="397">
        <f>VLOOKUP(D74,[1]!ПрайсНаМатериалы,3)</f>
        <v>147.62</v>
      </c>
      <c r="J74" s="194">
        <f>I74*G74</f>
        <v>72.286783030000024</v>
      </c>
      <c r="M74" s="58"/>
      <c r="N74" s="58"/>
    </row>
    <row r="75" spans="2:24" ht="10.15" customHeight="1" x14ac:dyDescent="0.2">
      <c r="B75" s="76">
        <v>2</v>
      </c>
      <c r="C75" s="552" t="str">
        <f>VLOOKUP(D75,[1]!Всё,3)</f>
        <v>бумага д/очистки валика (уп 5х50л 238х330мм)</v>
      </c>
      <c r="D75" s="384" t="s">
        <v>590</v>
      </c>
      <c r="E75" s="551">
        <v>8.0000000000000002E-3</v>
      </c>
      <c r="F75" s="551">
        <v>8.0000000000000002E-3</v>
      </c>
      <c r="G75" s="194">
        <f t="shared" si="3"/>
        <v>0.15669807999999999</v>
      </c>
      <c r="H75" s="76" t="s">
        <v>68</v>
      </c>
      <c r="I75" s="397">
        <f>VLOOKUP(D75,[1]!ПрайсНаМатериалы,3)</f>
        <v>872</v>
      </c>
      <c r="J75" s="194">
        <f t="shared" ref="J75:J85" si="4">I75*G75</f>
        <v>136.64072575999998</v>
      </c>
      <c r="O75" s="58"/>
    </row>
    <row r="76" spans="2:24" s="58" customFormat="1" ht="10.15" customHeight="1" x14ac:dyDescent="0.2">
      <c r="B76" s="76">
        <v>3</v>
      </c>
      <c r="C76" s="552" t="str">
        <f>VLOOKUP(D76,[1]!Всё,3)</f>
        <v>Ткань х/б бязевой группы</v>
      </c>
      <c r="D76" s="384" t="s">
        <v>591</v>
      </c>
      <c r="E76" s="379">
        <v>0.12</v>
      </c>
      <c r="F76" s="379">
        <v>0.12</v>
      </c>
      <c r="G76" s="194">
        <f t="shared" si="3"/>
        <v>2.3504711999999999</v>
      </c>
      <c r="H76" s="76" t="s">
        <v>68</v>
      </c>
      <c r="I76" s="397">
        <f>VLOOKUP(D76,[1]!ПрайсНаМатериалы,3)</f>
        <v>45.23</v>
      </c>
      <c r="J76" s="194">
        <f t="shared" si="4"/>
        <v>106.31181237599999</v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</row>
    <row r="77" spans="2:24" x14ac:dyDescent="0.2">
      <c r="B77" s="76">
        <v>4</v>
      </c>
      <c r="C77" s="552" t="str">
        <f>VLOOKUP(D77,[1]!Всё,3)</f>
        <v>Лента Креп</v>
      </c>
      <c r="D77" s="384" t="s">
        <v>592</v>
      </c>
      <c r="E77" s="379">
        <v>0.12</v>
      </c>
      <c r="F77" s="379">
        <v>0.12</v>
      </c>
      <c r="G77" s="194">
        <f t="shared" si="3"/>
        <v>2.3504711999999999</v>
      </c>
      <c r="H77" s="76" t="s">
        <v>218</v>
      </c>
      <c r="I77" s="397">
        <f>VLOOKUP(D77,[1]!ПрайсНаМатериалы,3)</f>
        <v>36.86</v>
      </c>
      <c r="J77" s="194">
        <f t="shared" si="4"/>
        <v>86.638368431999993</v>
      </c>
    </row>
    <row r="78" spans="2:24" x14ac:dyDescent="0.2">
      <c r="B78" s="76">
        <v>5</v>
      </c>
      <c r="C78" s="552" t="str">
        <f>VLOOKUP(D78,[1]!Всё,3)</f>
        <v>лента малярная S</v>
      </c>
      <c r="D78" s="384" t="s">
        <v>593</v>
      </c>
      <c r="E78" s="379">
        <v>0.04</v>
      </c>
      <c r="F78" s="379">
        <v>0.04</v>
      </c>
      <c r="G78" s="194">
        <f t="shared" si="3"/>
        <v>0.78349040000000003</v>
      </c>
      <c r="H78" s="76" t="s">
        <v>218</v>
      </c>
      <c r="I78" s="397">
        <f>VLOOKUP(D78,[1]!ПрайсНаМатериалы,3)</f>
        <v>149</v>
      </c>
      <c r="J78" s="194">
        <f t="shared" si="4"/>
        <v>116.7400696</v>
      </c>
    </row>
    <row r="79" spans="2:24" x14ac:dyDescent="0.2">
      <c r="B79" s="76">
        <v>6</v>
      </c>
      <c r="C79" s="552" t="str">
        <f>VLOOKUP(D79,[1]!Всё,3)</f>
        <v>Медь двухлористая 2-водная</v>
      </c>
      <c r="D79" s="384" t="s">
        <v>594</v>
      </c>
      <c r="E79" s="379">
        <v>2</v>
      </c>
      <c r="F79" s="379">
        <v>2</v>
      </c>
      <c r="G79" s="194">
        <f t="shared" si="3"/>
        <v>3.9174519999999997E-2</v>
      </c>
      <c r="H79" s="76" t="s">
        <v>74</v>
      </c>
      <c r="I79" s="397">
        <f>VLOOKUP(D79,[1]!ПрайсНаМатериалы,3)</f>
        <v>500</v>
      </c>
      <c r="J79" s="194">
        <f t="shared" si="4"/>
        <v>19.587259999999997</v>
      </c>
    </row>
    <row r="80" spans="2:24" x14ac:dyDescent="0.2">
      <c r="B80" s="76">
        <v>7</v>
      </c>
      <c r="C80" s="552" t="str">
        <f>VLOOKUP(D80,[1]!Всё,3)</f>
        <v>Очиститель Screen opener K2</v>
      </c>
      <c r="D80" s="384" t="s">
        <v>595</v>
      </c>
      <c r="E80" s="379" t="s">
        <v>164</v>
      </c>
      <c r="F80" s="379">
        <v>20</v>
      </c>
      <c r="G80" s="194">
        <f t="shared" si="3"/>
        <v>0.19587260000000001</v>
      </c>
      <c r="H80" s="76" t="s">
        <v>74</v>
      </c>
      <c r="I80" s="397">
        <f>VLOOKUP(D80,[1]!ПрайсНаМатериалы,3)</f>
        <v>373.21</v>
      </c>
      <c r="J80" s="194">
        <f t="shared" si="4"/>
        <v>73.101613045999997</v>
      </c>
    </row>
    <row r="81" spans="2:24" x14ac:dyDescent="0.2">
      <c r="B81" s="76">
        <v>8</v>
      </c>
      <c r="C81" s="552" t="str">
        <f>VLOOKUP(D81,[1]!Всё,3)</f>
        <v>Пакет с защелкой полиэтиленовый</v>
      </c>
      <c r="D81" s="384" t="s">
        <v>596</v>
      </c>
      <c r="E81" s="379" t="s">
        <v>164</v>
      </c>
      <c r="F81" s="379">
        <v>6</v>
      </c>
      <c r="G81" s="194">
        <f t="shared" si="3"/>
        <v>58.761780000000002</v>
      </c>
      <c r="H81" s="76" t="s">
        <v>218</v>
      </c>
      <c r="I81" s="397">
        <f>VLOOKUP(D81,[1]!ПрайсНаМатериалы,3)</f>
        <v>1.6</v>
      </c>
      <c r="J81" s="194">
        <f t="shared" si="4"/>
        <v>94.018848000000006</v>
      </c>
    </row>
    <row r="82" spans="2:24" x14ac:dyDescent="0.2">
      <c r="B82" s="76">
        <v>9</v>
      </c>
      <c r="C82" s="552" t="str">
        <f>VLOOKUP(D82,[1]!Всё,3)</f>
        <v>пленка упаковочная 50см/17мк (120) упаковочная</v>
      </c>
      <c r="D82" s="384" t="s">
        <v>597</v>
      </c>
      <c r="E82" s="379" t="s">
        <v>164</v>
      </c>
      <c r="F82" s="379">
        <v>0.05</v>
      </c>
      <c r="G82" s="194">
        <f t="shared" si="3"/>
        <v>0.4896815000000001</v>
      </c>
      <c r="H82" s="76" t="s">
        <v>218</v>
      </c>
      <c r="I82" s="397">
        <f>VLOOKUP(D82,[1]!ПрайсНаМатериалы,3)</f>
        <v>185.59</v>
      </c>
      <c r="J82" s="194">
        <f t="shared" si="4"/>
        <v>90.879989585000018</v>
      </c>
      <c r="P82" s="58"/>
      <c r="Q82" s="58"/>
      <c r="R82" s="58"/>
      <c r="S82" s="58"/>
      <c r="T82" s="58"/>
      <c r="U82" s="58"/>
      <c r="V82" s="58"/>
      <c r="W82" s="58"/>
      <c r="X82" s="58"/>
    </row>
    <row r="83" spans="2:24" ht="22.5" x14ac:dyDescent="0.2">
      <c r="B83" s="76">
        <v>10</v>
      </c>
      <c r="C83" s="552" t="str">
        <f>VLOOKUP(D83,[1]!Всё,3)</f>
        <v>Разбавитель XZ 101 (для защитной маски XV 501T)</v>
      </c>
      <c r="D83" s="384" t="s">
        <v>598</v>
      </c>
      <c r="E83" s="379" t="s">
        <v>164</v>
      </c>
      <c r="F83" s="379">
        <v>5</v>
      </c>
      <c r="G83" s="194">
        <f t="shared" si="3"/>
        <v>4.8968150000000002E-2</v>
      </c>
      <c r="H83" s="76" t="s">
        <v>74</v>
      </c>
      <c r="I83" s="397">
        <f>VLOOKUP(D83,[1]!ПрайсНаМатериалы,3)</f>
        <v>834.98</v>
      </c>
      <c r="J83" s="194">
        <f t="shared" si="4"/>
        <v>40.887425886999999</v>
      </c>
    </row>
    <row r="84" spans="2:24" ht="22.5" x14ac:dyDescent="0.2">
      <c r="B84" s="76">
        <v>11</v>
      </c>
      <c r="C84" s="552" t="str">
        <f>VLOOKUP(D84,[1]!Всё,3)</f>
        <v>Разбавитель XZ 107 (для защитной маски XV 501T-4)</v>
      </c>
      <c r="D84" s="384" t="s">
        <v>599</v>
      </c>
      <c r="E84" s="379" t="s">
        <v>164</v>
      </c>
      <c r="F84" s="379">
        <v>5</v>
      </c>
      <c r="G84" s="194">
        <f t="shared" si="3"/>
        <v>4.8968150000000002E-2</v>
      </c>
      <c r="H84" s="76" t="s">
        <v>74</v>
      </c>
      <c r="I84" s="397">
        <f>VLOOKUP(D84,[1]!ПрайсНаМатериалы,3)</f>
        <v>780</v>
      </c>
      <c r="J84" s="194">
        <f t="shared" si="4"/>
        <v>38.195157000000002</v>
      </c>
    </row>
    <row r="85" spans="2:24" x14ac:dyDescent="0.2">
      <c r="B85" s="76">
        <v>12</v>
      </c>
      <c r="C85" s="552" t="str">
        <f>VLOOKUP(D85,[1]!Всё,3)</f>
        <v>Сумка ПНД</v>
      </c>
      <c r="D85" s="384" t="s">
        <v>600</v>
      </c>
      <c r="E85" s="379">
        <v>1.2</v>
      </c>
      <c r="F85" s="379">
        <v>1.2</v>
      </c>
      <c r="G85" s="194">
        <f t="shared" si="3"/>
        <v>23.504712000000001</v>
      </c>
      <c r="H85" s="76" t="s">
        <v>218</v>
      </c>
      <c r="I85" s="397">
        <f>VLOOKUP(D85,[1]!ПрайсНаМатериалы,3)</f>
        <v>3.38</v>
      </c>
      <c r="J85" s="194">
        <f t="shared" si="4"/>
        <v>79.445926560000004</v>
      </c>
    </row>
    <row r="86" spans="2:24" x14ac:dyDescent="0.2">
      <c r="B86" s="376"/>
      <c r="C86" s="376"/>
      <c r="D86" s="454"/>
      <c r="E86" s="455"/>
      <c r="F86" s="455"/>
      <c r="G86" s="456"/>
      <c r="H86" s="457"/>
      <c r="I86" s="458"/>
      <c r="J86" s="456"/>
    </row>
    <row r="87" spans="2:24" x14ac:dyDescent="0.2">
      <c r="D87" s="758" t="s">
        <v>47</v>
      </c>
      <c r="E87" s="759"/>
      <c r="F87" s="759"/>
      <c r="G87" s="759"/>
      <c r="H87" s="759"/>
      <c r="I87" s="760"/>
      <c r="J87" s="91">
        <f>масс_мат_всего+лист_мат_всего+ст_всего+доп_мат_всего</f>
        <v>89433.255501321211</v>
      </c>
    </row>
    <row r="88" spans="2:24" x14ac:dyDescent="0.2">
      <c r="L88" s="489">
        <f>SUM(J74:J85)</f>
        <v>954.7339792759999</v>
      </c>
    </row>
  </sheetData>
  <mergeCells count="38">
    <mergeCell ref="D87:I87"/>
    <mergeCell ref="J71:J72"/>
    <mergeCell ref="G71:G72"/>
    <mergeCell ref="H71:H72"/>
    <mergeCell ref="H50:H51"/>
    <mergeCell ref="I64:I65"/>
    <mergeCell ref="J64:J65"/>
    <mergeCell ref="J50:J51"/>
    <mergeCell ref="G50:G51"/>
    <mergeCell ref="I71:I72"/>
    <mergeCell ref="D71:D72"/>
    <mergeCell ref="E71:F72"/>
    <mergeCell ref="C71:C72"/>
    <mergeCell ref="C64:C65"/>
    <mergeCell ref="B50:B51"/>
    <mergeCell ref="D50:D51"/>
    <mergeCell ref="E50:F50"/>
    <mergeCell ref="D64:D65"/>
    <mergeCell ref="B71:B72"/>
    <mergeCell ref="B64:B65"/>
    <mergeCell ref="C50:C51"/>
    <mergeCell ref="N68:O68"/>
    <mergeCell ref="I50:I51"/>
    <mergeCell ref="E64:F64"/>
    <mergeCell ref="G64:G65"/>
    <mergeCell ref="H64:H65"/>
    <mergeCell ref="B3:J3"/>
    <mergeCell ref="B4:J4"/>
    <mergeCell ref="B5:J5"/>
    <mergeCell ref="B7:J7"/>
    <mergeCell ref="B9:B10"/>
    <mergeCell ref="J9:J10"/>
    <mergeCell ref="D9:D10"/>
    <mergeCell ref="I9:I10"/>
    <mergeCell ref="C9:C10"/>
    <mergeCell ref="H9:H10"/>
    <mergeCell ref="E9:F9"/>
    <mergeCell ref="G9:G10"/>
  </mergeCells>
  <phoneticPr fontId="7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74" fitToWidth="0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P106"/>
  <sheetViews>
    <sheetView topLeftCell="A67" zoomScaleNormal="100" workbookViewId="0">
      <selection activeCell="E77" sqref="E77"/>
    </sheetView>
  </sheetViews>
  <sheetFormatPr defaultColWidth="8.85546875" defaultRowHeight="11.25" x14ac:dyDescent="0.2"/>
  <cols>
    <col min="1" max="1" width="2.85546875" style="53" bestFit="1" customWidth="1"/>
    <col min="2" max="2" width="47.28515625" style="53" customWidth="1"/>
    <col min="3" max="3" width="47.28515625" style="53" hidden="1" customWidth="1"/>
    <col min="4" max="4" width="15.28515625" style="53" bestFit="1" customWidth="1"/>
    <col min="5" max="5" width="9" style="53" bestFit="1" customWidth="1"/>
    <col min="6" max="6" width="8.7109375" style="53" customWidth="1"/>
    <col min="7" max="7" width="10.5703125" style="53" bestFit="1" customWidth="1"/>
    <col min="8" max="8" width="10" style="53" customWidth="1"/>
    <col min="9" max="16384" width="8.85546875" style="53"/>
  </cols>
  <sheetData>
    <row r="1" spans="1:10" x14ac:dyDescent="0.2">
      <c r="A1" s="195"/>
      <c r="B1" s="195"/>
      <c r="C1" s="195"/>
      <c r="D1" s="195"/>
      <c r="E1" s="195"/>
      <c r="F1" s="195"/>
      <c r="G1" s="195"/>
      <c r="H1" s="54" t="s">
        <v>36</v>
      </c>
      <c r="I1" s="195"/>
    </row>
    <row r="2" spans="1:10" x14ac:dyDescent="0.2">
      <c r="A2" s="195"/>
      <c r="B2" s="196"/>
      <c r="C2" s="196"/>
      <c r="D2" s="197"/>
      <c r="E2" s="197"/>
      <c r="F2" s="197"/>
      <c r="G2" s="765"/>
      <c r="H2" s="765"/>
      <c r="I2" s="195"/>
    </row>
    <row r="3" spans="1:10" x14ac:dyDescent="0.2">
      <c r="A3" s="766" t="s">
        <v>96</v>
      </c>
      <c r="B3" s="766"/>
      <c r="C3" s="766"/>
      <c r="D3" s="766"/>
      <c r="E3" s="766"/>
      <c r="F3" s="766"/>
      <c r="G3" s="766"/>
      <c r="H3" s="766"/>
      <c r="I3" s="195"/>
    </row>
    <row r="4" spans="1:10" x14ac:dyDescent="0.2">
      <c r="A4" s="195"/>
      <c r="B4" s="195"/>
      <c r="C4" s="195"/>
      <c r="D4" s="199"/>
      <c r="E4" s="199"/>
      <c r="F4" s="195"/>
      <c r="G4" s="195"/>
      <c r="H4" s="195"/>
      <c r="I4" s="195"/>
    </row>
    <row r="5" spans="1:10" x14ac:dyDescent="0.2">
      <c r="A5" s="755" t="s">
        <v>50</v>
      </c>
      <c r="B5" s="755" t="s">
        <v>70</v>
      </c>
      <c r="C5" s="755" t="s">
        <v>70</v>
      </c>
      <c r="D5" s="755" t="s">
        <v>262</v>
      </c>
      <c r="E5" s="755" t="s">
        <v>71</v>
      </c>
      <c r="F5" s="755" t="s">
        <v>261</v>
      </c>
      <c r="G5" s="755" t="s">
        <v>438</v>
      </c>
      <c r="H5" s="755" t="s">
        <v>436</v>
      </c>
      <c r="I5" s="195"/>
    </row>
    <row r="6" spans="1:10" x14ac:dyDescent="0.2">
      <c r="A6" s="767"/>
      <c r="B6" s="767"/>
      <c r="C6" s="767"/>
      <c r="D6" s="767"/>
      <c r="E6" s="767"/>
      <c r="F6" s="767"/>
      <c r="G6" s="767"/>
      <c r="H6" s="767"/>
      <c r="I6" s="195"/>
    </row>
    <row r="7" spans="1:10" x14ac:dyDescent="0.2">
      <c r="A7" s="767"/>
      <c r="B7" s="767"/>
      <c r="C7" s="767"/>
      <c r="D7" s="767"/>
      <c r="E7" s="767"/>
      <c r="F7" s="767"/>
      <c r="G7" s="767"/>
      <c r="H7" s="767"/>
      <c r="I7" s="197"/>
    </row>
    <row r="8" spans="1:10" x14ac:dyDescent="0.2">
      <c r="A8" s="767"/>
      <c r="B8" s="767"/>
      <c r="C8" s="767"/>
      <c r="D8" s="767"/>
      <c r="E8" s="767"/>
      <c r="F8" s="767"/>
      <c r="G8" s="767"/>
      <c r="H8" s="767"/>
      <c r="I8" s="197"/>
      <c r="J8" s="58"/>
    </row>
    <row r="9" spans="1:10" x14ac:dyDescent="0.2">
      <c r="A9" s="756"/>
      <c r="B9" s="756"/>
      <c r="C9" s="756"/>
      <c r="D9" s="756"/>
      <c r="E9" s="756"/>
      <c r="F9" s="756"/>
      <c r="G9" s="756"/>
      <c r="H9" s="756"/>
      <c r="I9" s="197"/>
      <c r="J9" s="58"/>
    </row>
    <row r="10" spans="1:10" x14ac:dyDescent="0.2">
      <c r="A10" s="200">
        <v>1</v>
      </c>
      <c r="B10" s="201">
        <v>2</v>
      </c>
      <c r="C10" s="201">
        <v>2</v>
      </c>
      <c r="D10" s="200">
        <v>3</v>
      </c>
      <c r="E10" s="200">
        <v>4</v>
      </c>
      <c r="F10" s="202">
        <v>5</v>
      </c>
      <c r="G10" s="200">
        <v>6</v>
      </c>
      <c r="H10" s="200">
        <v>7</v>
      </c>
      <c r="I10" s="197"/>
      <c r="J10" s="58"/>
    </row>
    <row r="11" spans="1:10" x14ac:dyDescent="0.2">
      <c r="A11" s="78">
        <v>1</v>
      </c>
      <c r="B11" s="79" t="str">
        <f>VLOOKUP(C11,[1]!Всё,3)</f>
        <v>Фотопленка KODAK APR-7</v>
      </c>
      <c r="C11" s="79" t="s">
        <v>97</v>
      </c>
      <c r="D11" s="78">
        <v>1.4</v>
      </c>
      <c r="E11" s="571">
        <f>D11*А*В*Изготовление_ФШ*0.01</f>
        <v>1.1447099999999999</v>
      </c>
      <c r="F11" s="78" t="s">
        <v>68</v>
      </c>
      <c r="G11" s="203">
        <f>VLOOKUP(C11,[1]!ПрайсНаМатериалы,3)</f>
        <v>1091.94</v>
      </c>
      <c r="H11" s="203">
        <f>E11*G11</f>
        <v>1249.9546373999999</v>
      </c>
      <c r="I11" s="197"/>
      <c r="J11" s="58"/>
    </row>
    <row r="12" spans="1:10" x14ac:dyDescent="0.2">
      <c r="A12" s="80">
        <v>2</v>
      </c>
      <c r="B12" s="79" t="str">
        <f>VLOOKUP(C12,[1]!Всё,3)</f>
        <v>Проявитель KODAK</v>
      </c>
      <c r="C12" s="81" t="s">
        <v>98</v>
      </c>
      <c r="D12" s="80">
        <v>0.6</v>
      </c>
      <c r="E12" s="571">
        <f>D12*А*В*Изготовление_ФШ*0.01</f>
        <v>0.49058999999999997</v>
      </c>
      <c r="F12" s="78" t="s">
        <v>74</v>
      </c>
      <c r="G12" s="203">
        <f>VLOOKUP(C12,[1]!ПрайсНаМатериалы,3)</f>
        <v>384.29</v>
      </c>
      <c r="H12" s="203">
        <f>E12*G12</f>
        <v>188.52883109999999</v>
      </c>
      <c r="I12" s="197"/>
      <c r="J12" s="58"/>
    </row>
    <row r="13" spans="1:10" ht="12" thickBot="1" x14ac:dyDescent="0.25">
      <c r="A13" s="78">
        <v>3</v>
      </c>
      <c r="B13" s="79" t="str">
        <f>VLOOKUP(C13,[1]!Всё,3)</f>
        <v>Фиксаж KODAK</v>
      </c>
      <c r="C13" s="79" t="s">
        <v>99</v>
      </c>
      <c r="D13" s="78">
        <v>0.3</v>
      </c>
      <c r="E13" s="571">
        <f>D13*А*В*Изготовление_ФШ*0.01</f>
        <v>0.24529499999999999</v>
      </c>
      <c r="F13" s="78" t="s">
        <v>74</v>
      </c>
      <c r="G13" s="203">
        <f>VLOOKUP(C13,[1]!ПрайсНаМатериалы,3)</f>
        <v>271.97000000000003</v>
      </c>
      <c r="H13" s="203">
        <f>E13*G13</f>
        <v>66.712881150000001</v>
      </c>
      <c r="I13" s="195"/>
      <c r="J13" s="58"/>
    </row>
    <row r="14" spans="1:10" ht="12" thickBot="1" x14ac:dyDescent="0.25">
      <c r="A14" s="204"/>
      <c r="B14" s="445" t="s">
        <v>47</v>
      </c>
      <c r="C14" s="445" t="s">
        <v>47</v>
      </c>
      <c r="D14" s="205"/>
      <c r="E14" s="205"/>
      <c r="F14" s="205"/>
      <c r="G14" s="205"/>
      <c r="H14" s="206">
        <f>SUM(H11:H13)</f>
        <v>1505.1963496499998</v>
      </c>
      <c r="I14" s="195"/>
    </row>
    <row r="15" spans="1:10" x14ac:dyDescent="0.2">
      <c r="A15" s="195"/>
      <c r="B15" s="195"/>
      <c r="C15" s="195"/>
      <c r="D15" s="195"/>
      <c r="E15" s="195"/>
      <c r="F15" s="195"/>
      <c r="G15" s="195"/>
      <c r="H15" s="195"/>
      <c r="I15" s="195"/>
    </row>
    <row r="16" spans="1:10" x14ac:dyDescent="0.2">
      <c r="A16" s="195"/>
      <c r="B16" s="195"/>
      <c r="C16" s="195"/>
      <c r="D16" s="195"/>
      <c r="E16" s="195"/>
      <c r="F16" s="195"/>
      <c r="G16" s="195"/>
      <c r="H16" s="195"/>
      <c r="I16" s="195"/>
    </row>
    <row r="17" spans="1:11" x14ac:dyDescent="0.2">
      <c r="A17" s="768" t="s">
        <v>231</v>
      </c>
      <c r="B17" s="768"/>
      <c r="C17" s="768"/>
      <c r="D17" s="768"/>
      <c r="E17" s="768"/>
      <c r="F17" s="768"/>
      <c r="G17" s="768"/>
      <c r="H17" s="768"/>
      <c r="I17" s="195"/>
    </row>
    <row r="18" spans="1:11" x14ac:dyDescent="0.2">
      <c r="A18" s="195"/>
      <c r="B18" s="195"/>
      <c r="C18" s="195"/>
      <c r="D18" s="195"/>
      <c r="E18" s="195"/>
      <c r="F18" s="195"/>
      <c r="G18" s="195"/>
      <c r="H18" s="195"/>
      <c r="I18" s="195"/>
    </row>
    <row r="19" spans="1:11" ht="10.15" customHeight="1" x14ac:dyDescent="0.2">
      <c r="A19" s="755" t="s">
        <v>50</v>
      </c>
      <c r="B19" s="755" t="s">
        <v>70</v>
      </c>
      <c r="C19" s="755" t="s">
        <v>70</v>
      </c>
      <c r="D19" s="755" t="s">
        <v>403</v>
      </c>
      <c r="E19" s="755" t="s">
        <v>71</v>
      </c>
      <c r="F19" s="755" t="s">
        <v>261</v>
      </c>
      <c r="G19" s="755" t="s">
        <v>438</v>
      </c>
      <c r="H19" s="755" t="s">
        <v>436</v>
      </c>
      <c r="I19" s="195"/>
    </row>
    <row r="20" spans="1:11" x14ac:dyDescent="0.2">
      <c r="A20" s="767"/>
      <c r="B20" s="767"/>
      <c r="C20" s="767"/>
      <c r="D20" s="767"/>
      <c r="E20" s="767"/>
      <c r="F20" s="767"/>
      <c r="G20" s="767"/>
      <c r="H20" s="767"/>
      <c r="I20" s="195"/>
    </row>
    <row r="21" spans="1:11" x14ac:dyDescent="0.2">
      <c r="A21" s="767"/>
      <c r="B21" s="767"/>
      <c r="C21" s="767"/>
      <c r="D21" s="767"/>
      <c r="E21" s="767"/>
      <c r="F21" s="767"/>
      <c r="G21" s="767"/>
      <c r="H21" s="767"/>
      <c r="I21" s="195"/>
    </row>
    <row r="22" spans="1:11" x14ac:dyDescent="0.2">
      <c r="A22" s="767"/>
      <c r="B22" s="767"/>
      <c r="C22" s="767"/>
      <c r="D22" s="767"/>
      <c r="E22" s="767"/>
      <c r="F22" s="767"/>
      <c r="G22" s="767"/>
      <c r="H22" s="767"/>
      <c r="I22" s="195"/>
    </row>
    <row r="23" spans="1:11" x14ac:dyDescent="0.2">
      <c r="A23" s="756"/>
      <c r="B23" s="756"/>
      <c r="C23" s="756"/>
      <c r="D23" s="756"/>
      <c r="E23" s="756"/>
      <c r="F23" s="756"/>
      <c r="G23" s="756"/>
      <c r="H23" s="756"/>
      <c r="I23" s="197"/>
    </row>
    <row r="24" spans="1:11" x14ac:dyDescent="0.2">
      <c r="A24" s="200">
        <v>1</v>
      </c>
      <c r="B24" s="201">
        <v>2</v>
      </c>
      <c r="C24" s="201">
        <v>2</v>
      </c>
      <c r="D24" s="200">
        <v>3</v>
      </c>
      <c r="E24" s="200">
        <v>4</v>
      </c>
      <c r="F24" s="202">
        <v>5</v>
      </c>
      <c r="G24" s="200">
        <v>6</v>
      </c>
      <c r="H24" s="200">
        <v>7</v>
      </c>
      <c r="I24" s="195"/>
      <c r="J24" s="58"/>
    </row>
    <row r="25" spans="1:11" x14ac:dyDescent="0.2">
      <c r="A25" s="210">
        <v>1</v>
      </c>
      <c r="B25" s="79" t="str">
        <f>VLOOKUP(C25,[1]!Всё,3)</f>
        <v>Гетинакс -1 1.0мм</v>
      </c>
      <c r="C25" s="459" t="s">
        <v>584</v>
      </c>
      <c r="D25" s="546">
        <f>IF(OR(MIN(bsizex,bsizey)=4.85,NOT(smalldrill&gt;0)),1.28,0)*1.4</f>
        <v>0</v>
      </c>
      <c r="E25" s="571">
        <f>А*В*0.01*D25*IF(Изготовление_ФШ&gt;0,2,1)</f>
        <v>0</v>
      </c>
      <c r="F25" s="219" t="s">
        <v>74</v>
      </c>
      <c r="G25" s="203">
        <f>VLOOKUP(C25,[1]!ПрайсНаМатериалы,3)</f>
        <v>364</v>
      </c>
      <c r="H25" s="203">
        <f t="shared" ref="H25:H31" si="0">E25*G25</f>
        <v>0</v>
      </c>
      <c r="I25" s="195"/>
      <c r="J25" s="58"/>
    </row>
    <row r="26" spans="1:11" x14ac:dyDescent="0.2">
      <c r="A26" s="210">
        <v>2</v>
      </c>
      <c r="B26" s="79" t="str">
        <f>VLOOKUP(C26,[1]!Всё,3)</f>
        <v>Гетинакс -1 1.5мм</v>
      </c>
      <c r="C26" s="459" t="s">
        <v>585</v>
      </c>
      <c r="D26" s="546">
        <f>0.64*2.16</f>
        <v>1.3824000000000001</v>
      </c>
      <c r="E26" s="571">
        <f>А*В*0.01*D26*IF(Изготовление_ФШ&gt;0,2,1)</f>
        <v>0.25118207999999997</v>
      </c>
      <c r="F26" s="219" t="s">
        <v>74</v>
      </c>
      <c r="G26" s="203">
        <f>VLOOKUP(C26,[1]!ПрайсНаМатериалы,3)</f>
        <v>328</v>
      </c>
      <c r="H26" s="203">
        <f t="shared" si="0"/>
        <v>82.387722239999988</v>
      </c>
      <c r="I26" s="195"/>
      <c r="J26" s="58">
        <f>(IF(Чо1&gt;0,1,0))</f>
        <v>1</v>
      </c>
      <c r="K26" s="53">
        <f>Чо1</f>
        <v>1000</v>
      </c>
    </row>
    <row r="27" spans="1:11" x14ac:dyDescent="0.2">
      <c r="A27" s="210">
        <v>3</v>
      </c>
      <c r="B27" s="79" t="str">
        <f>VLOOKUP(C27,[1]!Всё,3)</f>
        <v>Алюминий 0.18 (230х395мм)</v>
      </c>
      <c r="C27" s="382" t="str">
        <f>IF(MIN(bsizex,bsizey)=2.3,"Алюминий 0.18 (230х395мм)",IF(MIN(bsizex,bsizey)=2.8,"Алюминий 0.18 (280х395мм)","Алюминий 0.18 (230х395мм)"))</f>
        <v>Алюминий 0.18 (230х395мм)</v>
      </c>
      <c r="D27" s="546">
        <f>IF(OR(MIN(bsizex,bsizey)=4.85,NOT(smalldrill&gt;0)),0,1)</f>
        <v>1</v>
      </c>
      <c r="E27" s="571">
        <f>А*В*0.01*D27*IF(Изготовление_ФШ&gt;0,2,1)</f>
        <v>0.18169999999999997</v>
      </c>
      <c r="F27" s="219" t="s">
        <v>68</v>
      </c>
      <c r="G27" s="203">
        <f>VLOOKUP(C27,[1]!ПрайсНаМатериалы,3)</f>
        <v>555.95000000000005</v>
      </c>
      <c r="H27" s="203">
        <f t="shared" si="0"/>
        <v>101.016115</v>
      </c>
      <c r="I27" s="195"/>
    </row>
    <row r="28" spans="1:11" x14ac:dyDescent="0.2">
      <c r="A28" s="210">
        <v>4</v>
      </c>
      <c r="B28" s="79" t="str">
        <f>VLOOKUP(C28,[1]!Всё,3)</f>
        <v>Стеклотекстолит фольгированный DE104ML 35/35-0.8</v>
      </c>
      <c r="C28" s="79" t="s">
        <v>605</v>
      </c>
      <c r="D28" s="545">
        <v>1.28</v>
      </c>
      <c r="E28" s="571">
        <f>А*В*0.01*D28*IF(Изготовление_ФШ&gt;0,2,1)</f>
        <v>0.23257599999999998</v>
      </c>
      <c r="F28" s="78" t="s">
        <v>68</v>
      </c>
      <c r="G28" s="203">
        <f>VLOOKUP(C28,[1]!ПрайсНаМатериалы,3)</f>
        <v>1897</v>
      </c>
      <c r="H28" s="203">
        <f t="shared" si="0"/>
        <v>441.19667199999998</v>
      </c>
      <c r="I28" s="195"/>
    </row>
    <row r="29" spans="1:11" x14ac:dyDescent="0.2">
      <c r="A29" s="210">
        <v>5</v>
      </c>
      <c r="B29" s="79" t="str">
        <f>VLOOKUP(C29,[1]!Всё,3)</f>
        <v>Фотопленка KODAK APR-7</v>
      </c>
      <c r="C29" s="79" t="s">
        <v>97</v>
      </c>
      <c r="D29" s="545">
        <v>1.4</v>
      </c>
      <c r="E29" s="571">
        <f>D29*А*В*IF(Изготовление_ФШ&gt;0,4,0)*0.01</f>
        <v>0.50875999999999999</v>
      </c>
      <c r="F29" s="78" t="s">
        <v>68</v>
      </c>
      <c r="G29" s="203">
        <f>VLOOKUP(C29,[1]!ПрайсНаМатериалы,3)</f>
        <v>1091.94</v>
      </c>
      <c r="H29" s="203">
        <f t="shared" si="0"/>
        <v>555.53539439999997</v>
      </c>
      <c r="I29" s="195"/>
    </row>
    <row r="30" spans="1:11" x14ac:dyDescent="0.2">
      <c r="A30" s="210">
        <v>6</v>
      </c>
      <c r="B30" s="79" t="str">
        <f>VLOOKUP(C30,[1]!Всё,3)</f>
        <v>Проявитель KODAK</v>
      </c>
      <c r="C30" s="81" t="s">
        <v>98</v>
      </c>
      <c r="D30" s="547">
        <v>0.6</v>
      </c>
      <c r="E30" s="571">
        <f>D30*А*В*IF(Изготовление_ФШ&gt;0,4,0)*0.01</f>
        <v>0.21803999999999998</v>
      </c>
      <c r="F30" s="78" t="s">
        <v>74</v>
      </c>
      <c r="G30" s="203">
        <f>VLOOKUP(C30,[1]!ПрайсНаМатериалы,3)</f>
        <v>384.29</v>
      </c>
      <c r="H30" s="203">
        <f t="shared" si="0"/>
        <v>83.790591599999999</v>
      </c>
      <c r="I30" s="195"/>
    </row>
    <row r="31" spans="1:11" ht="12" thickBot="1" x14ac:dyDescent="0.25">
      <c r="A31" s="210">
        <v>7</v>
      </c>
      <c r="B31" s="79" t="str">
        <f>VLOOKUP(C31,[1]!Всё,3)</f>
        <v>Фиксаж KODAK</v>
      </c>
      <c r="C31" s="79" t="s">
        <v>99</v>
      </c>
      <c r="D31" s="545">
        <v>0.3</v>
      </c>
      <c r="E31" s="571">
        <f>D31*А*В*IF(Изготовление_ФШ&gt;0,4,0)*0.01</f>
        <v>0.10901999999999999</v>
      </c>
      <c r="F31" s="78" t="s">
        <v>74</v>
      </c>
      <c r="G31" s="203">
        <f>VLOOKUP(C31,[1]!ПрайсНаМатериалы,3)</f>
        <v>271.97000000000003</v>
      </c>
      <c r="H31" s="203">
        <f t="shared" si="0"/>
        <v>29.650169399999999</v>
      </c>
      <c r="I31" s="195"/>
    </row>
    <row r="32" spans="1:11" ht="12" thickBot="1" x14ac:dyDescent="0.25">
      <c r="A32" s="201"/>
      <c r="B32" s="446" t="s">
        <v>47</v>
      </c>
      <c r="C32" s="446" t="s">
        <v>47</v>
      </c>
      <c r="D32" s="389"/>
      <c r="E32" s="389"/>
      <c r="F32" s="389"/>
      <c r="G32" s="389"/>
      <c r="H32" s="388">
        <f>SUM(H25:H31)</f>
        <v>1293.57666464</v>
      </c>
      <c r="I32" s="195"/>
    </row>
    <row r="33" spans="1:9" x14ac:dyDescent="0.2">
      <c r="A33" s="195"/>
      <c r="B33" s="195"/>
      <c r="C33" s="195"/>
      <c r="D33" s="195"/>
      <c r="E33" s="195"/>
      <c r="F33" s="195"/>
      <c r="G33" s="195"/>
      <c r="H33" s="195"/>
      <c r="I33" s="195"/>
    </row>
    <row r="34" spans="1:9" x14ac:dyDescent="0.2">
      <c r="A34" s="195"/>
      <c r="B34" s="195"/>
      <c r="C34" s="195"/>
      <c r="D34" s="195"/>
      <c r="E34" s="195"/>
      <c r="F34" s="195"/>
      <c r="G34" s="195"/>
      <c r="H34" s="195"/>
      <c r="I34" s="195"/>
    </row>
    <row r="35" spans="1:9" x14ac:dyDescent="0.2">
      <c r="A35" s="768" t="s">
        <v>100</v>
      </c>
      <c r="B35" s="768"/>
      <c r="C35" s="768"/>
      <c r="D35" s="768"/>
      <c r="E35" s="768"/>
      <c r="F35" s="768"/>
      <c r="G35" s="768"/>
      <c r="H35" s="768"/>
      <c r="I35" s="195"/>
    </row>
    <row r="36" spans="1:9" x14ac:dyDescent="0.2">
      <c r="A36" s="208"/>
      <c r="B36" s="198"/>
      <c r="C36" s="198"/>
      <c r="D36" s="195"/>
      <c r="E36" s="195"/>
      <c r="F36" s="195"/>
      <c r="G36" s="195"/>
      <c r="H36" s="195"/>
      <c r="I36" s="195"/>
    </row>
    <row r="37" spans="1:9" x14ac:dyDescent="0.2">
      <c r="A37" s="755" t="s">
        <v>50</v>
      </c>
      <c r="B37" s="755" t="s">
        <v>70</v>
      </c>
      <c r="C37" s="755" t="s">
        <v>70</v>
      </c>
      <c r="D37" s="755" t="s">
        <v>262</v>
      </c>
      <c r="E37" s="755" t="s">
        <v>71</v>
      </c>
      <c r="F37" s="755" t="s">
        <v>261</v>
      </c>
      <c r="G37" s="755" t="s">
        <v>438</v>
      </c>
      <c r="H37" s="755" t="s">
        <v>436</v>
      </c>
      <c r="I37" s="195"/>
    </row>
    <row r="38" spans="1:9" ht="10.15" customHeight="1" x14ac:dyDescent="0.2">
      <c r="A38" s="767"/>
      <c r="B38" s="767"/>
      <c r="C38" s="767"/>
      <c r="D38" s="767"/>
      <c r="E38" s="767"/>
      <c r="F38" s="767"/>
      <c r="G38" s="767"/>
      <c r="H38" s="767"/>
      <c r="I38" s="195"/>
    </row>
    <row r="39" spans="1:9" x14ac:dyDescent="0.2">
      <c r="A39" s="767"/>
      <c r="B39" s="767"/>
      <c r="C39" s="767"/>
      <c r="D39" s="767"/>
      <c r="E39" s="767"/>
      <c r="F39" s="767"/>
      <c r="G39" s="767"/>
      <c r="H39" s="767"/>
      <c r="I39" s="195"/>
    </row>
    <row r="40" spans="1:9" x14ac:dyDescent="0.2">
      <c r="A40" s="767"/>
      <c r="B40" s="767"/>
      <c r="C40" s="767"/>
      <c r="D40" s="767"/>
      <c r="E40" s="767"/>
      <c r="F40" s="767"/>
      <c r="G40" s="767"/>
      <c r="H40" s="767"/>
      <c r="I40" s="195"/>
    </row>
    <row r="41" spans="1:9" x14ac:dyDescent="0.2">
      <c r="A41" s="756"/>
      <c r="B41" s="756"/>
      <c r="C41" s="756"/>
      <c r="D41" s="756"/>
      <c r="E41" s="756"/>
      <c r="F41" s="756"/>
      <c r="G41" s="756"/>
      <c r="H41" s="756"/>
      <c r="I41" s="195"/>
    </row>
    <row r="42" spans="1:9" x14ac:dyDescent="0.2">
      <c r="A42" s="200">
        <v>1</v>
      </c>
      <c r="B42" s="201">
        <v>2</v>
      </c>
      <c r="C42" s="201">
        <v>2</v>
      </c>
      <c r="D42" s="200">
        <v>3</v>
      </c>
      <c r="E42" s="200">
        <v>4</v>
      </c>
      <c r="F42" s="202">
        <v>5</v>
      </c>
      <c r="G42" s="200">
        <v>6</v>
      </c>
      <c r="H42" s="200">
        <v>7</v>
      </c>
      <c r="I42" s="195"/>
    </row>
    <row r="43" spans="1:9" ht="12" thickBot="1" x14ac:dyDescent="0.25">
      <c r="A43" s="78">
        <v>1</v>
      </c>
      <c r="B43" s="79" t="str">
        <f>VLOOKUP(C43,[1]!Всё,3)</f>
        <v>Защитная паяльная маска Dynamask 5030 (сухая)</v>
      </c>
      <c r="C43" s="209" t="s">
        <v>559</v>
      </c>
      <c r="D43" s="210">
        <v>1.2</v>
      </c>
      <c r="E43" s="571">
        <f>D43*Площадь_заготовок_оплачиваемая*0.01*Колво_СЗПМ*Квг</f>
        <v>6.1563717599999999</v>
      </c>
      <c r="F43" s="210" t="s">
        <v>68</v>
      </c>
      <c r="G43" s="203">
        <f>VLOOKUP(C43,[1]!ПрайсНаМатериалы,3)</f>
        <v>1321.25</v>
      </c>
      <c r="H43" s="203">
        <f>E43*G43</f>
        <v>8134.1061878999999</v>
      </c>
      <c r="I43" s="195"/>
    </row>
    <row r="44" spans="1:9" ht="12" thickBot="1" x14ac:dyDescent="0.25">
      <c r="A44" s="82"/>
      <c r="B44" s="211" t="s">
        <v>47</v>
      </c>
      <c r="C44" s="211" t="s">
        <v>47</v>
      </c>
      <c r="D44" s="212"/>
      <c r="E44" s="569"/>
      <c r="F44" s="212"/>
      <c r="G44" s="212"/>
      <c r="H44" s="206">
        <f>H43</f>
        <v>8134.1061878999999</v>
      </c>
      <c r="I44" s="195"/>
    </row>
    <row r="45" spans="1:9" x14ac:dyDescent="0.2">
      <c r="A45" s="82"/>
      <c r="B45" s="213"/>
      <c r="C45" s="213"/>
      <c r="D45" s="214"/>
      <c r="E45" s="214"/>
      <c r="F45" s="214"/>
      <c r="G45" s="214"/>
      <c r="H45" s="215"/>
      <c r="I45" s="195"/>
    </row>
    <row r="46" spans="1:9" x14ac:dyDescent="0.2">
      <c r="A46" s="231">
        <v>2</v>
      </c>
      <c r="B46" s="79" t="str">
        <f>VLOOKUP(C46,[1]!Всё,3)</f>
        <v>Защитная паяльная маска XV501 T-4 Green (жидкая).</v>
      </c>
      <c r="C46" s="232" t="s">
        <v>494</v>
      </c>
      <c r="D46" s="210">
        <v>65</v>
      </c>
      <c r="E46" s="571">
        <f>D46*0.001*Площадь_заготовок_оплачиваемая*0.01*Колво_ЖЗПМ*Квг</f>
        <v>0.33347013700000006</v>
      </c>
      <c r="F46" s="210" t="s">
        <v>74</v>
      </c>
      <c r="G46" s="203">
        <f>VLOOKUP(C46,[1]!ПрайсНаМатериалы,3)</f>
        <v>2283.1999999999998</v>
      </c>
      <c r="H46" s="203">
        <f>E46*G46</f>
        <v>761.37901679840002</v>
      </c>
      <c r="I46" s="195"/>
    </row>
    <row r="47" spans="1:9" ht="12" thickBot="1" x14ac:dyDescent="0.25">
      <c r="A47" s="195"/>
      <c r="B47" s="228" t="s">
        <v>47</v>
      </c>
      <c r="C47" s="228" t="s">
        <v>47</v>
      </c>
      <c r="D47" s="229"/>
      <c r="E47" s="569"/>
      <c r="F47" s="229"/>
      <c r="G47" s="229"/>
      <c r="H47" s="230">
        <f>H46</f>
        <v>761.37901679840002</v>
      </c>
      <c r="I47" s="195"/>
    </row>
    <row r="48" spans="1:9" x14ac:dyDescent="0.2">
      <c r="A48" s="197"/>
      <c r="B48" s="197"/>
      <c r="C48" s="197"/>
      <c r="D48" s="197"/>
      <c r="E48" s="197"/>
      <c r="F48" s="216"/>
      <c r="G48" s="195"/>
      <c r="H48" s="195"/>
      <c r="I48" s="195"/>
    </row>
    <row r="49" spans="1:9" ht="12" thickBot="1" x14ac:dyDescent="0.25">
      <c r="A49" s="78">
        <v>3</v>
      </c>
      <c r="B49" s="79" t="str">
        <f>VLOOKUP(C49,[1]!Всё,3)</f>
        <v>Маркировочная краска XV501 T-4 SM White (жидкая)</v>
      </c>
      <c r="C49" s="217" t="s">
        <v>580</v>
      </c>
      <c r="D49" s="210">
        <v>40</v>
      </c>
      <c r="E49" s="571">
        <f>IF(ТипМаркировки=1,D49*0.001*Площадь_заготовок_оплачиваемая*0.01*Колво_ФМ,0)*Квг</f>
        <v>0</v>
      </c>
      <c r="F49" s="210" t="s">
        <v>74</v>
      </c>
      <c r="G49" s="203">
        <f>VLOOKUP(C49,[1]!ПрайсНаМатериалы,3)</f>
        <v>2095.91</v>
      </c>
      <c r="H49" s="203">
        <f>E49*G49</f>
        <v>0</v>
      </c>
      <c r="I49" s="195"/>
    </row>
    <row r="50" spans="1:9" ht="12" thickBot="1" x14ac:dyDescent="0.25">
      <c r="A50" s="195"/>
      <c r="B50" s="211" t="s">
        <v>47</v>
      </c>
      <c r="C50" s="211" t="s">
        <v>47</v>
      </c>
      <c r="D50" s="212"/>
      <c r="E50" s="569"/>
      <c r="F50" s="212"/>
      <c r="G50" s="212"/>
      <c r="H50" s="206">
        <f>H49</f>
        <v>0</v>
      </c>
      <c r="I50" s="195"/>
    </row>
    <row r="51" spans="1:9" x14ac:dyDescent="0.2">
      <c r="A51" s="197"/>
      <c r="B51" s="197"/>
      <c r="C51" s="197"/>
      <c r="D51" s="197"/>
      <c r="E51" s="197"/>
      <c r="F51" s="216"/>
      <c r="G51" s="195"/>
      <c r="H51" s="195"/>
      <c r="I51" s="195"/>
    </row>
    <row r="52" spans="1:9" ht="12" thickBot="1" x14ac:dyDescent="0.25">
      <c r="A52" s="78">
        <v>4</v>
      </c>
      <c r="B52" s="79" t="str">
        <f>VLOOKUP(C52,[1]!Всё,3)</f>
        <v>Краска белая термоотверждаемая Mark 3.1</v>
      </c>
      <c r="C52" s="217" t="s">
        <v>579</v>
      </c>
      <c r="D52" s="210">
        <v>45</v>
      </c>
      <c r="E52" s="571">
        <f>IF(ТипМаркировки=2,D52*0.001*Площадь_заготовок_оплачиваемая*0.01*Колво_ФМ,0)*Квг</f>
        <v>0.11543197049999999</v>
      </c>
      <c r="F52" s="210" t="s">
        <v>74</v>
      </c>
      <c r="G52" s="203" t="str">
        <f>VLOOKUP(C52,[1]!ПрайсНаМатериалы,3)</f>
        <v>16357.14</v>
      </c>
      <c r="H52" s="203">
        <f>E52*G52</f>
        <v>1888.1369019443698</v>
      </c>
      <c r="I52" s="195"/>
    </row>
    <row r="53" spans="1:9" ht="12" thickBot="1" x14ac:dyDescent="0.25">
      <c r="A53" s="195"/>
      <c r="B53" s="211" t="s">
        <v>47</v>
      </c>
      <c r="C53" s="211" t="s">
        <v>47</v>
      </c>
      <c r="D53" s="212"/>
      <c r="E53" s="569"/>
      <c r="F53" s="212"/>
      <c r="G53" s="212"/>
      <c r="H53" s="206">
        <f>H52</f>
        <v>1888.1369019443698</v>
      </c>
      <c r="I53" s="195"/>
    </row>
    <row r="54" spans="1:9" x14ac:dyDescent="0.2">
      <c r="A54" s="196"/>
      <c r="B54" s="197"/>
      <c r="C54" s="197"/>
      <c r="D54" s="197"/>
      <c r="E54" s="197"/>
      <c r="F54" s="197"/>
      <c r="G54" s="216"/>
      <c r="H54" s="195"/>
      <c r="I54" s="195"/>
    </row>
    <row r="55" spans="1:9" x14ac:dyDescent="0.2">
      <c r="A55" s="768" t="s">
        <v>391</v>
      </c>
      <c r="B55" s="768"/>
      <c r="C55" s="768"/>
      <c r="D55" s="768"/>
      <c r="E55" s="768"/>
      <c r="F55" s="768"/>
      <c r="G55" s="768"/>
      <c r="H55" s="768"/>
      <c r="I55" s="195"/>
    </row>
    <row r="56" spans="1:9" x14ac:dyDescent="0.2">
      <c r="A56" s="208"/>
      <c r="B56" s="198"/>
      <c r="C56" s="198"/>
      <c r="D56" s="195"/>
      <c r="E56" s="195"/>
      <c r="F56" s="195"/>
      <c r="G56" s="195"/>
      <c r="H56" s="195"/>
      <c r="I56" s="195"/>
    </row>
    <row r="57" spans="1:9" x14ac:dyDescent="0.2">
      <c r="A57" s="755" t="s">
        <v>50</v>
      </c>
      <c r="B57" s="755" t="s">
        <v>70</v>
      </c>
      <c r="C57" s="755" t="s">
        <v>70</v>
      </c>
      <c r="D57" s="755" t="s">
        <v>365</v>
      </c>
      <c r="E57" s="755" t="s">
        <v>71</v>
      </c>
      <c r="F57" s="755" t="s">
        <v>261</v>
      </c>
      <c r="G57" s="755" t="s">
        <v>438</v>
      </c>
      <c r="H57" s="755" t="s">
        <v>436</v>
      </c>
      <c r="I57" s="195"/>
    </row>
    <row r="58" spans="1:9" ht="10.15" customHeight="1" x14ac:dyDescent="0.2">
      <c r="A58" s="767"/>
      <c r="B58" s="767"/>
      <c r="C58" s="767"/>
      <c r="D58" s="767"/>
      <c r="E58" s="767"/>
      <c r="F58" s="767"/>
      <c r="G58" s="767"/>
      <c r="H58" s="767"/>
      <c r="I58" s="195"/>
    </row>
    <row r="59" spans="1:9" x14ac:dyDescent="0.2">
      <c r="A59" s="767"/>
      <c r="B59" s="767"/>
      <c r="C59" s="767"/>
      <c r="D59" s="767"/>
      <c r="E59" s="767"/>
      <c r="F59" s="767"/>
      <c r="G59" s="767"/>
      <c r="H59" s="767"/>
      <c r="I59" s="195"/>
    </row>
    <row r="60" spans="1:9" x14ac:dyDescent="0.2">
      <c r="A60" s="767"/>
      <c r="B60" s="767"/>
      <c r="C60" s="767"/>
      <c r="D60" s="767"/>
      <c r="E60" s="767"/>
      <c r="F60" s="767"/>
      <c r="G60" s="767"/>
      <c r="H60" s="767"/>
      <c r="I60" s="195"/>
    </row>
    <row r="61" spans="1:9" x14ac:dyDescent="0.2">
      <c r="A61" s="756"/>
      <c r="B61" s="756"/>
      <c r="C61" s="756"/>
      <c r="D61" s="756"/>
      <c r="E61" s="756"/>
      <c r="F61" s="756"/>
      <c r="G61" s="756"/>
      <c r="H61" s="756"/>
      <c r="I61" s="195"/>
    </row>
    <row r="62" spans="1:9" x14ac:dyDescent="0.2">
      <c r="A62" s="200">
        <v>1</v>
      </c>
      <c r="B62" s="201">
        <v>2</v>
      </c>
      <c r="C62" s="201">
        <v>2</v>
      </c>
      <c r="D62" s="200">
        <v>3</v>
      </c>
      <c r="E62" s="200">
        <v>4</v>
      </c>
      <c r="F62" s="202">
        <v>5</v>
      </c>
      <c r="G62" s="200">
        <v>6</v>
      </c>
      <c r="H62" s="200">
        <v>7</v>
      </c>
      <c r="I62" s="195"/>
    </row>
    <row r="63" spans="1:9" x14ac:dyDescent="0.2">
      <c r="A63" s="200">
        <v>1</v>
      </c>
      <c r="B63" s="79" t="str">
        <f>VLOOKUP(C63,[1]!Всё,3)</f>
        <v>Флюс</v>
      </c>
      <c r="C63" s="390" t="s">
        <v>405</v>
      </c>
      <c r="D63" s="210">
        <v>50</v>
      </c>
      <c r="E63" s="571">
        <f>D63*2*Площадь_заготовок_оплачиваемая/100/1000*(1-SIGN(Sи))*Квг</f>
        <v>0.25651548999999996</v>
      </c>
      <c r="F63" s="210" t="s">
        <v>74</v>
      </c>
      <c r="G63" s="203">
        <f>VLOOKUP(C63,[1]!ПрайсНаМатериалы,3)</f>
        <v>609.95000000000005</v>
      </c>
      <c r="H63" s="207">
        <f>E63*G63</f>
        <v>156.46162312549998</v>
      </c>
      <c r="I63" s="195"/>
    </row>
    <row r="64" spans="1:9" ht="12" thickBot="1" x14ac:dyDescent="0.25">
      <c r="A64" s="78">
        <v>2</v>
      </c>
      <c r="B64" s="79" t="str">
        <f>VLOOKUP(C64,[1]!Всё,3)</f>
        <v>Припой ПОС-61</v>
      </c>
      <c r="C64" s="386" t="s">
        <v>392</v>
      </c>
      <c r="D64" s="210">
        <v>75</v>
      </c>
      <c r="E64" s="571">
        <f>D64*2*Площадь_заготовок_оплачиваемая/100/1000*(1-SIGN(Sи))*Квг</f>
        <v>0.38477323499999999</v>
      </c>
      <c r="F64" s="210" t="s">
        <v>74</v>
      </c>
      <c r="G64" s="203">
        <f>VLOOKUP(C64,[1]!ПрайсНаМатериалы,3)</f>
        <v>1397</v>
      </c>
      <c r="H64" s="207">
        <f>E64*G64</f>
        <v>537.52820929500001</v>
      </c>
      <c r="I64" s="195"/>
    </row>
    <row r="65" spans="1:16" ht="12" thickBot="1" x14ac:dyDescent="0.25">
      <c r="A65" s="82"/>
      <c r="B65" s="211" t="s">
        <v>47</v>
      </c>
      <c r="C65" s="211" t="s">
        <v>47</v>
      </c>
      <c r="D65" s="212" t="s">
        <v>101</v>
      </c>
      <c r="E65" s="212"/>
      <c r="F65" s="212"/>
      <c r="G65" s="212"/>
      <c r="H65" s="206">
        <f>SUM(H63:H64)</f>
        <v>693.98983242049997</v>
      </c>
      <c r="I65" s="195"/>
    </row>
    <row r="66" spans="1:16" x14ac:dyDescent="0.2">
      <c r="A66" s="82"/>
      <c r="B66" s="225"/>
      <c r="C66" s="225"/>
      <c r="D66" s="197"/>
      <c r="E66" s="197"/>
      <c r="F66" s="197"/>
      <c r="G66" s="197"/>
      <c r="H66" s="216"/>
      <c r="I66" s="195"/>
    </row>
    <row r="67" spans="1:16" x14ac:dyDescent="0.2">
      <c r="A67" s="771" t="s">
        <v>623</v>
      </c>
      <c r="B67" s="771"/>
      <c r="C67" s="771"/>
      <c r="D67" s="771"/>
      <c r="E67" s="771"/>
      <c r="F67" s="771"/>
      <c r="G67" s="771"/>
      <c r="H67" s="771"/>
      <c r="I67" s="195"/>
    </row>
    <row r="68" spans="1:16" x14ac:dyDescent="0.2">
      <c r="A68" s="196"/>
      <c r="B68" s="197"/>
      <c r="C68" s="197"/>
      <c r="D68" s="197"/>
      <c r="E68" s="197"/>
      <c r="F68" s="197"/>
      <c r="G68" s="216"/>
      <c r="H68" s="195"/>
      <c r="I68" s="195"/>
    </row>
    <row r="69" spans="1:16" x14ac:dyDescent="0.2">
      <c r="A69" s="554"/>
      <c r="B69" s="555"/>
      <c r="C69" s="555"/>
      <c r="D69" s="556" t="s">
        <v>610</v>
      </c>
      <c r="E69" s="556"/>
      <c r="F69" s="556"/>
      <c r="G69" s="556" t="s">
        <v>611</v>
      </c>
      <c r="H69" s="556" t="s">
        <v>612</v>
      </c>
      <c r="P69" s="453"/>
    </row>
    <row r="70" spans="1:16" x14ac:dyDescent="0.2">
      <c r="A70" s="557"/>
      <c r="B70" s="557"/>
      <c r="C70" s="557"/>
      <c r="D70" s="558" t="s">
        <v>613</v>
      </c>
      <c r="E70" s="558"/>
      <c r="F70" s="558"/>
      <c r="G70" s="558"/>
      <c r="H70" s="558" t="s">
        <v>614</v>
      </c>
      <c r="P70" s="453"/>
    </row>
    <row r="71" spans="1:16" x14ac:dyDescent="0.2">
      <c r="A71" s="558" t="s">
        <v>69</v>
      </c>
      <c r="B71" s="558" t="s">
        <v>70</v>
      </c>
      <c r="C71" s="558" t="s">
        <v>70</v>
      </c>
      <c r="D71" s="558" t="s">
        <v>615</v>
      </c>
      <c r="E71" s="558" t="s">
        <v>71</v>
      </c>
      <c r="F71" s="558" t="s">
        <v>616</v>
      </c>
      <c r="G71" s="558" t="s">
        <v>617</v>
      </c>
      <c r="H71" s="558"/>
      <c r="P71" s="453"/>
    </row>
    <row r="72" spans="1:16" x14ac:dyDescent="0.2">
      <c r="A72" s="558" t="s">
        <v>618</v>
      </c>
      <c r="B72" s="558"/>
      <c r="C72" s="558"/>
      <c r="D72" s="558"/>
      <c r="E72" s="558"/>
      <c r="F72" s="558" t="s">
        <v>619</v>
      </c>
      <c r="G72" s="558" t="s">
        <v>620</v>
      </c>
      <c r="H72" s="558" t="s">
        <v>620</v>
      </c>
      <c r="P72" s="453"/>
    </row>
    <row r="73" spans="1:16" x14ac:dyDescent="0.2">
      <c r="A73" s="557"/>
      <c r="B73" s="559"/>
      <c r="C73" s="559"/>
      <c r="D73" s="558"/>
      <c r="E73" s="558"/>
      <c r="F73" s="558"/>
      <c r="G73" s="560" t="s">
        <v>72</v>
      </c>
      <c r="H73" s="560" t="s">
        <v>72</v>
      </c>
      <c r="P73" s="453"/>
    </row>
    <row r="74" spans="1:16" x14ac:dyDescent="0.2">
      <c r="A74" s="75">
        <v>1</v>
      </c>
      <c r="B74" s="561">
        <v>2</v>
      </c>
      <c r="C74" s="561">
        <v>2</v>
      </c>
      <c r="D74" s="75">
        <v>3</v>
      </c>
      <c r="E74" s="75">
        <v>4</v>
      </c>
      <c r="F74" s="562">
        <v>5</v>
      </c>
      <c r="G74" s="75">
        <v>6</v>
      </c>
      <c r="H74" s="75">
        <v>7</v>
      </c>
      <c r="P74" s="453"/>
    </row>
    <row r="75" spans="1:16" x14ac:dyDescent="0.2">
      <c r="A75" s="76">
        <v>1</v>
      </c>
      <c r="B75" s="563" t="str">
        <f>VLOOKUP(C75,[1]!Всё,3)</f>
        <v>Сверло твердосплавное, отв/шт</v>
      </c>
      <c r="C75" s="564" t="s">
        <v>621</v>
      </c>
      <c r="D75" s="76">
        <v>2000</v>
      </c>
      <c r="E75" s="571">
        <f>(smalldrill+bigdrill)/D75*N</f>
        <v>73.5</v>
      </c>
      <c r="F75" s="565" t="str">
        <f>VLOOKUP(B75,[1]!ПрайсНаМатериалы,2)</f>
        <v>шт</v>
      </c>
      <c r="G75" s="565">
        <f>VLOOKUP(C75,[1]!ПрайсНаМатериалы,3)</f>
        <v>95</v>
      </c>
      <c r="H75" s="379">
        <f>E75*G75</f>
        <v>6982.5</v>
      </c>
      <c r="P75" s="453"/>
    </row>
    <row r="76" spans="1:16" ht="12" thickBot="1" x14ac:dyDescent="0.25">
      <c r="A76" s="76">
        <v>2</v>
      </c>
      <c r="B76" s="563" t="str">
        <f>VLOOKUP(C76,[1]!Всё,3)</f>
        <v>Фреза твердосплавная, м/шт</v>
      </c>
      <c r="C76" s="564" t="s">
        <v>622</v>
      </c>
      <c r="D76" s="76">
        <v>20</v>
      </c>
      <c r="E76" s="571">
        <f>IF(frezcorner=2,nib*0.128/D76,nib*Рп/D76*frezcorner)*N</f>
        <v>0.94080000000000008</v>
      </c>
      <c r="F76" s="565" t="str">
        <f>VLOOKUP(B76,[1]!ПрайсНаМатериалы,2)</f>
        <v>шт</v>
      </c>
      <c r="G76" s="565">
        <f>VLOOKUP(C76,[1]!ПрайсНаМатериалы,3)</f>
        <v>160</v>
      </c>
      <c r="H76" s="379">
        <f>E76*G76</f>
        <v>150.52800000000002</v>
      </c>
      <c r="P76" s="453"/>
    </row>
    <row r="77" spans="1:16" ht="12" thickBot="1" x14ac:dyDescent="0.25">
      <c r="B77" s="566" t="s">
        <v>47</v>
      </c>
      <c r="C77" s="566" t="s">
        <v>47</v>
      </c>
      <c r="D77" s="567"/>
      <c r="E77" s="567"/>
      <c r="F77" s="567"/>
      <c r="G77" s="567"/>
      <c r="H77" s="568">
        <f>SUM(H75:H76)</f>
        <v>7133.0280000000002</v>
      </c>
      <c r="P77" s="453"/>
    </row>
    <row r="78" spans="1:16" x14ac:dyDescent="0.2">
      <c r="A78" s="196"/>
      <c r="B78" s="197"/>
      <c r="C78" s="197"/>
      <c r="D78" s="197"/>
      <c r="E78" s="197"/>
      <c r="F78" s="197"/>
      <c r="G78" s="216"/>
      <c r="H78" s="195"/>
      <c r="I78" s="195"/>
    </row>
    <row r="79" spans="1:16" x14ac:dyDescent="0.2">
      <c r="A79" s="768" t="s">
        <v>102</v>
      </c>
      <c r="B79" s="768"/>
      <c r="C79" s="768"/>
      <c r="D79" s="768"/>
      <c r="E79" s="768"/>
      <c r="F79" s="768"/>
      <c r="G79" s="768"/>
      <c r="H79" s="768"/>
      <c r="I79" s="195"/>
    </row>
    <row r="80" spans="1:16" x14ac:dyDescent="0.2">
      <c r="A80" s="195"/>
      <c r="B80" s="195"/>
      <c r="C80" s="195"/>
      <c r="D80" s="199"/>
      <c r="E80" s="199"/>
      <c r="F80" s="195"/>
      <c r="G80" s="195"/>
      <c r="H80" s="195"/>
      <c r="I80" s="195"/>
    </row>
    <row r="81" spans="1:9" x14ac:dyDescent="0.2">
      <c r="A81" s="755" t="s">
        <v>50</v>
      </c>
      <c r="B81" s="755" t="s">
        <v>70</v>
      </c>
      <c r="C81" s="755" t="s">
        <v>70</v>
      </c>
      <c r="D81" s="755" t="s">
        <v>365</v>
      </c>
      <c r="E81" s="755" t="s">
        <v>71</v>
      </c>
      <c r="F81" s="755" t="s">
        <v>261</v>
      </c>
      <c r="G81" s="755" t="s">
        <v>438</v>
      </c>
      <c r="H81" s="755" t="s">
        <v>436</v>
      </c>
      <c r="I81" s="195"/>
    </row>
    <row r="82" spans="1:9" ht="10.15" customHeight="1" x14ac:dyDescent="0.2">
      <c r="A82" s="767"/>
      <c r="B82" s="767"/>
      <c r="C82" s="767"/>
      <c r="D82" s="767"/>
      <c r="E82" s="767"/>
      <c r="F82" s="767"/>
      <c r="G82" s="767"/>
      <c r="H82" s="767"/>
      <c r="I82" s="195"/>
    </row>
    <row r="83" spans="1:9" x14ac:dyDescent="0.2">
      <c r="A83" s="767"/>
      <c r="B83" s="767"/>
      <c r="C83" s="767"/>
      <c r="D83" s="767"/>
      <c r="E83" s="767"/>
      <c r="F83" s="767"/>
      <c r="G83" s="767"/>
      <c r="H83" s="767"/>
      <c r="I83" s="195"/>
    </row>
    <row r="84" spans="1:9" x14ac:dyDescent="0.2">
      <c r="A84" s="767"/>
      <c r="B84" s="767"/>
      <c r="C84" s="767"/>
      <c r="D84" s="767"/>
      <c r="E84" s="767"/>
      <c r="F84" s="767"/>
      <c r="G84" s="767"/>
      <c r="H84" s="767"/>
      <c r="I84" s="195"/>
    </row>
    <row r="85" spans="1:9" x14ac:dyDescent="0.2">
      <c r="A85" s="756"/>
      <c r="B85" s="756"/>
      <c r="C85" s="756"/>
      <c r="D85" s="756"/>
      <c r="E85" s="756"/>
      <c r="F85" s="756"/>
      <c r="G85" s="756"/>
      <c r="H85" s="756"/>
      <c r="I85" s="195"/>
    </row>
    <row r="86" spans="1:9" x14ac:dyDescent="0.2">
      <c r="A86" s="200">
        <v>1</v>
      </c>
      <c r="B86" s="201">
        <v>2</v>
      </c>
      <c r="C86" s="201">
        <v>2</v>
      </c>
      <c r="D86" s="200">
        <v>3</v>
      </c>
      <c r="E86" s="200">
        <v>4</v>
      </c>
      <c r="F86" s="202">
        <v>5</v>
      </c>
      <c r="G86" s="200">
        <v>6</v>
      </c>
      <c r="H86" s="200">
        <v>7</v>
      </c>
      <c r="I86" s="195"/>
    </row>
    <row r="87" spans="1:9" x14ac:dyDescent="0.2">
      <c r="A87" s="210">
        <v>1</v>
      </c>
      <c r="B87" s="79" t="str">
        <f>VLOOKUP(C87,[1]!Всё,3)</f>
        <v>Очиститель AUNIC CLEANER</v>
      </c>
      <c r="C87" s="218" t="s">
        <v>103</v>
      </c>
      <c r="D87" s="76">
        <v>36</v>
      </c>
      <c r="E87" s="571">
        <f t="shared" ref="E87:E94" si="1">D87*Площадь_заготовок/100/1000*Квг*(IF(Sи&gt;0,1,0))</f>
        <v>0</v>
      </c>
      <c r="F87" s="219" t="s">
        <v>74</v>
      </c>
      <c r="G87" s="203">
        <f>VLOOKUP(C87,[1]!ПрайсНаМатериалы,3)</f>
        <v>542.26</v>
      </c>
      <c r="H87" s="391">
        <f t="shared" ref="H87:H96" si="2">E87*G87</f>
        <v>0</v>
      </c>
      <c r="I87" s="195"/>
    </row>
    <row r="88" spans="1:9" x14ac:dyDescent="0.2">
      <c r="A88" s="210">
        <v>2</v>
      </c>
      <c r="B88" s="79" t="str">
        <f>VLOOKUP(C88,[1]!Всё,3)</f>
        <v>Микротравитель MICROTECH SF</v>
      </c>
      <c r="C88" s="218" t="s">
        <v>104</v>
      </c>
      <c r="D88" s="76">
        <v>86</v>
      </c>
      <c r="E88" s="571">
        <f t="shared" si="1"/>
        <v>0</v>
      </c>
      <c r="F88" s="220" t="s">
        <v>74</v>
      </c>
      <c r="G88" s="203">
        <f>VLOOKUP(C88,[1]!ПрайсНаМатериалы,3)</f>
        <v>466.4</v>
      </c>
      <c r="H88" s="391">
        <f t="shared" si="2"/>
        <v>0</v>
      </c>
      <c r="I88" s="195"/>
    </row>
    <row r="89" spans="1:9" x14ac:dyDescent="0.2">
      <c r="A89" s="210">
        <v>3</v>
      </c>
      <c r="B89" s="79" t="str">
        <f>VLOOKUP(C89,[1]!Всё,3)</f>
        <v>Активатор AUNIC ACTIVATOR</v>
      </c>
      <c r="C89" s="218" t="s">
        <v>105</v>
      </c>
      <c r="D89" s="76">
        <v>15</v>
      </c>
      <c r="E89" s="571">
        <f t="shared" si="1"/>
        <v>0</v>
      </c>
      <c r="F89" s="219" t="s">
        <v>74</v>
      </c>
      <c r="G89" s="203">
        <f>VLOOKUP(C89,[1]!ПрайсНаМатериалы,3)</f>
        <v>3500</v>
      </c>
      <c r="H89" s="391">
        <f t="shared" si="2"/>
        <v>0</v>
      </c>
      <c r="I89" s="195"/>
    </row>
    <row r="90" spans="1:9" x14ac:dyDescent="0.2">
      <c r="A90" s="210">
        <v>4</v>
      </c>
      <c r="B90" s="79" t="str">
        <f>VLOOKUP(C90,[1]!Всё,3)</f>
        <v>Добавка AUNIC EN "A"</v>
      </c>
      <c r="C90" s="218" t="s">
        <v>106</v>
      </c>
      <c r="D90" s="76">
        <v>350</v>
      </c>
      <c r="E90" s="571">
        <f t="shared" si="1"/>
        <v>0</v>
      </c>
      <c r="F90" s="220" t="s">
        <v>74</v>
      </c>
      <c r="G90" s="203">
        <f>VLOOKUP(C90,[1]!ПрайсНаМатериалы,3)</f>
        <v>705.42</v>
      </c>
      <c r="H90" s="391">
        <f t="shared" si="2"/>
        <v>0</v>
      </c>
      <c r="I90" s="195"/>
    </row>
    <row r="91" spans="1:9" x14ac:dyDescent="0.2">
      <c r="A91" s="210">
        <v>5</v>
      </c>
      <c r="B91" s="79" t="str">
        <f>VLOOKUP(C91,[1]!Всё,3)</f>
        <v>Добавка AUNIC EN "B"</v>
      </c>
      <c r="C91" s="218" t="s">
        <v>107</v>
      </c>
      <c r="D91" s="76">
        <v>245</v>
      </c>
      <c r="E91" s="571">
        <f t="shared" si="1"/>
        <v>0</v>
      </c>
      <c r="F91" s="221" t="s">
        <v>74</v>
      </c>
      <c r="G91" s="203">
        <f>VLOOKUP(C91,[1]!ПрайсНаМатериалы,3)</f>
        <v>633.91</v>
      </c>
      <c r="H91" s="391">
        <f t="shared" si="2"/>
        <v>0</v>
      </c>
      <c r="I91" s="195"/>
    </row>
    <row r="92" spans="1:9" x14ac:dyDescent="0.2">
      <c r="A92" s="210">
        <v>6</v>
      </c>
      <c r="B92" s="79" t="str">
        <f>VLOOKUP(C92,[1]!Всё,3)</f>
        <v>Добавка AUNIC IG "A"</v>
      </c>
      <c r="C92" s="218" t="s">
        <v>108</v>
      </c>
      <c r="D92" s="76">
        <v>22</v>
      </c>
      <c r="E92" s="571">
        <f t="shared" si="1"/>
        <v>0</v>
      </c>
      <c r="F92" s="219" t="s">
        <v>74</v>
      </c>
      <c r="G92" s="203">
        <f>VLOOKUP(C92,[1]!ПрайсНаМатериалы,3)</f>
        <v>1015</v>
      </c>
      <c r="H92" s="391">
        <f t="shared" si="2"/>
        <v>0</v>
      </c>
      <c r="I92" s="195"/>
    </row>
    <row r="93" spans="1:9" x14ac:dyDescent="0.2">
      <c r="A93" s="210">
        <v>7</v>
      </c>
      <c r="B93" s="79" t="str">
        <f>VLOOKUP(C93,[1]!Всё,3)</f>
        <v>Состав для приготовления AUNIC MAKE-UP</v>
      </c>
      <c r="C93" s="218" t="s">
        <v>109</v>
      </c>
      <c r="D93" s="76">
        <v>195</v>
      </c>
      <c r="E93" s="571">
        <f t="shared" si="1"/>
        <v>0</v>
      </c>
      <c r="F93" s="222" t="s">
        <v>74</v>
      </c>
      <c r="G93" s="203">
        <f>VLOOKUP(C93,[1]!ПрайсНаМатериалы,3)</f>
        <v>679.04</v>
      </c>
      <c r="H93" s="391">
        <f t="shared" si="2"/>
        <v>0</v>
      </c>
      <c r="I93" s="195"/>
    </row>
    <row r="94" spans="1:9" x14ac:dyDescent="0.2">
      <c r="A94" s="210">
        <v>8</v>
      </c>
      <c r="B94" s="79" t="str">
        <f>VLOOKUP(C94,[1]!Всё,3)</f>
        <v>Кислота азотная</v>
      </c>
      <c r="C94" s="218" t="s">
        <v>110</v>
      </c>
      <c r="D94" s="383">
        <v>10</v>
      </c>
      <c r="E94" s="571">
        <f t="shared" si="1"/>
        <v>0</v>
      </c>
      <c r="F94" s="223" t="s">
        <v>74</v>
      </c>
      <c r="G94" s="203">
        <f>VLOOKUP(C94,[1]!ПрайсНаМатериалы,3)</f>
        <v>74</v>
      </c>
      <c r="H94" s="391">
        <f t="shared" si="2"/>
        <v>0</v>
      </c>
      <c r="I94" s="195"/>
    </row>
    <row r="95" spans="1:9" x14ac:dyDescent="0.2">
      <c r="A95" s="210">
        <v>9</v>
      </c>
      <c r="B95" s="79" t="str">
        <f>VLOOKUP(C95,[1]!Всё,3)</f>
        <v>Калий дицианоаурат (I) (68,23%) чда</v>
      </c>
      <c r="C95" s="218" t="s">
        <v>111</v>
      </c>
      <c r="D95" s="76">
        <v>3.0019999999999998</v>
      </c>
      <c r="E95" s="571">
        <f>N*D95*Sи/100/1000*Квг</f>
        <v>0</v>
      </c>
      <c r="F95" s="223" t="s">
        <v>586</v>
      </c>
      <c r="G95" s="203">
        <f>VLOOKUP(C95,[1]!ПрайсНаМатериалы,3)</f>
        <v>1322.08</v>
      </c>
      <c r="H95" s="391">
        <f>E95*G95</f>
        <v>0</v>
      </c>
      <c r="I95" s="195"/>
    </row>
    <row r="96" spans="1:9" ht="12" thickBot="1" x14ac:dyDescent="0.25">
      <c r="A96" s="210">
        <v>10</v>
      </c>
      <c r="B96" s="79" t="str">
        <f>VLOOKUP(C96,[1]!Всё,3)</f>
        <v>Добавка AUNIC EN "C"</v>
      </c>
      <c r="C96" s="218" t="s">
        <v>531</v>
      </c>
      <c r="D96" s="76">
        <v>9</v>
      </c>
      <c r="E96" s="571">
        <f>D96*Площадь_заготовок/100/1000*Квг*(IF(Sи&gt;0,1,0))</f>
        <v>0</v>
      </c>
      <c r="F96" s="223" t="s">
        <v>74</v>
      </c>
      <c r="G96" s="203">
        <f>VLOOKUP(C96,[1]!ПрайсНаМатериалы,3)</f>
        <v>958.34</v>
      </c>
      <c r="H96" s="391">
        <f t="shared" si="2"/>
        <v>0</v>
      </c>
      <c r="I96" s="195"/>
    </row>
    <row r="97" spans="1:12" ht="12" thickBot="1" x14ac:dyDescent="0.25">
      <c r="A97" s="195"/>
      <c r="B97" s="195"/>
      <c r="C97" s="769" t="s">
        <v>47</v>
      </c>
      <c r="D97" s="769"/>
      <c r="E97" s="769"/>
      <c r="F97" s="769"/>
      <c r="G97" s="770"/>
      <c r="H97" s="224">
        <f>SUM(H87:H96)</f>
        <v>0</v>
      </c>
      <c r="I97" s="195"/>
    </row>
    <row r="98" spans="1:12" ht="12" thickBot="1" x14ac:dyDescent="0.25">
      <c r="A98" s="197"/>
      <c r="B98" s="225"/>
      <c r="C98" s="225"/>
      <c r="D98" s="197"/>
      <c r="E98" s="197"/>
      <c r="F98" s="197"/>
      <c r="G98" s="197"/>
      <c r="H98" s="215"/>
      <c r="I98" s="195"/>
    </row>
    <row r="99" spans="1:12" ht="12" thickBot="1" x14ac:dyDescent="0.25">
      <c r="A99" s="195"/>
      <c r="B99" s="226" t="s">
        <v>431</v>
      </c>
      <c r="C99" s="226" t="s">
        <v>431</v>
      </c>
      <c r="D99" s="197"/>
      <c r="E99" s="197"/>
      <c r="F99" s="197"/>
      <c r="G99" s="197"/>
      <c r="H99" s="206">
        <f>Материалы_основные+Материалы_ЖМ+Материалы_КМ+Материалы_ФМ+Материалы_золочение+Материалы_МП+Материалы_ФШ+Материалы_ГорПОС+Материалы_Printar+ПКИ</f>
        <v>110842.66845467448</v>
      </c>
      <c r="I99" s="195"/>
    </row>
    <row r="100" spans="1:12" x14ac:dyDescent="0.2">
      <c r="A100" s="195"/>
      <c r="B100" s="195"/>
      <c r="C100" s="195"/>
      <c r="D100" s="195"/>
      <c r="E100" s="195"/>
      <c r="F100" s="195"/>
      <c r="G100" s="195"/>
      <c r="H100" s="195"/>
      <c r="I100" s="195"/>
      <c r="J100" s="53">
        <f>Материалы_золочение+Материалы_ГорПОС+Материалы_Printar+Материалы_ФМ+Материалы_ЖМ+Материалы_КМ+Материалы_МП+Материалы_ФШ</f>
        <v>14276.38495335327</v>
      </c>
      <c r="K100" s="53">
        <f>Материалы_всего-J100</f>
        <v>96566.283501321217</v>
      </c>
    </row>
    <row r="101" spans="1:12" ht="15.75" x14ac:dyDescent="0.25">
      <c r="B101" s="172" t="s">
        <v>541</v>
      </c>
      <c r="C101" s="172" t="s">
        <v>541</v>
      </c>
      <c r="D101" s="432"/>
      <c r="E101" s="433"/>
      <c r="F101" s="433"/>
      <c r="H101" s="435" t="s">
        <v>574</v>
      </c>
      <c r="I101" s="179"/>
      <c r="K101" s="58"/>
      <c r="L101" s="58"/>
    </row>
    <row r="102" spans="1:12" x14ac:dyDescent="0.2">
      <c r="A102" s="195"/>
      <c r="B102" s="195"/>
      <c r="C102" s="195"/>
      <c r="D102" s="195"/>
      <c r="E102" s="195"/>
      <c r="F102" s="195"/>
      <c r="G102" s="195"/>
      <c r="H102" s="195"/>
      <c r="I102" s="195"/>
    </row>
    <row r="103" spans="1:12" x14ac:dyDescent="0.2">
      <c r="A103" s="195"/>
      <c r="B103" s="195"/>
      <c r="C103" s="195"/>
      <c r="D103" s="195"/>
      <c r="E103" s="195"/>
      <c r="F103" s="195"/>
      <c r="G103" s="195"/>
      <c r="H103" s="195"/>
      <c r="I103" s="195"/>
    </row>
    <row r="104" spans="1:12" x14ac:dyDescent="0.2">
      <c r="A104" s="195"/>
      <c r="B104" s="195"/>
      <c r="C104" s="195"/>
      <c r="D104" s="195"/>
      <c r="E104" s="195"/>
      <c r="F104" s="195"/>
      <c r="G104" s="195"/>
      <c r="H104" s="195"/>
      <c r="I104" s="195"/>
    </row>
    <row r="105" spans="1:12" x14ac:dyDescent="0.2">
      <c r="A105" s="195"/>
      <c r="B105" s="227"/>
      <c r="C105" s="227"/>
      <c r="D105" s="195"/>
      <c r="E105" s="195"/>
      <c r="F105" s="195"/>
      <c r="G105" s="195"/>
      <c r="H105" s="195"/>
      <c r="I105" s="195"/>
    </row>
    <row r="106" spans="1:12" x14ac:dyDescent="0.2">
      <c r="D106" s="64"/>
    </row>
  </sheetData>
  <mergeCells count="48">
    <mergeCell ref="C97:G97"/>
    <mergeCell ref="H81:H85"/>
    <mergeCell ref="D37:D41"/>
    <mergeCell ref="E57:E61"/>
    <mergeCell ref="E81:E85"/>
    <mergeCell ref="D57:D61"/>
    <mergeCell ref="G57:G61"/>
    <mergeCell ref="A67:H67"/>
    <mergeCell ref="F57:F61"/>
    <mergeCell ref="A81:A85"/>
    <mergeCell ref="F37:F41"/>
    <mergeCell ref="D81:D85"/>
    <mergeCell ref="E37:E41"/>
    <mergeCell ref="F81:F85"/>
    <mergeCell ref="A79:H79"/>
    <mergeCell ref="C81:C85"/>
    <mergeCell ref="A37:A41"/>
    <mergeCell ref="H57:H61"/>
    <mergeCell ref="A57:A61"/>
    <mergeCell ref="G37:G41"/>
    <mergeCell ref="A55:H55"/>
    <mergeCell ref="B37:B41"/>
    <mergeCell ref="B57:B61"/>
    <mergeCell ref="B81:B85"/>
    <mergeCell ref="C57:C61"/>
    <mergeCell ref="C37:C41"/>
    <mergeCell ref="H37:H41"/>
    <mergeCell ref="G81:G85"/>
    <mergeCell ref="A17:H17"/>
    <mergeCell ref="F19:F23"/>
    <mergeCell ref="G19:G23"/>
    <mergeCell ref="A35:H35"/>
    <mergeCell ref="A19:A23"/>
    <mergeCell ref="E19:E23"/>
    <mergeCell ref="B19:B23"/>
    <mergeCell ref="H19:H23"/>
    <mergeCell ref="C19:C23"/>
    <mergeCell ref="D19:D23"/>
    <mergeCell ref="G2:H2"/>
    <mergeCell ref="A3:H3"/>
    <mergeCell ref="A5:A9"/>
    <mergeCell ref="E5:E9"/>
    <mergeCell ref="F5:F9"/>
    <mergeCell ref="C5:C9"/>
    <mergeCell ref="D5:D9"/>
    <mergeCell ref="B5:B9"/>
    <mergeCell ref="H5:H9"/>
    <mergeCell ref="G5:G9"/>
  </mergeCells>
  <phoneticPr fontId="7" type="noConversion"/>
  <pageMargins left="0.7" right="0.7" top="0.75" bottom="0.75" header="0.3" footer="0.3"/>
  <pageSetup paperSize="9" scale="80" fitToWidth="0" fitToHeight="0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pageSetUpPr fitToPage="1"/>
  </sheetPr>
  <dimension ref="A1:H96"/>
  <sheetViews>
    <sheetView topLeftCell="A40" workbookViewId="0">
      <selection activeCell="C58" sqref="C58"/>
    </sheetView>
  </sheetViews>
  <sheetFormatPr defaultRowHeight="12.75" x14ac:dyDescent="0.2"/>
  <cols>
    <col min="1" max="1" width="5.140625" customWidth="1"/>
    <col min="2" max="2" width="52.28515625" bestFit="1" customWidth="1"/>
    <col min="3" max="3" width="17.28515625" customWidth="1"/>
    <col min="4" max="5" width="15.85546875" customWidth="1"/>
    <col min="6" max="6" width="19.7109375" style="275" bestFit="1" customWidth="1"/>
    <col min="7" max="7" width="21.5703125" customWidth="1"/>
  </cols>
  <sheetData>
    <row r="1" spans="1:7" s="53" customFormat="1" ht="11.25" x14ac:dyDescent="0.2">
      <c r="D1" s="74"/>
      <c r="E1" s="54" t="s">
        <v>565</v>
      </c>
      <c r="F1" s="274"/>
    </row>
    <row r="2" spans="1:7" s="53" customFormat="1" ht="11.25" x14ac:dyDescent="0.2">
      <c r="D2" s="64"/>
      <c r="E2" s="54" t="s">
        <v>446</v>
      </c>
      <c r="F2" s="274"/>
    </row>
    <row r="3" spans="1:7" ht="15.75" x14ac:dyDescent="0.25">
      <c r="A3" s="778" t="s">
        <v>570</v>
      </c>
      <c r="B3" s="778"/>
      <c r="C3" s="778"/>
      <c r="D3" s="778"/>
      <c r="E3" s="778"/>
      <c r="G3" s="518" t="s">
        <v>545</v>
      </c>
    </row>
    <row r="4" spans="1:7" ht="15.75" x14ac:dyDescent="0.25">
      <c r="A4" s="778" t="s">
        <v>571</v>
      </c>
      <c r="B4" s="778"/>
      <c r="C4" s="778"/>
      <c r="D4" s="778"/>
      <c r="E4" s="778"/>
      <c r="G4" s="518">
        <v>1.1000000000000001</v>
      </c>
    </row>
    <row r="6" spans="1:7" x14ac:dyDescent="0.2">
      <c r="A6" s="774" t="s">
        <v>112</v>
      </c>
      <c r="B6" s="776" t="s">
        <v>113</v>
      </c>
      <c r="C6" s="83" t="s">
        <v>114</v>
      </c>
      <c r="D6" s="84" t="s">
        <v>114</v>
      </c>
      <c r="E6" s="84" t="s">
        <v>114</v>
      </c>
      <c r="F6" s="276" t="s">
        <v>114</v>
      </c>
    </row>
    <row r="7" spans="1:7" ht="26.25" customHeight="1" x14ac:dyDescent="0.2">
      <c r="A7" s="775"/>
      <c r="B7" s="777"/>
      <c r="C7" s="85" t="s">
        <v>115</v>
      </c>
      <c r="D7" s="86" t="s">
        <v>116</v>
      </c>
      <c r="E7" s="86" t="s">
        <v>173</v>
      </c>
      <c r="F7" s="277" t="s">
        <v>227</v>
      </c>
    </row>
    <row r="8" spans="1:7" x14ac:dyDescent="0.2">
      <c r="A8" s="123"/>
      <c r="B8" s="175" t="s">
        <v>228</v>
      </c>
      <c r="C8" s="526"/>
      <c r="D8" s="527"/>
      <c r="E8" s="527"/>
      <c r="F8" s="278"/>
    </row>
    <row r="9" spans="1:7" s="179" customFormat="1" ht="13.15" customHeight="1" x14ac:dyDescent="0.2">
      <c r="A9" s="178">
        <v>1</v>
      </c>
      <c r="B9" s="177" t="s">
        <v>137</v>
      </c>
      <c r="C9" s="528">
        <v>0.5</v>
      </c>
      <c r="D9" s="529">
        <v>0.75</v>
      </c>
      <c r="E9" s="529">
        <v>1.2</v>
      </c>
      <c r="F9" s="174">
        <f ca="1">OFFSET(C9,0,Класс_точности-3)*VLOOKUP(MIN(А,В)*100,Коэф_труд_ФШ,2)</f>
        <v>0.5</v>
      </c>
      <c r="G9" t="s">
        <v>408</v>
      </c>
    </row>
    <row r="10" spans="1:7" s="179" customFormat="1" ht="13.15" customHeight="1" x14ac:dyDescent="0.2">
      <c r="A10" s="178">
        <v>1.1000000000000001</v>
      </c>
      <c r="B10" s="177" t="s">
        <v>606</v>
      </c>
      <c r="C10" s="528">
        <v>0.4</v>
      </c>
      <c r="D10" s="529">
        <v>0.6</v>
      </c>
      <c r="E10" s="529">
        <v>1</v>
      </c>
      <c r="F10" s="174">
        <f ca="1">OFFSET(C10,0,Класс_точности-3)*VLOOKUP(MIN(А,В)*100,Коэф_труд_ФШ,2)</f>
        <v>0.4</v>
      </c>
      <c r="G10"/>
    </row>
    <row r="11" spans="1:7" s="179" customFormat="1" ht="13.15" customHeight="1" x14ac:dyDescent="0.2">
      <c r="A11" s="178">
        <v>2</v>
      </c>
      <c r="B11" s="180" t="s">
        <v>229</v>
      </c>
      <c r="C11" s="528">
        <v>0.35</v>
      </c>
      <c r="D11" s="529">
        <v>0.45</v>
      </c>
      <c r="E11" s="529">
        <v>0.8</v>
      </c>
      <c r="F11" s="174">
        <f ca="1">OFFSET(C11,0,Класс_точности-3)*VLOOKUP(MIN(А,В)*100,Коэф_труд_ФШ,2)</f>
        <v>0.35</v>
      </c>
      <c r="G11" t="s">
        <v>408</v>
      </c>
    </row>
    <row r="12" spans="1:7" s="179" customFormat="1" ht="13.15" customHeight="1" x14ac:dyDescent="0.2">
      <c r="A12" s="178">
        <v>2.1</v>
      </c>
      <c r="B12" s="177" t="s">
        <v>606</v>
      </c>
      <c r="C12" s="528">
        <v>0.3</v>
      </c>
      <c r="D12" s="529">
        <v>0.4</v>
      </c>
      <c r="E12" s="529">
        <v>0.7</v>
      </c>
      <c r="F12" s="174">
        <f ca="1">OFFSET(C12,0,Класс_точности-3)*VLOOKUP(MIN(А,В)*100,Коэф_труд_ФШ,2)</f>
        <v>0.3</v>
      </c>
      <c r="G12"/>
    </row>
    <row r="13" spans="1:7" s="179" customFormat="1" ht="13.15" customHeight="1" x14ac:dyDescent="0.2">
      <c r="A13" s="178">
        <v>3</v>
      </c>
      <c r="B13" s="180" t="s">
        <v>138</v>
      </c>
      <c r="C13" s="528">
        <f>0.264*Кутр</f>
        <v>0.29040000000000005</v>
      </c>
      <c r="D13" s="528">
        <f>0.264*Кутр</f>
        <v>0.29040000000000005</v>
      </c>
      <c r="E13" s="528">
        <f>0.264*Кутр</f>
        <v>0.29040000000000005</v>
      </c>
      <c r="F13" s="174">
        <f t="shared" ref="F13:F18" ca="1" si="0">OFFSET(C13,0,Класс_точности-3)</f>
        <v>0.29040000000000005</v>
      </c>
    </row>
    <row r="14" spans="1:7" s="179" customFormat="1" ht="13.15" hidden="1" customHeight="1" x14ac:dyDescent="0.2">
      <c r="A14" s="178">
        <v>5</v>
      </c>
      <c r="B14" s="176"/>
      <c r="C14" s="526">
        <f>0*Кутр</f>
        <v>0</v>
      </c>
      <c r="D14" s="527">
        <f>0*Кутр</f>
        <v>0</v>
      </c>
      <c r="E14" s="527">
        <f>0*Кутр</f>
        <v>0</v>
      </c>
      <c r="F14" s="174">
        <f t="shared" ca="1" si="0"/>
        <v>0</v>
      </c>
    </row>
    <row r="15" spans="1:7" s="179" customFormat="1" ht="13.15" hidden="1" customHeight="1" x14ac:dyDescent="0.2">
      <c r="A15" s="178">
        <v>6</v>
      </c>
      <c r="B15" s="176"/>
      <c r="C15" s="526">
        <f>0.004*Кутр</f>
        <v>4.4000000000000003E-3</v>
      </c>
      <c r="D15" s="527">
        <f>0.005*Кутр</f>
        <v>5.5000000000000005E-3</v>
      </c>
      <c r="E15" s="527">
        <f>0.006*$G$4</f>
        <v>6.6000000000000008E-3</v>
      </c>
      <c r="F15" s="174">
        <f t="shared" ca="1" si="0"/>
        <v>4.4000000000000003E-3</v>
      </c>
    </row>
    <row r="16" spans="1:7" s="179" customFormat="1" ht="13.15" hidden="1" customHeight="1" x14ac:dyDescent="0.2">
      <c r="A16" s="178">
        <v>7</v>
      </c>
      <c r="B16" s="176"/>
      <c r="C16" s="526">
        <f>0.006*Кутр</f>
        <v>6.6000000000000008E-3</v>
      </c>
      <c r="D16" s="527">
        <f>0.007*Кутр</f>
        <v>7.7000000000000011E-3</v>
      </c>
      <c r="E16" s="527">
        <f>0.008*$G$4</f>
        <v>8.8000000000000005E-3</v>
      </c>
      <c r="F16" s="174">
        <f t="shared" ca="1" si="0"/>
        <v>6.6000000000000008E-3</v>
      </c>
    </row>
    <row r="17" spans="1:7" s="179" customFormat="1" ht="13.15" hidden="1" customHeight="1" x14ac:dyDescent="0.2">
      <c r="A17" s="178">
        <v>8</v>
      </c>
      <c r="B17" s="176"/>
      <c r="C17" s="526">
        <f>0.008*Кутр</f>
        <v>8.8000000000000005E-3</v>
      </c>
      <c r="D17" s="527">
        <f>0.008*Кутр</f>
        <v>8.8000000000000005E-3</v>
      </c>
      <c r="E17" s="527">
        <f>0.008*$G$4</f>
        <v>8.8000000000000005E-3</v>
      </c>
      <c r="F17" s="174">
        <f t="shared" ca="1" si="0"/>
        <v>8.8000000000000005E-3</v>
      </c>
    </row>
    <row r="18" spans="1:7" s="179" customFormat="1" ht="13.15" hidden="1" customHeight="1" x14ac:dyDescent="0.2">
      <c r="A18" s="178">
        <v>9</v>
      </c>
      <c r="B18" s="176"/>
      <c r="C18" s="526">
        <f>0.003*Кутр</f>
        <v>3.3000000000000004E-3</v>
      </c>
      <c r="D18" s="527">
        <f>0.003*Кутр</f>
        <v>3.3000000000000004E-3</v>
      </c>
      <c r="E18" s="527">
        <f>0.005*$G$4</f>
        <v>5.5000000000000005E-3</v>
      </c>
      <c r="F18" s="174">
        <f t="shared" ca="1" si="0"/>
        <v>3.3000000000000004E-3</v>
      </c>
    </row>
    <row r="19" spans="1:7" ht="15" customHeight="1" x14ac:dyDescent="0.2">
      <c r="A19" s="87"/>
      <c r="B19" s="88" t="s">
        <v>117</v>
      </c>
      <c r="C19" s="519"/>
      <c r="D19" s="519"/>
      <c r="E19" s="519"/>
      <c r="F19" s="174"/>
    </row>
    <row r="20" spans="1:7" ht="13.15" customHeight="1" x14ac:dyDescent="0.2">
      <c r="A20" s="89">
        <v>1</v>
      </c>
      <c r="B20" s="119" t="s">
        <v>174</v>
      </c>
      <c r="C20" s="530">
        <f>0.004*$G$4</f>
        <v>4.4000000000000003E-3</v>
      </c>
      <c r="D20" s="530">
        <f>0.005*$G$4</f>
        <v>5.5000000000000005E-3</v>
      </c>
      <c r="E20" s="530">
        <f>0.006*$G$4</f>
        <v>6.6000000000000008E-3</v>
      </c>
      <c r="F20" s="174">
        <f t="shared" ref="F20:F31" ca="1" si="1">OFFSET(C20,0,Класс_точности-3)*Листов_материала</f>
        <v>8.8000000000000005E-3</v>
      </c>
      <c r="G20" s="772" t="s">
        <v>413</v>
      </c>
    </row>
    <row r="21" spans="1:7" ht="13.15" customHeight="1" x14ac:dyDescent="0.2">
      <c r="A21" s="89">
        <v>2</v>
      </c>
      <c r="B21" s="119" t="s">
        <v>175</v>
      </c>
      <c r="C21" s="530">
        <f>0.006*$G$4</f>
        <v>6.6000000000000008E-3</v>
      </c>
      <c r="D21" s="530">
        <f>0.007*$G$4</f>
        <v>7.7000000000000011E-3</v>
      </c>
      <c r="E21" s="530">
        <f>0.008*$G$4</f>
        <v>8.8000000000000005E-3</v>
      </c>
      <c r="F21" s="174">
        <f t="shared" ca="1" si="1"/>
        <v>1.3200000000000002E-2</v>
      </c>
      <c r="G21" s="772"/>
    </row>
    <row r="22" spans="1:7" ht="13.15" customHeight="1" x14ac:dyDescent="0.2">
      <c r="A22" s="89">
        <v>3</v>
      </c>
      <c r="B22" s="119" t="s">
        <v>176</v>
      </c>
      <c r="C22" s="530">
        <f>0.008*$G$4</f>
        <v>8.8000000000000005E-3</v>
      </c>
      <c r="D22" s="530">
        <f>0.008*$G$4</f>
        <v>8.8000000000000005E-3</v>
      </c>
      <c r="E22" s="530">
        <f>0.008*$G$4</f>
        <v>8.8000000000000005E-3</v>
      </c>
      <c r="F22" s="174">
        <f t="shared" ca="1" si="1"/>
        <v>1.7600000000000001E-2</v>
      </c>
      <c r="G22" s="772"/>
    </row>
    <row r="23" spans="1:7" ht="13.15" customHeight="1" x14ac:dyDescent="0.2">
      <c r="A23" s="89">
        <v>4</v>
      </c>
      <c r="B23" s="119" t="s">
        <v>177</v>
      </c>
      <c r="C23" s="530">
        <f>0.003*$G$4</f>
        <v>3.3000000000000004E-3</v>
      </c>
      <c r="D23" s="530">
        <f>0.003*$G$4</f>
        <v>3.3000000000000004E-3</v>
      </c>
      <c r="E23" s="530">
        <f>0.005*$G$4</f>
        <v>5.5000000000000005E-3</v>
      </c>
      <c r="F23" s="174">
        <f t="shared" ca="1" si="1"/>
        <v>6.6000000000000008E-3</v>
      </c>
      <c r="G23" s="772"/>
    </row>
    <row r="24" spans="1:7" ht="12" customHeight="1" x14ac:dyDescent="0.2">
      <c r="A24" s="89">
        <v>5</v>
      </c>
      <c r="B24" s="119" t="s">
        <v>121</v>
      </c>
      <c r="C24" s="530">
        <f>0.01*$G$4</f>
        <v>1.1000000000000001E-2</v>
      </c>
      <c r="D24" s="530">
        <f>0.015*$G$4</f>
        <v>1.6500000000000001E-2</v>
      </c>
      <c r="E24" s="530">
        <f>0.02*$G$4</f>
        <v>2.2000000000000002E-2</v>
      </c>
      <c r="F24" s="174">
        <f t="shared" ca="1" si="1"/>
        <v>2.2000000000000002E-2</v>
      </c>
      <c r="G24" s="772"/>
    </row>
    <row r="25" spans="1:7" ht="13.15" customHeight="1" x14ac:dyDescent="0.2">
      <c r="A25" s="89">
        <v>6</v>
      </c>
      <c r="B25" s="119" t="s">
        <v>122</v>
      </c>
      <c r="C25" s="530">
        <f>0.01*$G$4</f>
        <v>1.1000000000000001E-2</v>
      </c>
      <c r="D25" s="530">
        <f>0.015*$G$4</f>
        <v>1.6500000000000001E-2</v>
      </c>
      <c r="E25" s="530">
        <f>0.02*$G$4</f>
        <v>2.2000000000000002E-2</v>
      </c>
      <c r="F25" s="174">
        <f t="shared" ca="1" si="1"/>
        <v>2.2000000000000002E-2</v>
      </c>
      <c r="G25" s="772"/>
    </row>
    <row r="26" spans="1:7" ht="13.15" customHeight="1" x14ac:dyDescent="0.2">
      <c r="A26" s="89">
        <v>7</v>
      </c>
      <c r="B26" s="119" t="s">
        <v>125</v>
      </c>
      <c r="C26" s="530">
        <f>0.008*$G$4</f>
        <v>8.8000000000000005E-3</v>
      </c>
      <c r="D26" s="530">
        <f>0.01*$G$4</f>
        <v>1.1000000000000001E-2</v>
      </c>
      <c r="E26" s="530">
        <f>0.02*$G$4</f>
        <v>2.2000000000000002E-2</v>
      </c>
      <c r="F26" s="174">
        <f t="shared" ca="1" si="1"/>
        <v>1.7600000000000001E-2</v>
      </c>
      <c r="G26" s="772"/>
    </row>
    <row r="27" spans="1:7" ht="13.15" customHeight="1" x14ac:dyDescent="0.2">
      <c r="A27" s="89">
        <v>8</v>
      </c>
      <c r="B27" s="119" t="s">
        <v>410</v>
      </c>
      <c r="C27" s="530">
        <f>0.01*$G$4</f>
        <v>1.1000000000000001E-2</v>
      </c>
      <c r="D27" s="530">
        <f>0.015*$G$4</f>
        <v>1.6500000000000001E-2</v>
      </c>
      <c r="E27" s="530">
        <f>0.02*$G$4</f>
        <v>2.2000000000000002E-2</v>
      </c>
      <c r="F27" s="174">
        <f t="shared" ca="1" si="1"/>
        <v>2.2000000000000002E-2</v>
      </c>
      <c r="G27" s="772"/>
    </row>
    <row r="28" spans="1:7" ht="13.15" customHeight="1" x14ac:dyDescent="0.2">
      <c r="A28" s="89">
        <v>9</v>
      </c>
      <c r="B28" s="119" t="s">
        <v>178</v>
      </c>
      <c r="C28" s="530">
        <f>0.005*$G$4</f>
        <v>5.5000000000000005E-3</v>
      </c>
      <c r="D28" s="530">
        <f>0.008*$G$4</f>
        <v>8.8000000000000005E-3</v>
      </c>
      <c r="E28" s="530">
        <f>0.015*$G$4</f>
        <v>1.6500000000000001E-2</v>
      </c>
      <c r="F28" s="174">
        <f t="shared" ca="1" si="1"/>
        <v>1.1000000000000001E-2</v>
      </c>
      <c r="G28" s="772"/>
    </row>
    <row r="29" spans="1:7" ht="13.15" customHeight="1" x14ac:dyDescent="0.2">
      <c r="A29" s="89">
        <v>10</v>
      </c>
      <c r="B29" s="119" t="s">
        <v>179</v>
      </c>
      <c r="C29" s="530">
        <f>0.01*$G$4</f>
        <v>1.1000000000000001E-2</v>
      </c>
      <c r="D29" s="530">
        <f>0.015*$G$4</f>
        <v>1.6500000000000001E-2</v>
      </c>
      <c r="E29" s="530">
        <f>0.02*$G$4</f>
        <v>2.2000000000000002E-2</v>
      </c>
      <c r="F29" s="174">
        <f t="shared" ca="1" si="1"/>
        <v>2.2000000000000002E-2</v>
      </c>
      <c r="G29" s="772"/>
    </row>
    <row r="30" spans="1:7" ht="12.75" customHeight="1" x14ac:dyDescent="0.2">
      <c r="A30" s="89">
        <v>11</v>
      </c>
      <c r="B30" s="119" t="s">
        <v>180</v>
      </c>
      <c r="C30" s="530">
        <f>0.01*$G$4</f>
        <v>1.1000000000000001E-2</v>
      </c>
      <c r="D30" s="530">
        <f>0.015*$G$4</f>
        <v>1.6500000000000001E-2</v>
      </c>
      <c r="E30" s="530">
        <f>0.02*$G$4</f>
        <v>2.2000000000000002E-2</v>
      </c>
      <c r="F30" s="174">
        <f t="shared" ca="1" si="1"/>
        <v>2.2000000000000002E-2</v>
      </c>
      <c r="G30" s="772"/>
    </row>
    <row r="31" spans="1:7" ht="13.15" customHeight="1" x14ac:dyDescent="0.2">
      <c r="A31" s="89">
        <v>12</v>
      </c>
      <c r="B31" s="119" t="s">
        <v>411</v>
      </c>
      <c r="C31" s="530">
        <f>0.005*$G$4</f>
        <v>5.5000000000000005E-3</v>
      </c>
      <c r="D31" s="530">
        <f>0.005*$G$4</f>
        <v>5.5000000000000005E-3</v>
      </c>
      <c r="E31" s="530">
        <f>0.005*$G$4</f>
        <v>5.5000000000000005E-3</v>
      </c>
      <c r="F31" s="174">
        <f t="shared" ca="1" si="1"/>
        <v>1.1000000000000001E-2</v>
      </c>
      <c r="G31" s="772"/>
    </row>
    <row r="32" spans="1:7" ht="13.15" customHeight="1" x14ac:dyDescent="0.2">
      <c r="A32" s="89">
        <v>13</v>
      </c>
      <c r="B32" s="119" t="s">
        <v>464</v>
      </c>
      <c r="C32" s="530">
        <f>0.07*$G$4</f>
        <v>7.7000000000000013E-2</v>
      </c>
      <c r="D32" s="530">
        <f>0.08*$G$4</f>
        <v>8.8000000000000009E-2</v>
      </c>
      <c r="E32" s="530">
        <f>0.1*$G$4</f>
        <v>0.11000000000000001</v>
      </c>
      <c r="F32" s="174">
        <f ca="1">OFFSET(C32,0,Класс_точности-3)</f>
        <v>7.7000000000000013E-2</v>
      </c>
    </row>
    <row r="33" spans="1:7" x14ac:dyDescent="0.2">
      <c r="A33" s="89">
        <v>14</v>
      </c>
      <c r="B33" s="119" t="s">
        <v>181</v>
      </c>
      <c r="C33" s="531">
        <f t="shared" ref="C33:D35" si="2">0.005*$G$4</f>
        <v>5.5000000000000005E-3</v>
      </c>
      <c r="D33" s="531">
        <f t="shared" si="2"/>
        <v>5.5000000000000005E-3</v>
      </c>
      <c r="E33" s="531">
        <f>0.01*$G$4</f>
        <v>1.1000000000000001E-2</v>
      </c>
      <c r="F33" s="174">
        <f t="shared" ref="F33:F48" ca="1" si="3">OFFSET(C33,0,Класс_точности-3)</f>
        <v>5.5000000000000005E-3</v>
      </c>
    </row>
    <row r="34" spans="1:7" x14ac:dyDescent="0.2">
      <c r="A34" s="89">
        <v>15</v>
      </c>
      <c r="B34" s="119" t="s">
        <v>378</v>
      </c>
      <c r="C34" s="531">
        <f t="shared" si="2"/>
        <v>5.5000000000000005E-3</v>
      </c>
      <c r="D34" s="531">
        <f t="shared" si="2"/>
        <v>5.5000000000000005E-3</v>
      </c>
      <c r="E34" s="531">
        <f>0.01*$G$4</f>
        <v>1.1000000000000001E-2</v>
      </c>
      <c r="F34" s="174">
        <f t="shared" ca="1" si="3"/>
        <v>5.5000000000000005E-3</v>
      </c>
    </row>
    <row r="35" spans="1:7" x14ac:dyDescent="0.2">
      <c r="A35" s="89">
        <v>16</v>
      </c>
      <c r="B35" s="119" t="s">
        <v>181</v>
      </c>
      <c r="C35" s="531">
        <f t="shared" si="2"/>
        <v>5.5000000000000005E-3</v>
      </c>
      <c r="D35" s="531">
        <f t="shared" si="2"/>
        <v>5.5000000000000005E-3</v>
      </c>
      <c r="E35" s="531">
        <f>0.01*$G$4</f>
        <v>1.1000000000000001E-2</v>
      </c>
      <c r="F35" s="174">
        <f ca="1">OFFSET(C35,0,Класс_точности-3)</f>
        <v>5.5000000000000005E-3</v>
      </c>
    </row>
    <row r="36" spans="1:7" x14ac:dyDescent="0.2">
      <c r="A36" s="89">
        <v>17</v>
      </c>
      <c r="B36" s="119" t="s">
        <v>119</v>
      </c>
      <c r="C36" s="531">
        <v>4.3999999999999997E-2</v>
      </c>
      <c r="D36" s="531">
        <f>0.05*$G$4</f>
        <v>5.5000000000000007E-2</v>
      </c>
      <c r="E36" s="531">
        <f>0.08*$G$4</f>
        <v>8.8000000000000009E-2</v>
      </c>
      <c r="F36" s="174">
        <f ca="1">OFFSET(C36,0,Класс_точности-3)*Кт</f>
        <v>4.3999999999999997E-2</v>
      </c>
      <c r="G36" t="s">
        <v>382</v>
      </c>
    </row>
    <row r="37" spans="1:7" x14ac:dyDescent="0.2">
      <c r="A37" s="89">
        <v>18</v>
      </c>
      <c r="B37" s="119" t="s">
        <v>175</v>
      </c>
      <c r="C37" s="531">
        <f>0.007*$G$4</f>
        <v>7.7000000000000011E-3</v>
      </c>
      <c r="D37" s="531">
        <f>0.007*$G$4</f>
        <v>7.7000000000000011E-3</v>
      </c>
      <c r="E37" s="531">
        <f>0.007*$G$4</f>
        <v>7.7000000000000011E-3</v>
      </c>
      <c r="F37" s="174">
        <f t="shared" ca="1" si="3"/>
        <v>7.7000000000000011E-3</v>
      </c>
    </row>
    <row r="38" spans="1:7" x14ac:dyDescent="0.2">
      <c r="A38" s="89">
        <v>19</v>
      </c>
      <c r="B38" s="119" t="s">
        <v>120</v>
      </c>
      <c r="C38" s="531">
        <f>0.03*$G$4</f>
        <v>3.3000000000000002E-2</v>
      </c>
      <c r="D38" s="531">
        <f>0.045*$G$4</f>
        <v>4.9500000000000002E-2</v>
      </c>
      <c r="E38" s="531">
        <f>0.06*$G$4</f>
        <v>6.6000000000000003E-2</v>
      </c>
      <c r="F38" s="174">
        <f t="shared" ca="1" si="3"/>
        <v>3.3000000000000002E-2</v>
      </c>
    </row>
    <row r="39" spans="1:7" x14ac:dyDescent="0.2">
      <c r="A39" s="89">
        <v>20</v>
      </c>
      <c r="B39" s="119" t="s">
        <v>125</v>
      </c>
      <c r="C39" s="531">
        <f>0.008*$G$4</f>
        <v>8.8000000000000005E-3</v>
      </c>
      <c r="D39" s="531">
        <f>0.01*$G$4</f>
        <v>1.1000000000000001E-2</v>
      </c>
      <c r="E39" s="531">
        <f>0.02*$G$4</f>
        <v>2.2000000000000002E-2</v>
      </c>
      <c r="F39" s="174">
        <f t="shared" ca="1" si="3"/>
        <v>8.8000000000000005E-3</v>
      </c>
    </row>
    <row r="40" spans="1:7" x14ac:dyDescent="0.2">
      <c r="A40" s="89">
        <v>21</v>
      </c>
      <c r="B40" s="119" t="s">
        <v>123</v>
      </c>
      <c r="C40" s="531">
        <f>0.05*$G$4</f>
        <v>5.5000000000000007E-2</v>
      </c>
      <c r="D40" s="531">
        <f>0.06*$G$4</f>
        <v>6.6000000000000003E-2</v>
      </c>
      <c r="E40" s="531">
        <f>0.1*$G$4</f>
        <v>0.11000000000000001</v>
      </c>
      <c r="F40" s="174">
        <f ca="1">OFFSET(C40,0,Класс_точности-3)*Кт</f>
        <v>5.5000000000000007E-2</v>
      </c>
      <c r="G40" t="s">
        <v>382</v>
      </c>
    </row>
    <row r="41" spans="1:7" x14ac:dyDescent="0.2">
      <c r="A41" s="89">
        <v>22</v>
      </c>
      <c r="B41" s="119" t="s">
        <v>124</v>
      </c>
      <c r="C41" s="531">
        <f>0.01*$G$4</f>
        <v>1.1000000000000001E-2</v>
      </c>
      <c r="D41" s="531">
        <f>0.015*$G$4</f>
        <v>1.6500000000000001E-2</v>
      </c>
      <c r="E41" s="531">
        <f>0.02*$G$4</f>
        <v>2.2000000000000002E-2</v>
      </c>
      <c r="F41" s="174">
        <f t="shared" ca="1" si="3"/>
        <v>1.1000000000000001E-2</v>
      </c>
    </row>
    <row r="42" spans="1:7" x14ac:dyDescent="0.2">
      <c r="A42" s="89">
        <v>23</v>
      </c>
      <c r="B42" s="119" t="s">
        <v>125</v>
      </c>
      <c r="C42" s="531">
        <f>0.008*$G$4</f>
        <v>8.8000000000000005E-3</v>
      </c>
      <c r="D42" s="531">
        <f>0.01*$G$4</f>
        <v>1.1000000000000001E-2</v>
      </c>
      <c r="E42" s="531">
        <f>0.02*$G$4</f>
        <v>2.2000000000000002E-2</v>
      </c>
      <c r="F42" s="174">
        <f t="shared" ca="1" si="3"/>
        <v>8.8000000000000005E-3</v>
      </c>
    </row>
    <row r="43" spans="1:7" x14ac:dyDescent="0.2">
      <c r="A43" s="89">
        <v>24</v>
      </c>
      <c r="B43" s="119" t="s">
        <v>126</v>
      </c>
      <c r="C43" s="531">
        <f>0.02*$G$4</f>
        <v>2.2000000000000002E-2</v>
      </c>
      <c r="D43" s="531">
        <f>0.025*$G$4</f>
        <v>2.7500000000000004E-2</v>
      </c>
      <c r="E43" s="531">
        <f>0.03*$G$4</f>
        <v>3.3000000000000002E-2</v>
      </c>
      <c r="F43" s="174">
        <f t="shared" ca="1" si="3"/>
        <v>2.2000000000000002E-2</v>
      </c>
    </row>
    <row r="44" spans="1:7" x14ac:dyDescent="0.2">
      <c r="A44" s="89">
        <v>25</v>
      </c>
      <c r="B44" s="119" t="s">
        <v>412</v>
      </c>
      <c r="C44" s="531">
        <f>0.005*$G$4</f>
        <v>5.5000000000000005E-3</v>
      </c>
      <c r="D44" s="531">
        <f>0.006*$G$4</f>
        <v>6.6000000000000008E-3</v>
      </c>
      <c r="E44" s="531">
        <f>0.008*$G$4</f>
        <v>8.8000000000000005E-3</v>
      </c>
      <c r="F44" s="174">
        <f t="shared" ca="1" si="3"/>
        <v>5.5000000000000005E-3</v>
      </c>
    </row>
    <row r="45" spans="1:7" x14ac:dyDescent="0.2">
      <c r="A45" s="89">
        <v>26</v>
      </c>
      <c r="B45" s="119" t="s">
        <v>181</v>
      </c>
      <c r="C45" s="531">
        <f>0.005*$G$4</f>
        <v>5.5000000000000005E-3</v>
      </c>
      <c r="D45" s="531">
        <f>0.005*$G$4</f>
        <v>5.5000000000000005E-3</v>
      </c>
      <c r="E45" s="531">
        <f>0.005*$G$4</f>
        <v>5.5000000000000005E-3</v>
      </c>
      <c r="F45" s="174">
        <f t="shared" ca="1" si="3"/>
        <v>5.5000000000000005E-3</v>
      </c>
    </row>
    <row r="46" spans="1:7" x14ac:dyDescent="0.2">
      <c r="A46" s="89">
        <v>27</v>
      </c>
      <c r="B46" s="119" t="s">
        <v>182</v>
      </c>
      <c r="C46" s="531">
        <f>0.005*$G$4</f>
        <v>5.5000000000000005E-3</v>
      </c>
      <c r="D46" s="531">
        <f>0.006*$G$4</f>
        <v>6.6000000000000008E-3</v>
      </c>
      <c r="E46" s="531">
        <f>0.006*$G$4</f>
        <v>6.6000000000000008E-3</v>
      </c>
      <c r="F46" s="174">
        <f t="shared" ca="1" si="3"/>
        <v>5.5000000000000005E-3</v>
      </c>
    </row>
    <row r="47" spans="1:7" x14ac:dyDescent="0.2">
      <c r="A47" s="89">
        <v>28</v>
      </c>
      <c r="B47" s="119" t="s">
        <v>127</v>
      </c>
      <c r="C47" s="531">
        <f>0.006*$G$4</f>
        <v>6.6000000000000008E-3</v>
      </c>
      <c r="D47" s="531">
        <f>0.007*$G$4</f>
        <v>7.7000000000000011E-3</v>
      </c>
      <c r="E47" s="531">
        <f>0.01*$G$4</f>
        <v>1.1000000000000001E-2</v>
      </c>
      <c r="F47" s="174">
        <f t="shared" ca="1" si="3"/>
        <v>6.6000000000000008E-3</v>
      </c>
    </row>
    <row r="48" spans="1:7" x14ac:dyDescent="0.2">
      <c r="A48" s="89">
        <v>29</v>
      </c>
      <c r="B48" s="119" t="s">
        <v>180</v>
      </c>
      <c r="C48" s="531">
        <f>0.008*$G$4</f>
        <v>8.8000000000000005E-3</v>
      </c>
      <c r="D48" s="531">
        <f>0.012*$G$4</f>
        <v>1.3200000000000002E-2</v>
      </c>
      <c r="E48" s="531">
        <f>0.03*$G$4</f>
        <v>3.3000000000000002E-2</v>
      </c>
      <c r="F48" s="174">
        <f t="shared" ca="1" si="3"/>
        <v>8.8000000000000005E-3</v>
      </c>
    </row>
    <row r="49" spans="1:8" x14ac:dyDescent="0.2">
      <c r="A49" s="89">
        <v>30</v>
      </c>
      <c r="B49" s="119" t="s">
        <v>183</v>
      </c>
      <c r="C49" s="531">
        <f>0.015*$G$4</f>
        <v>1.6500000000000001E-2</v>
      </c>
      <c r="D49" s="531">
        <f>0.03*$G$4</f>
        <v>3.3000000000000002E-2</v>
      </c>
      <c r="E49" s="531">
        <f>0.1*$G$4</f>
        <v>0.11000000000000001</v>
      </c>
      <c r="F49" s="174">
        <f ca="1">OFFSET(C49,0,Класс_точности-3)</f>
        <v>1.6500000000000001E-2</v>
      </c>
    </row>
    <row r="50" spans="1:8" x14ac:dyDescent="0.2">
      <c r="A50" s="89">
        <v>31</v>
      </c>
      <c r="B50" s="119" t="s">
        <v>184</v>
      </c>
      <c r="C50" s="531">
        <f>0.005*$G$4</f>
        <v>5.5000000000000005E-3</v>
      </c>
      <c r="D50" s="531">
        <f>0.005*$G$4</f>
        <v>5.5000000000000005E-3</v>
      </c>
      <c r="E50" s="531">
        <f>0.005*$G$4</f>
        <v>5.5000000000000005E-3</v>
      </c>
      <c r="F50" s="174">
        <f ca="1">OFFSET(C50,0,Класс_точности-3)</f>
        <v>5.5000000000000005E-3</v>
      </c>
    </row>
    <row r="51" spans="1:8" x14ac:dyDescent="0.2">
      <c r="A51" s="89">
        <v>32</v>
      </c>
      <c r="B51" s="119" t="s">
        <v>180</v>
      </c>
      <c r="C51" s="531">
        <f>0.02*$G$4</f>
        <v>2.2000000000000002E-2</v>
      </c>
      <c r="D51" s="531">
        <f>0.025*$G$4</f>
        <v>2.7500000000000004E-2</v>
      </c>
      <c r="E51" s="531">
        <f>0.05*$G$4</f>
        <v>5.5000000000000007E-2</v>
      </c>
      <c r="F51" s="174">
        <f ca="1">OFFSET(C51,0,Класс_точности-3)</f>
        <v>2.2000000000000002E-2</v>
      </c>
    </row>
    <row r="52" spans="1:8" x14ac:dyDescent="0.2">
      <c r="A52" s="89">
        <v>33</v>
      </c>
      <c r="B52" s="119" t="s">
        <v>185</v>
      </c>
      <c r="C52" s="531">
        <f>0.005*$G$4</f>
        <v>5.5000000000000005E-3</v>
      </c>
      <c r="D52" s="531">
        <f>0.006*$G$4</f>
        <v>6.6000000000000008E-3</v>
      </c>
      <c r="E52" s="531">
        <f>0.008*$G$4</f>
        <v>8.8000000000000005E-3</v>
      </c>
      <c r="F52" s="174">
        <f ca="1">OFFSET(C52,0,Класс_точности-3)</f>
        <v>5.5000000000000005E-3</v>
      </c>
    </row>
    <row r="53" spans="1:8" hidden="1" x14ac:dyDescent="0.2">
      <c r="B53" s="257" t="s">
        <v>47</v>
      </c>
      <c r="C53" s="532">
        <f>SUM(C20:C52)</f>
        <v>0.46310000000000007</v>
      </c>
      <c r="D53" s="532">
        <f>SUM(D20:D52)</f>
        <v>0.59400000000000008</v>
      </c>
      <c r="E53" s="532">
        <f>SUM(E20:E52)</f>
        <v>0.94160000000000021</v>
      </c>
      <c r="F53" s="259">
        <f ca="1">SUM(F20:F52)</f>
        <v>0.56099999999999994</v>
      </c>
    </row>
    <row r="54" spans="1:8" x14ac:dyDescent="0.2">
      <c r="B54" s="258"/>
      <c r="C54" s="533"/>
      <c r="D54" s="533"/>
      <c r="E54" s="533"/>
    </row>
    <row r="55" spans="1:8" x14ac:dyDescent="0.2">
      <c r="B55" s="253" t="s">
        <v>264</v>
      </c>
      <c r="C55" s="533"/>
      <c r="D55" s="533"/>
      <c r="E55" s="533"/>
    </row>
    <row r="56" spans="1:8" x14ac:dyDescent="0.2">
      <c r="A56" s="373">
        <v>1</v>
      </c>
      <c r="B56" s="311" t="s">
        <v>379</v>
      </c>
      <c r="C56" s="534">
        <v>2.0000000000000001E-4</v>
      </c>
      <c r="D56" s="265">
        <v>2.4000000000000001E-4</v>
      </c>
      <c r="E56" s="534">
        <v>2.9999999999999997E-4</v>
      </c>
      <c r="F56" s="265">
        <f t="shared" ref="F56:F62" ca="1" si="4">OFFSET(C56,0,Класс_точности-3)</f>
        <v>2.0000000000000001E-4</v>
      </c>
      <c r="H56">
        <f>30/1.1</f>
        <v>27.27272727272727</v>
      </c>
    </row>
    <row r="57" spans="1:8" x14ac:dyDescent="0.2">
      <c r="A57" s="373">
        <v>2</v>
      </c>
      <c r="B57" s="312" t="s">
        <v>414</v>
      </c>
      <c r="C57" s="531">
        <f>0.015*$G$4</f>
        <v>1.6500000000000001E-2</v>
      </c>
      <c r="D57" s="531">
        <f>0.025*$G$4</f>
        <v>2.7500000000000004E-2</v>
      </c>
      <c r="E57" s="531">
        <f>0.03*$G$4</f>
        <v>3.3000000000000002E-2</v>
      </c>
      <c r="F57" s="265">
        <f t="shared" ca="1" si="4"/>
        <v>1.6500000000000001E-2</v>
      </c>
      <c r="H57">
        <f>35/1.1</f>
        <v>31.818181818181817</v>
      </c>
    </row>
    <row r="58" spans="1:8" x14ac:dyDescent="0.2">
      <c r="A58" s="373">
        <v>3</v>
      </c>
      <c r="B58" s="311" t="s">
        <v>381</v>
      </c>
      <c r="C58" s="534">
        <v>0.08</v>
      </c>
      <c r="D58" s="534">
        <v>0.08</v>
      </c>
      <c r="E58" s="534">
        <v>0.08</v>
      </c>
      <c r="F58" s="174">
        <f t="shared" ca="1" si="4"/>
        <v>0.08</v>
      </c>
      <c r="H58">
        <f>40/1.1</f>
        <v>36.36363636363636</v>
      </c>
    </row>
    <row r="59" spans="1:8" x14ac:dyDescent="0.2">
      <c r="A59" s="373">
        <v>4</v>
      </c>
      <c r="B59" s="520" t="s">
        <v>141</v>
      </c>
      <c r="C59" s="535"/>
      <c r="D59" s="535"/>
      <c r="E59" s="536"/>
    </row>
    <row r="60" spans="1:8" x14ac:dyDescent="0.2">
      <c r="A60" s="373">
        <v>5</v>
      </c>
      <c r="B60" s="255" t="s">
        <v>465</v>
      </c>
      <c r="C60" s="533">
        <v>0.13200000000000001</v>
      </c>
      <c r="D60" s="533">
        <v>0.13200000000000001</v>
      </c>
      <c r="E60" s="533">
        <v>0.13200000000000001</v>
      </c>
      <c r="F60" s="174">
        <f>Тф1пл/Цнч</f>
        <v>3.8240000000000003E-2</v>
      </c>
      <c r="G60">
        <f>1.2*(0.05+0.1*Рп*0.1*Плат_на_заготовке)*Цнч/Плат_на_заготовке</f>
        <v>26.487318400000003</v>
      </c>
      <c r="H60" t="s">
        <v>549</v>
      </c>
    </row>
    <row r="61" spans="1:8" x14ac:dyDescent="0.2">
      <c r="A61" s="373">
        <v>6</v>
      </c>
      <c r="B61" s="38" t="s">
        <v>466</v>
      </c>
      <c r="C61" s="533">
        <v>0.10780000000000001</v>
      </c>
      <c r="D61" s="533">
        <v>0.10780000000000001</v>
      </c>
      <c r="E61" s="533">
        <v>0.10780000000000001</v>
      </c>
      <c r="F61" s="174">
        <f>Тф2пл/Цнч</f>
        <v>3.5359999999999996E-2</v>
      </c>
      <c r="G61">
        <f>1.2*(0.05+0.1*(0.16*2*4)*0.1*Плат_на_заготовке)*Цнч/Плат_на_заготовке</f>
        <v>24.492457599999998</v>
      </c>
      <c r="H61" t="s">
        <v>549</v>
      </c>
    </row>
    <row r="62" spans="1:8" x14ac:dyDescent="0.2">
      <c r="A62" s="373">
        <v>7</v>
      </c>
      <c r="B62" s="16" t="s">
        <v>468</v>
      </c>
      <c r="C62" s="537">
        <f>1.2*0.055+1.2*0.0125*IF(razr=2,1,nib)*Кутр</f>
        <v>0.11550000000000001</v>
      </c>
      <c r="D62" s="537">
        <f>1.2*0.055+1.2*0.0125*IF(razr=2,1,nib)*Кутр</f>
        <v>0.11550000000000001</v>
      </c>
      <c r="E62" s="537">
        <f>1.2*0.055+1.2*0.0125*IF(razr=2,1,nib)*Кутр</f>
        <v>0.11550000000000001</v>
      </c>
      <c r="F62" s="174">
        <f t="shared" ca="1" si="4"/>
        <v>0.11550000000000001</v>
      </c>
      <c r="G62" t="s">
        <v>549</v>
      </c>
    </row>
    <row r="63" spans="1:8" x14ac:dyDescent="0.2">
      <c r="A63" s="373">
        <v>8</v>
      </c>
      <c r="B63" s="38" t="s">
        <v>128</v>
      </c>
      <c r="C63" s="538"/>
      <c r="D63" s="538"/>
      <c r="E63" s="539"/>
    </row>
    <row r="64" spans="1:8" x14ac:dyDescent="0.2">
      <c r="A64" s="373">
        <v>9</v>
      </c>
      <c r="B64" s="24" t="s">
        <v>265</v>
      </c>
      <c r="C64" s="548">
        <f>0.121488*1.2*1.1/6*Кутр</f>
        <v>2.9400096000000004E-2</v>
      </c>
      <c r="D64" s="548">
        <f>0.121591*1.2*1.2/6*Кутр</f>
        <v>3.2100023999999998E-2</v>
      </c>
      <c r="E64" s="537">
        <f>0.10545*1.2*1.5/6*$G$4</f>
        <v>3.4798499999999996E-2</v>
      </c>
      <c r="F64" s="174">
        <f t="shared" ref="F64:F75" ca="1" si="5">OFFSET(C64,0,Класс_точности-3)</f>
        <v>2.9400096000000004E-2</v>
      </c>
      <c r="G64" t="s">
        <v>549</v>
      </c>
      <c r="H64" t="s">
        <v>551</v>
      </c>
    </row>
    <row r="65" spans="1:8" x14ac:dyDescent="0.2">
      <c r="A65" s="373">
        <v>10</v>
      </c>
      <c r="B65" s="23" t="s">
        <v>266</v>
      </c>
      <c r="C65" s="537">
        <f>0.141736*1.2*1.1/6*Кутр</f>
        <v>3.4300112000000008E-2</v>
      </c>
      <c r="D65" s="548">
        <f>0.14205*1.2*1.2/6*Кутр</f>
        <v>3.7501199999999998E-2</v>
      </c>
      <c r="E65" s="537">
        <f>0.12333*1.2*1.5/6*$G$4</f>
        <v>4.0698900000000003E-2</v>
      </c>
      <c r="F65" s="174">
        <f t="shared" ca="1" si="5"/>
        <v>3.4300112000000008E-2</v>
      </c>
      <c r="G65" t="s">
        <v>549</v>
      </c>
      <c r="H65" t="s">
        <v>552</v>
      </c>
    </row>
    <row r="66" spans="1:8" x14ac:dyDescent="0.2">
      <c r="A66" s="373">
        <v>11</v>
      </c>
      <c r="B66" s="23" t="s">
        <v>267</v>
      </c>
      <c r="C66" s="537">
        <v>4.4999999999999998E-2</v>
      </c>
      <c r="D66" s="548">
        <v>0.05</v>
      </c>
      <c r="E66" s="537">
        <v>5.5E-2</v>
      </c>
      <c r="F66" s="174">
        <f t="shared" ca="1" si="5"/>
        <v>4.4999999999999998E-2</v>
      </c>
    </row>
    <row r="67" spans="1:8" x14ac:dyDescent="0.2">
      <c r="A67" s="373">
        <v>12</v>
      </c>
      <c r="B67" s="23" t="s">
        <v>268</v>
      </c>
      <c r="C67" s="537">
        <v>0.06</v>
      </c>
      <c r="D67" s="548">
        <v>6.6000000000000003E-2</v>
      </c>
      <c r="E67" s="537">
        <v>7.1999999999999995E-2</v>
      </c>
      <c r="F67" s="174">
        <f t="shared" ca="1" si="5"/>
        <v>0.06</v>
      </c>
    </row>
    <row r="68" spans="1:8" x14ac:dyDescent="0.2">
      <c r="A68" s="373">
        <v>13</v>
      </c>
      <c r="B68" s="110" t="s">
        <v>269</v>
      </c>
      <c r="C68" s="537">
        <f>0.067*$G$4</f>
        <v>7.3700000000000015E-2</v>
      </c>
      <c r="D68" s="537">
        <f>0.067*$G$4</f>
        <v>7.3700000000000015E-2</v>
      </c>
      <c r="E68" s="537">
        <f>0.08*$G$4</f>
        <v>8.8000000000000009E-2</v>
      </c>
      <c r="F68" s="174">
        <f t="shared" ca="1" si="5"/>
        <v>7.3700000000000015E-2</v>
      </c>
    </row>
    <row r="69" spans="1:8" x14ac:dyDescent="0.2">
      <c r="A69" s="373">
        <v>14</v>
      </c>
      <c r="B69" s="254" t="s">
        <v>512</v>
      </c>
      <c r="C69" s="540"/>
      <c r="D69" s="540"/>
      <c r="E69" s="541"/>
      <c r="F69" s="174"/>
    </row>
    <row r="70" spans="1:8" x14ac:dyDescent="0.2">
      <c r="A70" s="373">
        <v>14.1</v>
      </c>
      <c r="B70" s="237" t="s">
        <v>129</v>
      </c>
      <c r="C70" s="537">
        <v>1.4999999999999999E-2</v>
      </c>
      <c r="D70" s="537">
        <v>1.4999999999999999E-2</v>
      </c>
      <c r="E70" s="537">
        <v>1.4999999999999999E-2</v>
      </c>
      <c r="F70" s="174">
        <f ca="1">OFFSET(C70,0,Класс_точности-3)</f>
        <v>1.4999999999999999E-2</v>
      </c>
    </row>
    <row r="71" spans="1:8" x14ac:dyDescent="0.2">
      <c r="A71" s="373">
        <v>14.2</v>
      </c>
      <c r="B71" s="254" t="s">
        <v>130</v>
      </c>
      <c r="C71" s="537">
        <v>2.5000000000000001E-2</v>
      </c>
      <c r="D71" s="537">
        <v>2.5000000000000001E-2</v>
      </c>
      <c r="E71" s="537">
        <v>2.5000000000000001E-2</v>
      </c>
      <c r="F71" s="174">
        <f ca="1">OFFSET(C71,0,Класс_точности-3)</f>
        <v>2.5000000000000001E-2</v>
      </c>
    </row>
    <row r="72" spans="1:8" x14ac:dyDescent="0.2">
      <c r="A72" s="373">
        <v>15</v>
      </c>
      <c r="B72" s="254" t="s">
        <v>270</v>
      </c>
      <c r="C72" s="540"/>
      <c r="D72" s="540"/>
      <c r="E72" s="541"/>
      <c r="F72" s="174"/>
    </row>
    <row r="73" spans="1:8" x14ac:dyDescent="0.2">
      <c r="A73" s="373">
        <v>15.1</v>
      </c>
      <c r="B73" s="237" t="s">
        <v>129</v>
      </c>
      <c r="C73" s="537">
        <v>4.4999999999999998E-2</v>
      </c>
      <c r="D73" s="548">
        <v>0.05</v>
      </c>
      <c r="E73" s="537">
        <v>5.5E-2</v>
      </c>
      <c r="F73" s="174">
        <f t="shared" ca="1" si="5"/>
        <v>4.4999999999999998E-2</v>
      </c>
    </row>
    <row r="74" spans="1:8" x14ac:dyDescent="0.2">
      <c r="A74" s="373">
        <v>15.2</v>
      </c>
      <c r="B74" s="254" t="s">
        <v>130</v>
      </c>
      <c r="C74" s="537">
        <v>0.06</v>
      </c>
      <c r="D74" s="548">
        <v>6.6000000000000003E-2</v>
      </c>
      <c r="E74" s="537">
        <v>7.1999999999999995E-2</v>
      </c>
      <c r="F74" s="174">
        <f t="shared" ca="1" si="5"/>
        <v>0.06</v>
      </c>
    </row>
    <row r="75" spans="1:8" x14ac:dyDescent="0.2">
      <c r="A75" s="373">
        <v>16</v>
      </c>
      <c r="B75" s="254" t="s">
        <v>271</v>
      </c>
      <c r="C75" s="537">
        <f>0.3*$G$4</f>
        <v>0.33</v>
      </c>
      <c r="D75" s="537">
        <f>0.38*$G$4</f>
        <v>0.41800000000000004</v>
      </c>
      <c r="E75" s="537">
        <f>0.5*$G$4</f>
        <v>0.55000000000000004</v>
      </c>
      <c r="F75" s="174">
        <f t="shared" ca="1" si="5"/>
        <v>0.33</v>
      </c>
    </row>
    <row r="76" spans="1:8" x14ac:dyDescent="0.2">
      <c r="A76" s="440">
        <v>17</v>
      </c>
      <c r="B76" s="439" t="s">
        <v>420</v>
      </c>
      <c r="C76" s="534"/>
      <c r="D76" s="534"/>
      <c r="E76" s="534"/>
      <c r="F76" s="174">
        <f ca="1">SUM(F77:F86)</f>
        <v>1.738</v>
      </c>
    </row>
    <row r="77" spans="1:8" x14ac:dyDescent="0.2">
      <c r="A77" s="440">
        <v>17.100000000000001</v>
      </c>
      <c r="B77" s="441" t="s">
        <v>423</v>
      </c>
      <c r="C77" s="534">
        <f>0.04*$G$4</f>
        <v>4.4000000000000004E-2</v>
      </c>
      <c r="D77" s="534">
        <f>0.04*$G$4</f>
        <v>4.4000000000000004E-2</v>
      </c>
      <c r="E77" s="534">
        <f>0.04*$G$4</f>
        <v>4.4000000000000004E-2</v>
      </c>
      <c r="F77" s="773">
        <f ca="1">IF(MIN(А,В)=2.3,G77,IF(MIN(А,В)=2.8,G78,G79))</f>
        <v>4.4000000000000004E-2</v>
      </c>
      <c r="G77" s="174">
        <f ca="1">OFFSET(C77,0,Класс_точности-3)</f>
        <v>4.4000000000000004E-2</v>
      </c>
      <c r="H77">
        <f>MIN(А,В)</f>
        <v>2.2999999999999998</v>
      </c>
    </row>
    <row r="78" spans="1:8" x14ac:dyDescent="0.2">
      <c r="A78" s="46"/>
      <c r="B78" s="441" t="s">
        <v>421</v>
      </c>
      <c r="C78" s="534">
        <f>0.05*$G$4</f>
        <v>5.5000000000000007E-2</v>
      </c>
      <c r="D78" s="534">
        <f>0.05*$G$4</f>
        <v>5.5000000000000007E-2</v>
      </c>
      <c r="E78" s="534">
        <f>0.05*$G$4</f>
        <v>5.5000000000000007E-2</v>
      </c>
      <c r="F78" s="773"/>
      <c r="G78" s="174">
        <f ca="1">OFFSET(C78,0,Класс_точности-3)</f>
        <v>5.5000000000000007E-2</v>
      </c>
    </row>
    <row r="79" spans="1:8" x14ac:dyDescent="0.2">
      <c r="A79" s="46"/>
      <c r="B79" s="442" t="s">
        <v>422</v>
      </c>
      <c r="C79" s="534">
        <f>0.08*$G$4</f>
        <v>8.8000000000000009E-2</v>
      </c>
      <c r="D79" s="534">
        <f>0.08*$G$4</f>
        <v>8.8000000000000009E-2</v>
      </c>
      <c r="E79" s="534">
        <f>0.08*$G$4</f>
        <v>8.8000000000000009E-2</v>
      </c>
      <c r="F79" s="773"/>
      <c r="G79" s="174">
        <f ca="1">OFFSET(C79,0,Класс_точности-3)</f>
        <v>8.8000000000000009E-2</v>
      </c>
    </row>
    <row r="80" spans="1:8" x14ac:dyDescent="0.2">
      <c r="A80" s="440">
        <v>17.2</v>
      </c>
      <c r="B80" s="441" t="s">
        <v>379</v>
      </c>
      <c r="C80" s="534">
        <f>0.00018*$G$4</f>
        <v>1.9800000000000002E-4</v>
      </c>
      <c r="D80" s="534">
        <f>0.00024*$G$4</f>
        <v>2.6400000000000002E-4</v>
      </c>
      <c r="E80" s="534">
        <f>0.0003*$G$4</f>
        <v>3.3E-4</v>
      </c>
      <c r="F80" s="275">
        <f ca="1">(Чо1+Чо2)*OFFSET(C80,0,Класс_точности-3)</f>
        <v>0.59400000000000008</v>
      </c>
    </row>
    <row r="81" spans="1:7" x14ac:dyDescent="0.2">
      <c r="A81" s="440">
        <v>17.3</v>
      </c>
      <c r="B81" s="442" t="s">
        <v>424</v>
      </c>
      <c r="C81" s="534">
        <f>0.6*$G$4</f>
        <v>0.66</v>
      </c>
      <c r="D81" s="534">
        <f>0.75*$G$4</f>
        <v>0.82500000000000007</v>
      </c>
      <c r="E81" s="534">
        <f>1*$G$4</f>
        <v>1.1000000000000001</v>
      </c>
      <c r="F81" s="773">
        <f ca="1">IF(MIN(А,В)=2.3,G81,IF(MIN(А,В)=2.8,G82,G83))</f>
        <v>0.66</v>
      </c>
      <c r="G81" s="174">
        <f t="shared" ref="G81:G86" ca="1" si="6">OFFSET(C81,0,Класс_точности-3)</f>
        <v>0.66</v>
      </c>
    </row>
    <row r="82" spans="1:7" x14ac:dyDescent="0.2">
      <c r="A82" s="46"/>
      <c r="B82" s="441" t="s">
        <v>421</v>
      </c>
      <c r="C82" s="534">
        <f>0.6*$G$4</f>
        <v>0.66</v>
      </c>
      <c r="D82" s="534">
        <f>0.75*$G$4</f>
        <v>0.82500000000000007</v>
      </c>
      <c r="E82" s="534">
        <f>1*$G$4</f>
        <v>1.1000000000000001</v>
      </c>
      <c r="F82" s="773"/>
      <c r="G82" s="174">
        <f t="shared" ca="1" si="6"/>
        <v>0.66</v>
      </c>
    </row>
    <row r="83" spans="1:7" x14ac:dyDescent="0.2">
      <c r="A83" s="46"/>
      <c r="B83" s="442" t="s">
        <v>422</v>
      </c>
      <c r="C83" s="534">
        <f>0.75*$G$4</f>
        <v>0.82500000000000007</v>
      </c>
      <c r="D83" s="534">
        <f>1*$G$4</f>
        <v>1.1000000000000001</v>
      </c>
      <c r="E83" s="534">
        <f>1.25*$G$4</f>
        <v>1.375</v>
      </c>
      <c r="F83" s="773"/>
      <c r="G83" s="174">
        <f t="shared" ca="1" si="6"/>
        <v>0.82500000000000007</v>
      </c>
    </row>
    <row r="84" spans="1:7" x14ac:dyDescent="0.2">
      <c r="A84" s="46">
        <v>17.399999999999999</v>
      </c>
      <c r="B84" s="442" t="s">
        <v>425</v>
      </c>
      <c r="C84" s="534">
        <f>0.4*$G$4</f>
        <v>0.44000000000000006</v>
      </c>
      <c r="D84" s="534">
        <f>0.55*$G$4</f>
        <v>0.60500000000000009</v>
      </c>
      <c r="E84" s="534">
        <f>0.85*$G$4</f>
        <v>0.93500000000000005</v>
      </c>
      <c r="F84" s="773">
        <f ca="1">IF(MIN(А,В)=2.3,G84,IF(MIN(А,В)=2.8,G85,G86))</f>
        <v>0.44000000000000006</v>
      </c>
      <c r="G84" s="174">
        <f t="shared" ca="1" si="6"/>
        <v>0.44000000000000006</v>
      </c>
    </row>
    <row r="85" spans="1:7" x14ac:dyDescent="0.2">
      <c r="A85" s="46"/>
      <c r="B85" s="441" t="s">
        <v>421</v>
      </c>
      <c r="C85" s="534">
        <f>0.5*$G$4</f>
        <v>0.55000000000000004</v>
      </c>
      <c r="D85" s="534">
        <f>0.65*$G$4</f>
        <v>0.71500000000000008</v>
      </c>
      <c r="E85" s="534">
        <f>1*$G$4</f>
        <v>1.1000000000000001</v>
      </c>
      <c r="F85" s="773"/>
      <c r="G85" s="174">
        <f t="shared" ca="1" si="6"/>
        <v>0.55000000000000004</v>
      </c>
    </row>
    <row r="86" spans="1:7" x14ac:dyDescent="0.2">
      <c r="A86" s="46"/>
      <c r="B86" s="442" t="s">
        <v>422</v>
      </c>
      <c r="C86" s="534">
        <f>0.85*$G$4</f>
        <v>0.93500000000000005</v>
      </c>
      <c r="D86" s="534">
        <f>1.05*$G$4</f>
        <v>1.1550000000000002</v>
      </c>
      <c r="E86" s="534">
        <f>1.4*$G$4</f>
        <v>1.54</v>
      </c>
      <c r="F86" s="773"/>
      <c r="G86" s="174">
        <f t="shared" ca="1" si="6"/>
        <v>0.93500000000000005</v>
      </c>
    </row>
    <row r="87" spans="1:7" x14ac:dyDescent="0.2">
      <c r="A87" s="46">
        <v>18</v>
      </c>
      <c r="B87" s="439" t="s">
        <v>426</v>
      </c>
      <c r="C87" s="534"/>
      <c r="D87" s="534"/>
      <c r="E87" s="534"/>
      <c r="F87" s="275">
        <f ca="1">SUM(F88:F94)</f>
        <v>0.69300000000000017</v>
      </c>
    </row>
    <row r="88" spans="1:7" x14ac:dyDescent="0.2">
      <c r="A88" s="46">
        <v>18.100000000000001</v>
      </c>
      <c r="B88" s="441" t="s">
        <v>423</v>
      </c>
      <c r="C88" s="534">
        <f>0.04*$G$4</f>
        <v>4.4000000000000004E-2</v>
      </c>
      <c r="D88" s="534">
        <f>0.04*$G$4</f>
        <v>4.4000000000000004E-2</v>
      </c>
      <c r="E88" s="534">
        <f>0.04*$G$4</f>
        <v>4.4000000000000004E-2</v>
      </c>
      <c r="F88" s="773">
        <f ca="1">IF(MIN(А,В)=2.3,G88,IF(MIN(А,В)=2.8,G89,G90))</f>
        <v>4.4000000000000004E-2</v>
      </c>
      <c r="G88" s="174">
        <f ca="1">OFFSET(C88,0,Класс_точности-3)</f>
        <v>4.4000000000000004E-2</v>
      </c>
    </row>
    <row r="89" spans="1:7" x14ac:dyDescent="0.2">
      <c r="A89" s="46"/>
      <c r="B89" s="441" t="s">
        <v>421</v>
      </c>
      <c r="C89" s="534">
        <f>0.05*$G$4</f>
        <v>5.5000000000000007E-2</v>
      </c>
      <c r="D89" s="534">
        <f>0.05*$G$4</f>
        <v>5.5000000000000007E-2</v>
      </c>
      <c r="E89" s="534">
        <f>0.05*$G$4</f>
        <v>5.5000000000000007E-2</v>
      </c>
      <c r="F89" s="773"/>
      <c r="G89" s="174">
        <f ca="1">OFFSET(C89,0,Класс_точности-3)</f>
        <v>5.5000000000000007E-2</v>
      </c>
    </row>
    <row r="90" spans="1:7" x14ac:dyDescent="0.2">
      <c r="A90" s="46"/>
      <c r="B90" s="442" t="s">
        <v>422</v>
      </c>
      <c r="C90" s="534">
        <f>0.08*$G$4</f>
        <v>8.8000000000000009E-2</v>
      </c>
      <c r="D90" s="534">
        <f>0.08*$G$4</f>
        <v>8.8000000000000009E-2</v>
      </c>
      <c r="E90" s="534">
        <f>0.08*$G$4</f>
        <v>8.8000000000000009E-2</v>
      </c>
      <c r="F90" s="773"/>
      <c r="G90" s="174">
        <f ca="1">OFFSET(C90,0,Класс_точности-3)</f>
        <v>8.8000000000000009E-2</v>
      </c>
    </row>
    <row r="91" spans="1:7" x14ac:dyDescent="0.2">
      <c r="A91" s="46">
        <v>18.2</v>
      </c>
      <c r="B91" s="441" t="s">
        <v>379</v>
      </c>
      <c r="C91" s="534">
        <f>0.00018*$G$4</f>
        <v>1.9800000000000002E-4</v>
      </c>
      <c r="D91" s="534">
        <f>0.00024*$G$4</f>
        <v>2.6400000000000002E-4</v>
      </c>
      <c r="E91" s="534">
        <f>0.00034*$G$4</f>
        <v>3.7400000000000004E-4</v>
      </c>
      <c r="F91" s="275">
        <f ca="1">(Чо1+Чо2)*OFFSET(C91,0,Класс_точности-3)</f>
        <v>0.59400000000000008</v>
      </c>
    </row>
    <row r="92" spans="1:7" x14ac:dyDescent="0.2">
      <c r="A92" s="46">
        <v>18.3</v>
      </c>
      <c r="B92" s="442" t="s">
        <v>427</v>
      </c>
      <c r="C92" s="534">
        <f>0.05*$G$4</f>
        <v>5.5000000000000007E-2</v>
      </c>
      <c r="D92" s="534">
        <f>0.08*$G$4</f>
        <v>8.8000000000000009E-2</v>
      </c>
      <c r="E92" s="534">
        <f>0.15*$G$4</f>
        <v>0.16500000000000001</v>
      </c>
      <c r="F92" s="773">
        <f ca="1">IF(MIN(А,В)=2.3,G92,IF(MIN(А,В)=2.8,G93,G94))</f>
        <v>5.5000000000000007E-2</v>
      </c>
      <c r="G92" s="174">
        <f ca="1">OFFSET(C92,0,Класс_точности-3)</f>
        <v>5.5000000000000007E-2</v>
      </c>
    </row>
    <row r="93" spans="1:7" x14ac:dyDescent="0.2">
      <c r="A93" s="46"/>
      <c r="B93" s="441" t="s">
        <v>421</v>
      </c>
      <c r="C93" s="534">
        <f>0.6*$G$4</f>
        <v>0.66</v>
      </c>
      <c r="D93" s="534">
        <f>0.09*$G$4</f>
        <v>9.9000000000000005E-2</v>
      </c>
      <c r="E93" s="534">
        <f>0.2*$G$4</f>
        <v>0.22000000000000003</v>
      </c>
      <c r="F93" s="773"/>
      <c r="G93" s="174">
        <f ca="1">OFFSET(C93,0,Класс_точности-3)</f>
        <v>0.66</v>
      </c>
    </row>
    <row r="94" spans="1:7" x14ac:dyDescent="0.2">
      <c r="A94" s="46"/>
      <c r="B94" s="442" t="s">
        <v>422</v>
      </c>
      <c r="C94" s="534">
        <f>0.2*$G$4</f>
        <v>0.22000000000000003</v>
      </c>
      <c r="D94" s="534">
        <f>0.25*$G$4</f>
        <v>0.27500000000000002</v>
      </c>
      <c r="E94" s="534">
        <f>0.4*$G$4</f>
        <v>0.44000000000000006</v>
      </c>
      <c r="F94" s="773"/>
      <c r="G94" s="174">
        <f ca="1">OFFSET(C94,0,Класс_точности-3)</f>
        <v>0.22000000000000003</v>
      </c>
    </row>
    <row r="96" spans="1:7" ht="15.75" x14ac:dyDescent="0.25">
      <c r="A96" s="172" t="s">
        <v>568</v>
      </c>
      <c r="B96" s="432"/>
      <c r="C96" s="433"/>
      <c r="D96" s="433"/>
      <c r="E96" s="435" t="s">
        <v>569</v>
      </c>
    </row>
  </sheetData>
  <mergeCells count="10">
    <mergeCell ref="A6:A7"/>
    <mergeCell ref="B6:B7"/>
    <mergeCell ref="A3:E3"/>
    <mergeCell ref="A4:E4"/>
    <mergeCell ref="F92:F94"/>
    <mergeCell ref="G20:G31"/>
    <mergeCell ref="F77:F79"/>
    <mergeCell ref="F81:F83"/>
    <mergeCell ref="F84:F86"/>
    <mergeCell ref="F88:F90"/>
  </mergeCells>
  <phoneticPr fontId="7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J71"/>
  <sheetViews>
    <sheetView zoomScale="85" zoomScaleNormal="85" workbookViewId="0">
      <selection activeCell="B5" sqref="B5:F5"/>
    </sheetView>
  </sheetViews>
  <sheetFormatPr defaultColWidth="9.140625" defaultRowHeight="12.75" x14ac:dyDescent="0.2"/>
  <cols>
    <col min="1" max="1" width="2.140625" style="179" customWidth="1"/>
    <col min="2" max="2" width="3.28515625" style="179" customWidth="1"/>
    <col min="3" max="3" width="48.5703125" style="179" customWidth="1"/>
    <col min="4" max="4" width="8.140625" style="179" customWidth="1"/>
    <col min="5" max="5" width="14.7109375" style="179" customWidth="1"/>
    <col min="6" max="6" width="13.28515625" style="334" customWidth="1"/>
    <col min="7" max="7" width="4.140625" style="179" customWidth="1"/>
    <col min="8" max="8" width="10.5703125" style="179" bestFit="1" customWidth="1"/>
    <col min="9" max="9" width="9.140625" style="179"/>
    <col min="10" max="10" width="14.42578125" style="179" bestFit="1" customWidth="1"/>
    <col min="11" max="16384" width="9.140625" style="179"/>
  </cols>
  <sheetData>
    <row r="1" spans="2:10" x14ac:dyDescent="0.2">
      <c r="F1" s="47" t="s">
        <v>566</v>
      </c>
    </row>
    <row r="2" spans="2:10" ht="21" customHeight="1" x14ac:dyDescent="0.2">
      <c r="C2" s="753" t="s">
        <v>67</v>
      </c>
      <c r="D2" s="753"/>
      <c r="E2" s="753"/>
      <c r="F2" s="753"/>
      <c r="G2" s="334"/>
    </row>
    <row r="3" spans="2:10" ht="21" customHeight="1" x14ac:dyDescent="0.2">
      <c r="B3" s="636" t="str">
        <f>CONCATENATE("трудозатрат на изготовление МПП ",Наименование_платы," в кол-ве ",П," шт.")</f>
        <v>трудозатрат на изготовление МПП Децимальный номер платы в кол-ве 145 шт.</v>
      </c>
      <c r="C3" s="636"/>
      <c r="D3" s="636"/>
      <c r="E3" s="636"/>
      <c r="F3" s="636"/>
      <c r="G3" s="334"/>
    </row>
    <row r="4" spans="2:10" x14ac:dyDescent="0.2">
      <c r="B4" s="49"/>
      <c r="C4"/>
      <c r="D4"/>
      <c r="E4"/>
      <c r="F4"/>
      <c r="J4" s="48"/>
    </row>
    <row r="5" spans="2:10" x14ac:dyDescent="0.2">
      <c r="B5" s="779" t="str">
        <f>CONCATENATE("Утвержденная 310 ВП МО РФ стоимость 1 нормочаса в ООО МПП в 2018 г. ",ФОТнч," руб.")</f>
        <v>Утвержденная 310 ВП МО РФ стоимость 1 нормочаса в ООО МПП в 2018 г. 242.67 руб.</v>
      </c>
      <c r="C5" s="779"/>
      <c r="D5" s="779"/>
      <c r="E5" s="779"/>
      <c r="F5" s="779"/>
    </row>
    <row r="6" spans="2:10" ht="25.5" x14ac:dyDescent="0.2">
      <c r="B6" s="336" t="s">
        <v>131</v>
      </c>
      <c r="C6" s="337" t="s">
        <v>132</v>
      </c>
      <c r="D6" s="338"/>
      <c r="E6" s="339" t="s">
        <v>133</v>
      </c>
      <c r="F6" s="340" t="s">
        <v>134</v>
      </c>
    </row>
    <row r="7" spans="2:10" x14ac:dyDescent="0.2">
      <c r="B7" s="337"/>
      <c r="C7" s="341" t="s">
        <v>135</v>
      </c>
      <c r="D7" s="338"/>
      <c r="E7" s="339"/>
      <c r="F7" s="340"/>
      <c r="G7" s="49"/>
    </row>
    <row r="8" spans="2:10" x14ac:dyDescent="0.2">
      <c r="B8" s="342">
        <v>1</v>
      </c>
      <c r="C8" s="321" t="s">
        <v>136</v>
      </c>
      <c r="D8" s="343"/>
      <c r="E8" s="331">
        <f>Время_констр</f>
        <v>2</v>
      </c>
      <c r="F8" s="374">
        <f>E8*ФОТнч</f>
        <v>485.34</v>
      </c>
      <c r="I8" s="179">
        <f>E8*Цнч</f>
        <v>1385.32</v>
      </c>
    </row>
    <row r="9" spans="2:10" x14ac:dyDescent="0.2">
      <c r="B9" s="336">
        <v>2</v>
      </c>
      <c r="C9" s="321" t="s">
        <v>137</v>
      </c>
      <c r="D9" s="344"/>
      <c r="E9" s="331">
        <f ca="1">'Нормы трудоемкости'!F9*layers+'Нормы трудоемкости'!F10*(template_make-layers)+'Нормы трудоемкости'!F11*layers*SIGN(template_check)+'Нормы трудоемкости'!F12*(template_check-layers)</f>
        <v>2.8</v>
      </c>
      <c r="F9" s="374">
        <f ca="1">E9*ФОТнч</f>
        <v>679.47599999999989</v>
      </c>
      <c r="I9" s="179">
        <f ca="1">E9*Цнч</f>
        <v>1939.4479999999999</v>
      </c>
    </row>
    <row r="10" spans="2:10" x14ac:dyDescent="0.2">
      <c r="B10" s="345">
        <v>3</v>
      </c>
      <c r="C10" s="346" t="s">
        <v>230</v>
      </c>
      <c r="D10" s="347"/>
      <c r="E10" s="331">
        <f ca="1">Расчет!E61</f>
        <v>2.431</v>
      </c>
      <c r="F10" s="374">
        <f ca="1">E10*ФОТнч</f>
        <v>589.93076999999994</v>
      </c>
      <c r="I10" s="179">
        <f ca="1">E10*Цнч</f>
        <v>1683.85646</v>
      </c>
    </row>
    <row r="11" spans="2:10" x14ac:dyDescent="0.2">
      <c r="B11" s="348">
        <v>4</v>
      </c>
      <c r="C11" s="349" t="s">
        <v>138</v>
      </c>
      <c r="D11" s="350"/>
      <c r="E11" s="331">
        <f ca="1">'Нормы трудоемкости'!F13</f>
        <v>0.29040000000000005</v>
      </c>
      <c r="F11" s="374">
        <f ca="1">E11*ФОТнч</f>
        <v>70.471368000000012</v>
      </c>
      <c r="I11" s="179">
        <f ca="1">E11*Цнч</f>
        <v>201.14846400000002</v>
      </c>
    </row>
    <row r="12" spans="2:10" x14ac:dyDescent="0.2">
      <c r="B12" s="351"/>
      <c r="C12" s="352" t="s">
        <v>47</v>
      </c>
      <c r="D12" s="350"/>
      <c r="E12" s="332">
        <f ca="1">SUM(E8:E11)</f>
        <v>7.5213999999999999</v>
      </c>
      <c r="F12" s="333">
        <f ca="1">SUM(F8:F11)</f>
        <v>1825.2181379999997</v>
      </c>
      <c r="H12" s="179">
        <f ca="1">E12*Цнч</f>
        <v>5209.7729239999999</v>
      </c>
      <c r="I12" s="179">
        <f ca="1">SUM(I8:I11)</f>
        <v>5209.7729239999999</v>
      </c>
    </row>
    <row r="13" spans="2:10" x14ac:dyDescent="0.2">
      <c r="B13" s="353"/>
      <c r="C13" s="50" t="s">
        <v>139</v>
      </c>
      <c r="D13" s="344"/>
      <c r="E13" s="372"/>
      <c r="F13" s="340"/>
    </row>
    <row r="14" spans="2:10" x14ac:dyDescent="0.2">
      <c r="B14" s="89">
        <v>1</v>
      </c>
      <c r="C14" s="119" t="s">
        <v>174</v>
      </c>
      <c r="D14" s="344"/>
      <c r="E14" s="331">
        <f ca="1">'Нормы трудоемкости'!F20*Площадь_заготовок_оплачиваемая*Коэффициент_серийности*Коэфф_плотности_и_сложн*Квг</f>
        <v>4.5146726239999992</v>
      </c>
      <c r="F14" s="374">
        <f t="shared" ref="F14:F46" ca="1" si="0">E14*ФОТнч</f>
        <v>1095.5756056660798</v>
      </c>
    </row>
    <row r="15" spans="2:10" x14ac:dyDescent="0.2">
      <c r="B15" s="89">
        <v>2</v>
      </c>
      <c r="C15" s="119" t="s">
        <v>175</v>
      </c>
      <c r="D15" s="344"/>
      <c r="E15" s="331">
        <f ca="1">'Нормы трудоемкости'!F21*Площадь_заготовок_оплачиваемая*Коэффициент_серийности*Коэфф_плотности_и_сложн*Квг</f>
        <v>6.7720089360000006</v>
      </c>
      <c r="F15" s="374">
        <f t="shared" ca="1" si="0"/>
        <v>1643.3634084991202</v>
      </c>
    </row>
    <row r="16" spans="2:10" x14ac:dyDescent="0.2">
      <c r="B16" s="89">
        <v>3</v>
      </c>
      <c r="C16" s="119" t="s">
        <v>176</v>
      </c>
      <c r="D16" s="344"/>
      <c r="E16" s="331">
        <f ca="1">'Нормы трудоемкости'!F22*Площадь_заготовок_оплачиваемая*Коэффициент_серийности*Коэфф_плотности_и_сложн*Квг</f>
        <v>9.0293452479999985</v>
      </c>
      <c r="F16" s="374">
        <f t="shared" ca="1" si="0"/>
        <v>2191.1512113321596</v>
      </c>
    </row>
    <row r="17" spans="2:6" x14ac:dyDescent="0.2">
      <c r="B17" s="89">
        <v>4</v>
      </c>
      <c r="C17" s="119" t="s">
        <v>177</v>
      </c>
      <c r="D17" s="344"/>
      <c r="E17" s="331">
        <f ca="1">'Нормы трудоемкости'!F23*Площадь_заготовок_оплачиваемая*Коэффициент_серийности*Коэфф_плотности_и_сложн*Квг</f>
        <v>3.3860044680000003</v>
      </c>
      <c r="F17" s="374">
        <f t="shared" ca="1" si="0"/>
        <v>821.68170424956008</v>
      </c>
    </row>
    <row r="18" spans="2:6" x14ac:dyDescent="0.2">
      <c r="B18" s="89">
        <v>5</v>
      </c>
      <c r="C18" s="119" t="s">
        <v>121</v>
      </c>
      <c r="D18" s="344"/>
      <c r="E18" s="331">
        <f ca="1">'Нормы трудоемкости'!F24*Площадь_заготовок_оплачиваемая*Коэффициент_серийности*Коэфф_плотности_и_сложн*Квг</f>
        <v>11.286681560000002</v>
      </c>
      <c r="F18" s="374">
        <f t="shared" ca="1" si="0"/>
        <v>2738.9390141652002</v>
      </c>
    </row>
    <row r="19" spans="2:6" x14ac:dyDescent="0.2">
      <c r="B19" s="89">
        <v>6</v>
      </c>
      <c r="C19" s="119" t="s">
        <v>122</v>
      </c>
      <c r="D19" s="344"/>
      <c r="E19" s="331">
        <f ca="1">'Нормы трудоемкости'!F25*Площадь_заготовок_оплачиваемая*Коэффициент_серийности*Коэфф_плотности_и_сложн*Квг</f>
        <v>11.286681560000002</v>
      </c>
      <c r="F19" s="374">
        <f t="shared" ca="1" si="0"/>
        <v>2738.9390141652002</v>
      </c>
    </row>
    <row r="20" spans="2:6" x14ac:dyDescent="0.2">
      <c r="B20" s="89">
        <v>7</v>
      </c>
      <c r="C20" s="119" t="s">
        <v>125</v>
      </c>
      <c r="D20" s="344"/>
      <c r="E20" s="331">
        <f ca="1">'Нормы трудоемкости'!F26*Площадь_заготовок_оплачиваемая*Коэффициент_серийности*Коэфф_плотности_и_сложн*Квг</f>
        <v>9.0293452479999985</v>
      </c>
      <c r="F20" s="374">
        <f t="shared" ca="1" si="0"/>
        <v>2191.1512113321596</v>
      </c>
    </row>
    <row r="21" spans="2:6" x14ac:dyDescent="0.2">
      <c r="B21" s="89">
        <v>8</v>
      </c>
      <c r="C21" s="119" t="s">
        <v>410</v>
      </c>
      <c r="D21" s="344"/>
      <c r="E21" s="331">
        <f ca="1">'Нормы трудоемкости'!F27*Площадь_заготовок_оплачиваемая*Коэффициент_серийности*Коэфф_плотности_и_сложн*Квг</f>
        <v>11.286681560000002</v>
      </c>
      <c r="F21" s="374">
        <f t="shared" ca="1" si="0"/>
        <v>2738.9390141652002</v>
      </c>
    </row>
    <row r="22" spans="2:6" x14ac:dyDescent="0.2">
      <c r="B22" s="89">
        <v>9</v>
      </c>
      <c r="C22" s="119" t="s">
        <v>178</v>
      </c>
      <c r="D22" s="344"/>
      <c r="E22" s="331">
        <f ca="1">'Нормы трудоемкости'!F28*Площадь_заготовок_оплачиваемая*Коэффициент_серийности*Коэфф_плотности_и_сложн*Квг</f>
        <v>5.6433407800000008</v>
      </c>
      <c r="F22" s="374">
        <f t="shared" ca="1" si="0"/>
        <v>1369.4695070826001</v>
      </c>
    </row>
    <row r="23" spans="2:6" x14ac:dyDescent="0.2">
      <c r="B23" s="89">
        <v>10</v>
      </c>
      <c r="C23" s="119" t="s">
        <v>179</v>
      </c>
      <c r="D23" s="344"/>
      <c r="E23" s="331">
        <f ca="1">'Нормы трудоемкости'!F29*Площадь_заготовок_оплачиваемая*Коэффициент_серийности*Коэфф_плотности_и_сложн*Квг</f>
        <v>11.286681560000002</v>
      </c>
      <c r="F23" s="374">
        <f t="shared" ca="1" si="0"/>
        <v>2738.9390141652002</v>
      </c>
    </row>
    <row r="24" spans="2:6" x14ac:dyDescent="0.2">
      <c r="B24" s="89">
        <v>11</v>
      </c>
      <c r="C24" s="119" t="s">
        <v>180</v>
      </c>
      <c r="D24" s="344"/>
      <c r="E24" s="331">
        <f ca="1">'Нормы трудоемкости'!F30*Площадь_заготовок_оплачиваемая*Коэффициент_серийности*Коэфф_плотности_и_сложн*Квг</f>
        <v>11.286681560000002</v>
      </c>
      <c r="F24" s="374">
        <f t="shared" ca="1" si="0"/>
        <v>2738.9390141652002</v>
      </c>
    </row>
    <row r="25" spans="2:6" x14ac:dyDescent="0.2">
      <c r="B25" s="89">
        <v>12</v>
      </c>
      <c r="C25" s="119" t="s">
        <v>411</v>
      </c>
      <c r="D25" s="344"/>
      <c r="E25" s="331">
        <f ca="1">'Нормы трудоемкости'!F31*Площадь_заготовок_оплачиваемая*Коэффициент_серийности*Коэфф_плотности_и_сложн*Квг</f>
        <v>5.6433407800000008</v>
      </c>
      <c r="F25" s="374">
        <f t="shared" ca="1" si="0"/>
        <v>1369.4695070826001</v>
      </c>
    </row>
    <row r="26" spans="2:6" x14ac:dyDescent="0.2">
      <c r="B26" s="89">
        <v>13</v>
      </c>
      <c r="C26" s="119" t="s">
        <v>443</v>
      </c>
      <c r="D26" s="344"/>
      <c r="E26" s="331">
        <f ca="1">'Нормы трудоемкости'!F32*Площадь_заготовок_оплачиваемая*Коэффициент_серийности*Коэфф_плотности_и_сложн*Квг</f>
        <v>39.503385460000004</v>
      </c>
      <c r="F26" s="374">
        <f t="shared" ca="1" si="0"/>
        <v>9586.2865495782007</v>
      </c>
    </row>
    <row r="27" spans="2:6" x14ac:dyDescent="0.2">
      <c r="B27" s="89">
        <v>14</v>
      </c>
      <c r="C27" s="119" t="s">
        <v>181</v>
      </c>
      <c r="D27" s="344"/>
      <c r="E27" s="331">
        <f ca="1">'Нормы трудоемкости'!F33*Площадь_заготовок_оплачиваемая*Коэффициент_серийности*Коэфф_плотности_и_сложн*Квг</f>
        <v>2.8216703900000004</v>
      </c>
      <c r="F27" s="374">
        <f t="shared" ca="1" si="0"/>
        <v>684.73475354130005</v>
      </c>
    </row>
    <row r="28" spans="2:6" x14ac:dyDescent="0.2">
      <c r="B28" s="89">
        <v>15</v>
      </c>
      <c r="C28" s="119" t="s">
        <v>378</v>
      </c>
      <c r="D28" s="344"/>
      <c r="E28" s="331">
        <f ca="1">'Нормы трудоемкости'!F34*Площадь_заготовок_оплачиваемая*Коэффициент_серийности*Коэфф_плотности_и_сложн*Квг</f>
        <v>2.8216703900000004</v>
      </c>
      <c r="F28" s="374">
        <f t="shared" ca="1" si="0"/>
        <v>684.73475354130005</v>
      </c>
    </row>
    <row r="29" spans="2:6" x14ac:dyDescent="0.2">
      <c r="B29" s="89">
        <v>16</v>
      </c>
      <c r="C29" s="119" t="s">
        <v>181</v>
      </c>
      <c r="D29" s="344"/>
      <c r="E29" s="331">
        <f ca="1">'Нормы трудоемкости'!F35*Площадь_заготовок_оплачиваемая*Коэффициент_серийности*Коэфф_плотности_и_сложн*Квг</f>
        <v>2.8216703900000004</v>
      </c>
      <c r="F29" s="374">
        <f t="shared" ca="1" si="0"/>
        <v>684.73475354130005</v>
      </c>
    </row>
    <row r="30" spans="2:6" x14ac:dyDescent="0.2">
      <c r="B30" s="89">
        <v>17</v>
      </c>
      <c r="C30" s="119" t="s">
        <v>119</v>
      </c>
      <c r="D30" s="344"/>
      <c r="E30" s="331">
        <f ca="1">'Нормы трудоемкости'!F36*Площадь_заготовок_оплачиваемая*Коэффициент_серийности*Коэфф_плотности_и_сложн*Квг</f>
        <v>22.57336312</v>
      </c>
      <c r="F30" s="374">
        <f t="shared" ca="1" si="0"/>
        <v>5477.8780283303995</v>
      </c>
    </row>
    <row r="31" spans="2:6" x14ac:dyDescent="0.2">
      <c r="B31" s="89">
        <v>18</v>
      </c>
      <c r="C31" s="119" t="s">
        <v>175</v>
      </c>
      <c r="D31" s="344"/>
      <c r="E31" s="331">
        <f ca="1">'Нормы трудоемкости'!F37*Площадь_заготовок_оплачиваемая*Коэффициент_серийности*Коэфф_плотности_и_сложн*Квг</f>
        <v>3.9503385460000002</v>
      </c>
      <c r="F31" s="374">
        <f t="shared" ca="1" si="0"/>
        <v>958.62865495782</v>
      </c>
    </row>
    <row r="32" spans="2:6" x14ac:dyDescent="0.2">
      <c r="B32" s="89">
        <v>19</v>
      </c>
      <c r="C32" s="119" t="s">
        <v>120</v>
      </c>
      <c r="D32" s="344"/>
      <c r="E32" s="331">
        <f ca="1">'Нормы трудоемкости'!F38*Площадь_заготовок_оплачиваемая*Коэффициент_серийности*Коэфф_плотности_и_сложн*Квг</f>
        <v>16.930022340000001</v>
      </c>
      <c r="F32" s="374">
        <f t="shared" ca="1" si="0"/>
        <v>4108.4085212478003</v>
      </c>
    </row>
    <row r="33" spans="2:10" x14ac:dyDescent="0.2">
      <c r="B33" s="89">
        <v>20</v>
      </c>
      <c r="C33" s="119" t="s">
        <v>125</v>
      </c>
      <c r="D33" s="344"/>
      <c r="E33" s="331">
        <f ca="1">'Нормы трудоемкости'!F39*Площадь_заготовок_оплачиваемая*Коэффициент_серийности*Коэфф_плотности_и_сложн*Квг</f>
        <v>4.5146726239999992</v>
      </c>
      <c r="F33" s="374">
        <f t="shared" ca="1" si="0"/>
        <v>1095.5756056660798</v>
      </c>
    </row>
    <row r="34" spans="2:10" x14ac:dyDescent="0.2">
      <c r="B34" s="89">
        <v>21</v>
      </c>
      <c r="C34" s="119" t="s">
        <v>123</v>
      </c>
      <c r="D34" s="344"/>
      <c r="E34" s="331">
        <f ca="1">'Нормы трудоемкости'!F40*Площадь_заготовок_оплачиваемая*Коэффициент_серийности*Коэфф_плотности_и_сложн*Квг</f>
        <v>28.216703900000002</v>
      </c>
      <c r="F34" s="374">
        <f t="shared" ca="1" si="0"/>
        <v>6847.3475354130005</v>
      </c>
    </row>
    <row r="35" spans="2:10" x14ac:dyDescent="0.2">
      <c r="B35" s="89">
        <v>22</v>
      </c>
      <c r="C35" s="119" t="s">
        <v>124</v>
      </c>
      <c r="D35" s="344"/>
      <c r="E35" s="331">
        <f ca="1">'Нормы трудоемкости'!F41*Площадь_заготовок_оплачиваемая*Коэффициент_серийности*Коэфф_плотности_и_сложн*Квг</f>
        <v>5.6433407800000008</v>
      </c>
      <c r="F35" s="374">
        <f t="shared" ca="1" si="0"/>
        <v>1369.4695070826001</v>
      </c>
    </row>
    <row r="36" spans="2:10" x14ac:dyDescent="0.2">
      <c r="B36" s="89">
        <v>23</v>
      </c>
      <c r="C36" s="119" t="s">
        <v>125</v>
      </c>
      <c r="D36" s="344"/>
      <c r="E36" s="331">
        <f ca="1">'Нормы трудоемкости'!F42*Площадь_заготовок_оплачиваемая*Коэффициент_серийности*Коэфф_плотности_и_сложн*Квг</f>
        <v>4.5146726239999992</v>
      </c>
      <c r="F36" s="374">
        <f t="shared" ca="1" si="0"/>
        <v>1095.5756056660798</v>
      </c>
      <c r="J36" s="355"/>
    </row>
    <row r="37" spans="2:10" x14ac:dyDescent="0.2">
      <c r="B37" s="89">
        <v>24</v>
      </c>
      <c r="C37" s="119" t="s">
        <v>126</v>
      </c>
      <c r="D37" s="344"/>
      <c r="E37" s="331">
        <f ca="1">'Нормы трудоемкости'!F43*Площадь_заготовок_оплачиваемая*Коэффициент_серийности*Коэфф_плотности_и_сложн*Квг</f>
        <v>11.286681560000002</v>
      </c>
      <c r="F37" s="374">
        <f t="shared" ca="1" si="0"/>
        <v>2738.9390141652002</v>
      </c>
    </row>
    <row r="38" spans="2:10" x14ac:dyDescent="0.2">
      <c r="B38" s="89">
        <v>25</v>
      </c>
      <c r="C38" s="119" t="s">
        <v>412</v>
      </c>
      <c r="D38" s="344"/>
      <c r="E38" s="331">
        <f ca="1">'Нормы трудоемкости'!F44*Площадь_заготовок_оплачиваемая*Коэффициент_серийности*Коэфф_плотности_и_сложн*Квг</f>
        <v>2.8216703900000004</v>
      </c>
      <c r="F38" s="374">
        <f t="shared" ca="1" si="0"/>
        <v>684.73475354130005</v>
      </c>
    </row>
    <row r="39" spans="2:10" x14ac:dyDescent="0.2">
      <c r="B39" s="89">
        <v>26</v>
      </c>
      <c r="C39" s="119" t="s">
        <v>181</v>
      </c>
      <c r="D39" s="344"/>
      <c r="E39" s="331">
        <f ca="1">'Нормы трудоемкости'!F45*Площадь_заготовок_оплачиваемая*Коэффициент_серийности*Коэфф_плотности_и_сложн*Квг</f>
        <v>2.8216703900000004</v>
      </c>
      <c r="F39" s="374">
        <f t="shared" ca="1" si="0"/>
        <v>684.73475354130005</v>
      </c>
    </row>
    <row r="40" spans="2:10" x14ac:dyDescent="0.2">
      <c r="B40" s="89">
        <v>27</v>
      </c>
      <c r="C40" s="119" t="s">
        <v>182</v>
      </c>
      <c r="D40" s="344"/>
      <c r="E40" s="331">
        <f ca="1">'Нормы трудоемкости'!F46*Площадь_заготовок_оплачиваемая*Коэффициент_серийности*Коэфф_плотности_и_сложн*Квг</f>
        <v>2.8216703900000004</v>
      </c>
      <c r="F40" s="374">
        <f t="shared" ca="1" si="0"/>
        <v>684.73475354130005</v>
      </c>
    </row>
    <row r="41" spans="2:10" x14ac:dyDescent="0.2">
      <c r="B41" s="89">
        <v>28</v>
      </c>
      <c r="C41" s="119" t="s">
        <v>127</v>
      </c>
      <c r="D41" s="344"/>
      <c r="E41" s="331">
        <f ca="1">'Нормы трудоемкости'!F47*Площадь_заготовок_оплачиваемая*Коэффициент_серийности*Коэфф_плотности_и_сложн*Квг</f>
        <v>3.3860044680000003</v>
      </c>
      <c r="F41" s="374">
        <f t="shared" ca="1" si="0"/>
        <v>821.68170424956008</v>
      </c>
    </row>
    <row r="42" spans="2:10" x14ac:dyDescent="0.2">
      <c r="B42" s="89">
        <v>29</v>
      </c>
      <c r="C42" s="119" t="s">
        <v>180</v>
      </c>
      <c r="D42" s="344"/>
      <c r="E42" s="331">
        <f ca="1">'Нормы трудоемкости'!F48*Площадь_заготовок_оплачиваемая*Коэффициент_серийности*Коэфф_плотности_и_сложн*Квг</f>
        <v>4.5146726239999992</v>
      </c>
      <c r="F42" s="374">
        <f t="shared" ca="1" si="0"/>
        <v>1095.5756056660798</v>
      </c>
    </row>
    <row r="43" spans="2:10" x14ac:dyDescent="0.2">
      <c r="B43" s="89">
        <v>30</v>
      </c>
      <c r="C43" s="119" t="s">
        <v>183</v>
      </c>
      <c r="D43" s="344"/>
      <c r="E43" s="331">
        <f ca="1">'Нормы трудоемкости'!F49*Площадь_заготовок_оплачиваемая*Коэффициент_серийности*Коэфф_плотности_и_сложн*Квг</f>
        <v>8.4650111700000004</v>
      </c>
      <c r="F43" s="374">
        <f t="shared" ca="1" si="0"/>
        <v>2054.2042606239002</v>
      </c>
    </row>
    <row r="44" spans="2:10" x14ac:dyDescent="0.2">
      <c r="B44" s="89">
        <v>31</v>
      </c>
      <c r="C44" s="119" t="s">
        <v>184</v>
      </c>
      <c r="D44" s="344"/>
      <c r="E44" s="331">
        <f ca="1">'Нормы трудоемкости'!F50*Площадь_заготовок_оплачиваемая*Коэффициент_серийности*Коэфф_плотности_и_сложн*Квг</f>
        <v>2.8216703900000004</v>
      </c>
      <c r="F44" s="374">
        <f t="shared" ca="1" si="0"/>
        <v>684.73475354130005</v>
      </c>
    </row>
    <row r="45" spans="2:10" x14ac:dyDescent="0.2">
      <c r="B45" s="89">
        <v>32</v>
      </c>
      <c r="C45" s="119" t="s">
        <v>180</v>
      </c>
      <c r="D45" s="344"/>
      <c r="E45" s="331">
        <f ca="1">'Нормы трудоемкости'!F51*Площадь_заготовок_оплачиваемая*Коэффициент_серийности*Коэфф_плотности_и_сложн*Квг</f>
        <v>11.286681560000002</v>
      </c>
      <c r="F45" s="374">
        <f t="shared" ca="1" si="0"/>
        <v>2738.9390141652002</v>
      </c>
    </row>
    <row r="46" spans="2:10" x14ac:dyDescent="0.2">
      <c r="B46" s="89">
        <v>33</v>
      </c>
      <c r="C46" s="119" t="s">
        <v>185</v>
      </c>
      <c r="D46" s="344"/>
      <c r="E46" s="331">
        <f ca="1">'Нормы трудоемкости'!F52*Площадь_заготовок_оплачиваемая*Коэффициент_серийности*Коэфф_плотности_и_сложн*Квг</f>
        <v>2.8216703900000004</v>
      </c>
      <c r="F46" s="374">
        <f t="shared" ca="1" si="0"/>
        <v>684.73475354130005</v>
      </c>
    </row>
    <row r="47" spans="2:10" x14ac:dyDescent="0.2">
      <c r="B47" s="351"/>
      <c r="C47" s="356" t="s">
        <v>47</v>
      </c>
      <c r="D47" s="344"/>
      <c r="E47" s="332">
        <f ca="1">SUM(E14:E46)</f>
        <v>287.81037978000012</v>
      </c>
      <c r="F47" s="333">
        <f ca="1">SUM(F14:F46)</f>
        <v>69842.9448612126</v>
      </c>
      <c r="H47" s="179">
        <f ca="1">E47*Цнч</f>
        <v>199354.73765841487</v>
      </c>
      <c r="I47" s="355"/>
    </row>
    <row r="48" spans="2:10" x14ac:dyDescent="0.2">
      <c r="B48" s="357"/>
      <c r="C48" s="358" t="s">
        <v>140</v>
      </c>
      <c r="D48" s="344"/>
      <c r="E48" s="359"/>
    </row>
    <row r="49" spans="1:10" x14ac:dyDescent="0.2">
      <c r="B49" s="360">
        <v>1</v>
      </c>
      <c r="C49" s="255" t="s">
        <v>390</v>
      </c>
      <c r="D49" s="362"/>
      <c r="E49" s="331">
        <f ca="1">Расчет!G70/Цнч</f>
        <v>64.680000000000007</v>
      </c>
      <c r="F49" s="374">
        <f t="shared" ref="F49:F57" ca="1" si="1">E49*ФОТнч</f>
        <v>15695.895600000002</v>
      </c>
    </row>
    <row r="50" spans="1:10" x14ac:dyDescent="0.2">
      <c r="B50" s="360">
        <v>2</v>
      </c>
      <c r="C50" s="361" t="s">
        <v>141</v>
      </c>
      <c r="D50" s="362"/>
      <c r="E50" s="331">
        <f>SUM(Расчет!G71:G72)/Цнч</f>
        <v>5.1979200000000008</v>
      </c>
      <c r="F50" s="374">
        <f t="shared" si="1"/>
        <v>1261.3792464000001</v>
      </c>
    </row>
    <row r="51" spans="1:10" x14ac:dyDescent="0.2">
      <c r="B51" s="360">
        <v>3</v>
      </c>
      <c r="C51" s="349" t="s">
        <v>144</v>
      </c>
      <c r="D51" s="338"/>
      <c r="E51" s="331">
        <f ca="1">Расчет!G73/Цнч</f>
        <v>11.319000000000001</v>
      </c>
      <c r="F51" s="374">
        <f t="shared" ca="1" si="1"/>
        <v>2746.7817300000002</v>
      </c>
    </row>
    <row r="52" spans="1:10" x14ac:dyDescent="0.2">
      <c r="B52" s="360">
        <v>4</v>
      </c>
      <c r="C52" s="321" t="s">
        <v>554</v>
      </c>
      <c r="D52" s="354"/>
      <c r="E52" s="363">
        <f ca="1">SUM(Расчет!G75,Расчет!G77)/Цнч</f>
        <v>24.18943943673488</v>
      </c>
      <c r="F52" s="374">
        <f t="shared" ca="1" si="1"/>
        <v>5870.0512681124528</v>
      </c>
    </row>
    <row r="53" spans="1:10" x14ac:dyDescent="0.2">
      <c r="B53" s="360">
        <v>5</v>
      </c>
      <c r="C53" s="364" t="s">
        <v>145</v>
      </c>
      <c r="D53" s="354"/>
      <c r="E53" s="363">
        <f ca="1">Расчет!G80/Цнч*Ручная_маркировка</f>
        <v>10.686500000000002</v>
      </c>
      <c r="F53" s="374">
        <f t="shared" ca="1" si="1"/>
        <v>2593.2929550000003</v>
      </c>
    </row>
    <row r="54" spans="1:10" x14ac:dyDescent="0.2">
      <c r="B54" s="360">
        <v>6</v>
      </c>
      <c r="C54" s="364" t="s">
        <v>555</v>
      </c>
      <c r="D54" s="354"/>
      <c r="E54" s="363">
        <f ca="1">Расчет!G81/Цнч</f>
        <v>3.4979384999999996</v>
      </c>
      <c r="F54" s="374">
        <f t="shared" ca="1" si="1"/>
        <v>848.84473579499991</v>
      </c>
    </row>
    <row r="55" spans="1:10" x14ac:dyDescent="0.2">
      <c r="B55" s="360">
        <v>7</v>
      </c>
      <c r="C55" s="364" t="s">
        <v>146</v>
      </c>
      <c r="D55" s="354"/>
      <c r="E55" s="363">
        <f>Расчет!G85/Цнч</f>
        <v>0</v>
      </c>
      <c r="F55" s="374">
        <f t="shared" si="1"/>
        <v>0</v>
      </c>
    </row>
    <row r="56" spans="1:10" x14ac:dyDescent="0.2">
      <c r="B56" s="360">
        <v>8</v>
      </c>
      <c r="C56" s="254" t="s">
        <v>384</v>
      </c>
      <c r="D56" s="354"/>
      <c r="E56" s="363">
        <f ca="1">Расчет!G83/Цнч</f>
        <v>7.6954646999999996</v>
      </c>
      <c r="F56" s="374">
        <f t="shared" ca="1" si="1"/>
        <v>1867.4584187489997</v>
      </c>
    </row>
    <row r="57" spans="1:10" x14ac:dyDescent="0.2">
      <c r="B57" s="360">
        <v>9</v>
      </c>
      <c r="C57" s="364" t="s">
        <v>26</v>
      </c>
      <c r="D57" s="354"/>
      <c r="E57" s="363">
        <f>Расчет!G87/Цнч</f>
        <v>34.959431755839809</v>
      </c>
      <c r="F57" s="374">
        <f t="shared" si="1"/>
        <v>8483.6053041896466</v>
      </c>
    </row>
    <row r="58" spans="1:10" x14ac:dyDescent="0.2">
      <c r="B58" s="365"/>
      <c r="C58" s="366" t="s">
        <v>47</v>
      </c>
      <c r="D58" s="362"/>
      <c r="E58" s="332">
        <f ca="1">SUM(E49:E57)</f>
        <v>162.2256943925747</v>
      </c>
      <c r="F58" s="333">
        <f ca="1">SUM(F49:F57)</f>
        <v>39367.309258246103</v>
      </c>
      <c r="H58" s="179">
        <f ca="1">E58*Цнч</f>
        <v>112367.24947796078</v>
      </c>
    </row>
    <row r="59" spans="1:10" x14ac:dyDescent="0.2">
      <c r="B59" s="357"/>
      <c r="C59" s="50"/>
      <c r="D59" s="354"/>
      <c r="E59" s="331"/>
      <c r="F59" s="333" t="s">
        <v>147</v>
      </c>
    </row>
    <row r="60" spans="1:10" x14ac:dyDescent="0.2">
      <c r="B60" s="357"/>
      <c r="C60" s="358" t="s">
        <v>54</v>
      </c>
      <c r="D60" s="354"/>
      <c r="E60" s="332">
        <f ca="1">E12+E47+E58</f>
        <v>457.55747417257487</v>
      </c>
      <c r="F60" s="333">
        <f ca="1">F58+F47+F12</f>
        <v>111035.47225745869</v>
      </c>
      <c r="H60" s="179">
        <f ca="1">E60*Цнч</f>
        <v>316931.76006037567</v>
      </c>
    </row>
    <row r="61" spans="1:10" x14ac:dyDescent="0.2">
      <c r="B61" s="367"/>
      <c r="C61" s="368"/>
      <c r="D61" s="347"/>
      <c r="E61" s="369"/>
    </row>
    <row r="62" spans="1:10" ht="15.75" x14ac:dyDescent="0.25">
      <c r="A62" s="172" t="s">
        <v>541</v>
      </c>
      <c r="B62" s="432"/>
      <c r="C62" s="433"/>
      <c r="D62" s="433"/>
      <c r="E62" s="53"/>
      <c r="F62" s="435" t="s">
        <v>574</v>
      </c>
      <c r="H62" s="434"/>
      <c r="I62" s="434"/>
      <c r="J62" s="434"/>
    </row>
    <row r="63" spans="1:10" x14ac:dyDescent="0.2">
      <c r="B63" s="367"/>
      <c r="C63" s="368"/>
      <c r="D63" s="347"/>
      <c r="E63" s="369"/>
    </row>
    <row r="64" spans="1:10" x14ac:dyDescent="0.2">
      <c r="B64" s="367"/>
      <c r="C64" s="368"/>
      <c r="D64" s="347"/>
      <c r="E64" s="369"/>
    </row>
    <row r="65" spans="2:5" x14ac:dyDescent="0.2">
      <c r="B65" s="367"/>
      <c r="C65" s="368"/>
      <c r="D65" s="347"/>
      <c r="E65" s="369"/>
    </row>
    <row r="66" spans="2:5" x14ac:dyDescent="0.2">
      <c r="E66" s="334"/>
    </row>
    <row r="68" spans="2:5" x14ac:dyDescent="0.2">
      <c r="B68" s="370"/>
      <c r="C68" s="371"/>
    </row>
    <row r="69" spans="2:5" x14ac:dyDescent="0.2">
      <c r="B69" s="370"/>
      <c r="C69" s="371"/>
    </row>
    <row r="70" spans="2:5" x14ac:dyDescent="0.2">
      <c r="B70" s="370"/>
      <c r="C70" s="371"/>
    </row>
    <row r="71" spans="2:5" x14ac:dyDescent="0.2">
      <c r="B71" s="370"/>
      <c r="C71" s="371"/>
    </row>
  </sheetData>
  <mergeCells count="3">
    <mergeCell ref="C2:F2"/>
    <mergeCell ref="B3:F3"/>
    <mergeCell ref="B5:F5"/>
  </mergeCells>
  <phoneticPr fontId="7" type="noConversion"/>
  <pageMargins left="0.75" right="0.75" top="1" bottom="1" header="0.5" footer="0.5"/>
  <pageSetup paperSize="9" scale="98" fitToHeight="2" orientation="portrait" r:id="rId1"/>
  <headerFooter alignWithMargins="0"/>
  <rowBreaks count="1" manualBreakCount="1">
    <brk id="47" min="1" max="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H31"/>
  <sheetViews>
    <sheetView topLeftCell="A7" zoomScaleNormal="100" workbookViewId="0">
      <selection activeCell="C31" sqref="C31"/>
    </sheetView>
  </sheetViews>
  <sheetFormatPr defaultRowHeight="12.75" x14ac:dyDescent="0.2"/>
  <cols>
    <col min="1" max="1" width="6.28515625" customWidth="1"/>
    <col min="2" max="2" width="54" bestFit="1" customWidth="1"/>
    <col min="3" max="3" width="30.42578125" style="35" customWidth="1"/>
    <col min="6" max="6" width="9.140625" bestFit="1" customWidth="1"/>
    <col min="8" max="8" width="9.140625" bestFit="1" customWidth="1"/>
  </cols>
  <sheetData>
    <row r="1" spans="1:8" x14ac:dyDescent="0.2">
      <c r="C1" s="375" t="s">
        <v>567</v>
      </c>
      <c r="D1" s="54"/>
    </row>
    <row r="2" spans="1:8" x14ac:dyDescent="0.2">
      <c r="C2" s="66" t="s">
        <v>49</v>
      </c>
      <c r="D2" s="66"/>
    </row>
    <row r="4" spans="1:8" x14ac:dyDescent="0.2">
      <c r="A4" s="753" t="s">
        <v>560</v>
      </c>
      <c r="B4" s="753"/>
      <c r="C4" s="753"/>
      <c r="D4" s="399"/>
    </row>
    <row r="5" spans="1:8" x14ac:dyDescent="0.2">
      <c r="A5" s="753" t="str">
        <f>CONCATENATE("на изготовление МПП ",Наименование_платы," в кол-ве ",П," шт.")</f>
        <v>на изготовление МПП Децимальный номер платы в кол-ве 145 шт.</v>
      </c>
      <c r="B5" s="753"/>
      <c r="C5" s="753"/>
      <c r="D5" s="49"/>
    </row>
    <row r="6" spans="1:8" x14ac:dyDescent="0.2">
      <c r="A6" s="753" t="str">
        <f>Номер_письма</f>
        <v>Номер заказа от дата</v>
      </c>
      <c r="B6" s="753"/>
      <c r="C6" s="753"/>
      <c r="D6" s="49"/>
    </row>
    <row r="7" spans="1:8" x14ac:dyDescent="0.2">
      <c r="B7" s="1"/>
    </row>
    <row r="8" spans="1:8" x14ac:dyDescent="0.2">
      <c r="B8" s="1"/>
    </row>
    <row r="9" spans="1:8" ht="13.5" thickBot="1" x14ac:dyDescent="0.25"/>
    <row r="10" spans="1:8" ht="13.5" thickBot="1" x14ac:dyDescent="0.25">
      <c r="A10" s="502" t="s">
        <v>50</v>
      </c>
      <c r="B10" s="503" t="s">
        <v>51</v>
      </c>
      <c r="C10" s="504" t="s">
        <v>27</v>
      </c>
    </row>
    <row r="11" spans="1:8" x14ac:dyDescent="0.2">
      <c r="A11" s="505">
        <v>1</v>
      </c>
      <c r="B11" s="506" t="s">
        <v>52</v>
      </c>
      <c r="C11" s="523">
        <f ca="1">(Себестоимость-C14)/(1+Социальный_налог/100+Накладные_расходы/100)</f>
        <v>111146.66688053965</v>
      </c>
      <c r="F11" s="491">
        <f ca="1">H11-C11</f>
        <v>-111.19462308095535</v>
      </c>
      <c r="H11" s="507">
        <f ca="1">ФОТ</f>
        <v>111035.47225745869</v>
      </c>
    </row>
    <row r="12" spans="1:8" x14ac:dyDescent="0.2">
      <c r="A12" s="65">
        <v>2</v>
      </c>
      <c r="B12" s="46" t="str">
        <f>CONCATENATE("Социальный налог (",Социальный_налог,"%)")</f>
        <v>Социальный налог (30.6%)</v>
      </c>
      <c r="C12" s="524">
        <f ca="1">C11*Социальный_налог/100</f>
        <v>34010.880065445133</v>
      </c>
      <c r="F12" s="491">
        <f t="shared" ref="F12:F17" ca="1" si="0">H12-C12</f>
        <v>-34.025554662774084</v>
      </c>
      <c r="H12" s="400">
        <f ca="1">H11*Социальный_налог/100</f>
        <v>33976.854510782359</v>
      </c>
    </row>
    <row r="13" spans="1:8" x14ac:dyDescent="0.2">
      <c r="A13" s="65">
        <v>3</v>
      </c>
      <c r="B13" s="46" t="str">
        <f>CONCATENATE("Накладные расходы (",Накладные_расходы,"%)")</f>
        <v>Накладные расходы (117.6%)</v>
      </c>
      <c r="C13" s="524">
        <f ca="1">C11*Накладные_расходы/100</f>
        <v>130708.48025151461</v>
      </c>
      <c r="F13" s="491">
        <f t="shared" ca="1" si="0"/>
        <v>-130.76487674319651</v>
      </c>
      <c r="G13" s="62"/>
      <c r="H13" s="400">
        <f ca="1">H11*Накладные_расходы/100</f>
        <v>130577.71537477142</v>
      </c>
    </row>
    <row r="14" spans="1:8" x14ac:dyDescent="0.2">
      <c r="A14" s="65">
        <v>4</v>
      </c>
      <c r="B14" s="46" t="s">
        <v>170</v>
      </c>
      <c r="C14" s="524">
        <f>Материалы_всего</f>
        <v>110842.66845467448</v>
      </c>
      <c r="D14" s="491"/>
      <c r="F14" s="491">
        <f t="shared" si="0"/>
        <v>0</v>
      </c>
      <c r="H14" s="400">
        <f>Материалы_всего</f>
        <v>110842.66845467448</v>
      </c>
    </row>
    <row r="15" spans="1:8" x14ac:dyDescent="0.2">
      <c r="A15" s="65">
        <v>5</v>
      </c>
      <c r="B15" s="46" t="s">
        <v>53</v>
      </c>
      <c r="C15" s="524">
        <f ca="1">Цена-Накопления</f>
        <v>386708.69565217389</v>
      </c>
      <c r="F15" s="491">
        <f t="shared" ca="1" si="0"/>
        <v>-275.98505448689684</v>
      </c>
      <c r="H15" s="400">
        <f ca="1">SUM(H11:H14)</f>
        <v>386432.71059768699</v>
      </c>
    </row>
    <row r="16" spans="1:8" x14ac:dyDescent="0.2">
      <c r="A16" s="65">
        <v>6</v>
      </c>
      <c r="B16" s="46" t="str">
        <f>CONCATENATE("Плановые накопления (",Плановые_накопления,"% от себестоимости)")</f>
        <v>Плановые накопления (15% от себестоимости)</v>
      </c>
      <c r="C16" s="524">
        <f ca="1">Цена*(Плановые_накопления/100)/(1+Плановые_накопления/100)</f>
        <v>58006.304347826088</v>
      </c>
      <c r="F16" s="491">
        <f t="shared" ca="1" si="0"/>
        <v>0</v>
      </c>
      <c r="H16" s="400">
        <f ca="1">Себестоимость*(Плановые_накопления/100)</f>
        <v>58006.304347826081</v>
      </c>
    </row>
    <row r="17" spans="1:8" x14ac:dyDescent="0.2">
      <c r="A17" s="65">
        <v>7</v>
      </c>
      <c r="B17" s="46" t="s">
        <v>553</v>
      </c>
      <c r="C17" s="525">
        <f ca="1">Цена_одной_без_НДС*П</f>
        <v>444715</v>
      </c>
      <c r="E17" s="62"/>
      <c r="F17" s="491">
        <f t="shared" ca="1" si="0"/>
        <v>-275.98505448689684</v>
      </c>
      <c r="H17" s="508">
        <f ca="1">H16+H15</f>
        <v>444439.0149455131</v>
      </c>
    </row>
    <row r="18" spans="1:8" x14ac:dyDescent="0.2">
      <c r="A18" s="501">
        <v>8</v>
      </c>
      <c r="B18" s="117" t="s">
        <v>475</v>
      </c>
      <c r="C18" s="524">
        <f ca="1">Цена_одной_без_НДС</f>
        <v>3067</v>
      </c>
    </row>
    <row r="19" spans="1:8" ht="13.5" thickBot="1" x14ac:dyDescent="0.25">
      <c r="A19" s="315"/>
      <c r="B19" s="398"/>
      <c r="C19" s="509"/>
    </row>
    <row r="20" spans="1:8" x14ac:dyDescent="0.2">
      <c r="A20" s="2"/>
      <c r="B20" s="2"/>
      <c r="C20" s="8"/>
    </row>
    <row r="21" spans="1:8" x14ac:dyDescent="0.2">
      <c r="A21" s="542"/>
      <c r="B21" s="2" t="s">
        <v>561</v>
      </c>
      <c r="C21" s="8"/>
    </row>
    <row r="22" spans="1:8" x14ac:dyDescent="0.2">
      <c r="A22" s="542"/>
      <c r="B22" s="235" t="s">
        <v>562</v>
      </c>
      <c r="C22" s="8"/>
    </row>
    <row r="23" spans="1:8" x14ac:dyDescent="0.2">
      <c r="A23" s="542"/>
      <c r="B23" s="235" t="s">
        <v>563</v>
      </c>
      <c r="C23" s="8"/>
    </row>
    <row r="24" spans="1:8" x14ac:dyDescent="0.2">
      <c r="A24" s="2"/>
      <c r="B24" s="235" t="s">
        <v>564</v>
      </c>
      <c r="C24" s="8"/>
    </row>
    <row r="25" spans="1:8" x14ac:dyDescent="0.2">
      <c r="A25" s="2"/>
      <c r="B25" s="2"/>
      <c r="C25" s="8"/>
    </row>
    <row r="27" spans="1:8" x14ac:dyDescent="0.2">
      <c r="A27" s="335" t="s">
        <v>544</v>
      </c>
      <c r="C27" s="47" t="s">
        <v>406</v>
      </c>
    </row>
    <row r="28" spans="1:8" ht="22.15" customHeight="1" x14ac:dyDescent="0.2">
      <c r="C28" s="47" t="s">
        <v>628</v>
      </c>
    </row>
    <row r="29" spans="1:8" ht="44.45" customHeight="1" x14ac:dyDescent="0.2">
      <c r="A29" s="49" t="s">
        <v>407</v>
      </c>
    </row>
    <row r="30" spans="1:8" x14ac:dyDescent="0.2">
      <c r="A30" s="49" t="s">
        <v>525</v>
      </c>
      <c r="C30" s="47" t="s">
        <v>539</v>
      </c>
    </row>
    <row r="31" spans="1:8" ht="23.45" customHeight="1" x14ac:dyDescent="0.2">
      <c r="C31" s="47" t="s">
        <v>628</v>
      </c>
    </row>
  </sheetData>
  <mergeCells count="3">
    <mergeCell ref="A4:C4"/>
    <mergeCell ref="A5:C5"/>
    <mergeCell ref="A6:C6"/>
  </mergeCells>
  <phoneticPr fontId="7" type="noConversion"/>
  <pageMargins left="0.75" right="0.75" top="1" bottom="1" header="0.5" footer="0.5"/>
  <pageSetup paperSize="9" scale="97" fitToHeight="0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M63"/>
  <sheetViews>
    <sheetView topLeftCell="A19" workbookViewId="0">
      <selection activeCell="A52" sqref="A52:B52"/>
    </sheetView>
  </sheetViews>
  <sheetFormatPr defaultRowHeight="12.75" x14ac:dyDescent="0.2"/>
  <cols>
    <col min="1" max="3" width="8.85546875" style="185" customWidth="1"/>
    <col min="4" max="4" width="9.7109375" style="185" bestFit="1" customWidth="1"/>
    <col min="5" max="5" width="14" style="185" bestFit="1" customWidth="1"/>
    <col min="6" max="7" width="8.85546875" style="185" customWidth="1"/>
    <col min="8" max="8" width="10.140625" style="185" customWidth="1"/>
    <col min="9" max="9" width="8.85546875" style="185" customWidth="1"/>
    <col min="10" max="10" width="12.7109375" style="185" customWidth="1"/>
    <col min="11" max="11" width="8.85546875" style="185" customWidth="1"/>
  </cols>
  <sheetData>
    <row r="1" spans="1:13" ht="15.75" x14ac:dyDescent="0.25">
      <c r="A1" s="402"/>
    </row>
    <row r="2" spans="1:13" ht="15.75" x14ac:dyDescent="0.25">
      <c r="A2" s="403" t="s">
        <v>309</v>
      </c>
      <c r="J2" s="404" t="s">
        <v>275</v>
      </c>
      <c r="L2">
        <v>1</v>
      </c>
      <c r="M2" t="s">
        <v>312</v>
      </c>
    </row>
    <row r="3" spans="1:13" ht="15.75" x14ac:dyDescent="0.25">
      <c r="A3" s="403" t="s">
        <v>276</v>
      </c>
      <c r="J3" s="404" t="s">
        <v>277</v>
      </c>
      <c r="L3">
        <v>2</v>
      </c>
      <c r="M3" t="s">
        <v>313</v>
      </c>
    </row>
    <row r="4" spans="1:13" ht="18.75" x14ac:dyDescent="0.3">
      <c r="A4" s="405" t="s">
        <v>310</v>
      </c>
      <c r="L4">
        <v>3</v>
      </c>
      <c r="M4" t="s">
        <v>314</v>
      </c>
    </row>
    <row r="5" spans="1:13" ht="15.75" x14ac:dyDescent="0.25">
      <c r="A5" s="402"/>
      <c r="L5">
        <v>4</v>
      </c>
      <c r="M5" t="s">
        <v>315</v>
      </c>
    </row>
    <row r="6" spans="1:13" ht="15.75" x14ac:dyDescent="0.25">
      <c r="A6" s="406" t="s">
        <v>311</v>
      </c>
      <c r="L6">
        <v>5</v>
      </c>
      <c r="M6" t="s">
        <v>316</v>
      </c>
    </row>
    <row r="7" spans="1:13" ht="15.75" x14ac:dyDescent="0.25">
      <c r="A7" s="406" t="s">
        <v>278</v>
      </c>
      <c r="L7">
        <v>6</v>
      </c>
      <c r="M7" t="s">
        <v>317</v>
      </c>
    </row>
    <row r="8" spans="1:13" ht="15.75" x14ac:dyDescent="0.25">
      <c r="A8" s="402" t="s">
        <v>279</v>
      </c>
      <c r="L8">
        <v>7</v>
      </c>
      <c r="M8" t="s">
        <v>318</v>
      </c>
    </row>
    <row r="9" spans="1:13" ht="15.6" customHeight="1" x14ac:dyDescent="0.25">
      <c r="A9" s="402" t="s">
        <v>280</v>
      </c>
      <c r="I9" s="781">
        <f>Дата_расчета</f>
        <v>0</v>
      </c>
      <c r="J9" s="781"/>
      <c r="L9">
        <v>8</v>
      </c>
      <c r="M9" t="s">
        <v>319</v>
      </c>
    </row>
    <row r="10" spans="1:13" ht="16.5" x14ac:dyDescent="0.25">
      <c r="A10" s="407"/>
      <c r="L10">
        <v>9</v>
      </c>
      <c r="M10" t="s">
        <v>320</v>
      </c>
    </row>
    <row r="11" spans="1:13" ht="16.5" x14ac:dyDescent="0.25">
      <c r="A11" s="407"/>
      <c r="L11">
        <v>10</v>
      </c>
      <c r="M11" t="s">
        <v>321</v>
      </c>
    </row>
    <row r="12" spans="1:13" ht="18.75" x14ac:dyDescent="0.3">
      <c r="A12" s="784" t="s">
        <v>281</v>
      </c>
      <c r="B12" s="784"/>
      <c r="C12" s="784"/>
      <c r="D12" s="784"/>
      <c r="E12" s="784"/>
      <c r="F12" s="784"/>
      <c r="G12" s="784"/>
      <c r="H12" s="784"/>
      <c r="I12" s="784"/>
      <c r="J12" s="784"/>
      <c r="L12">
        <v>11</v>
      </c>
      <c r="M12" t="s">
        <v>322</v>
      </c>
    </row>
    <row r="13" spans="1:13" ht="18.75" x14ac:dyDescent="0.3">
      <c r="A13" s="784" t="s">
        <v>496</v>
      </c>
      <c r="B13" s="784"/>
      <c r="C13" s="784"/>
      <c r="D13" s="784"/>
      <c r="E13" s="784"/>
      <c r="F13" s="784"/>
      <c r="G13" s="784"/>
      <c r="H13" s="784"/>
      <c r="I13" s="784"/>
      <c r="J13" s="784"/>
      <c r="L13">
        <v>12</v>
      </c>
      <c r="M13" t="s">
        <v>323</v>
      </c>
    </row>
    <row r="14" spans="1:13" ht="18.75" x14ac:dyDescent="0.3">
      <c r="A14" s="784" t="str">
        <f>CONCATENATE("по цене изготовления печатной платы ",Наименование_платы)</f>
        <v>по цене изготовления печатной платы Децимальный номер платы</v>
      </c>
      <c r="B14" s="784"/>
      <c r="C14" s="784"/>
      <c r="D14" s="784"/>
      <c r="E14" s="784"/>
      <c r="F14" s="784"/>
      <c r="G14" s="784"/>
      <c r="H14" s="784"/>
      <c r="I14" s="784"/>
      <c r="J14" s="784"/>
      <c r="L14">
        <f>MONTH(I9)</f>
        <v>1</v>
      </c>
      <c r="M14" t="str">
        <f>VLOOKUP(L14,L2:M13,2)</f>
        <v>января</v>
      </c>
    </row>
    <row r="15" spans="1:13" ht="15.75" x14ac:dyDescent="0.25">
      <c r="A15" s="408"/>
    </row>
    <row r="16" spans="1:13" ht="15.75" x14ac:dyDescent="0.25">
      <c r="A16" s="785" t="str">
        <f>CONCATENATE("Составлено «",DAY(I9),"» ",M14," ",YEAR(I9)," года.")</f>
        <v>Составлено «0» января 1900 года.</v>
      </c>
      <c r="B16" s="785"/>
      <c r="C16" s="785"/>
      <c r="D16" s="785"/>
      <c r="E16" s="785"/>
      <c r="F16" s="785"/>
      <c r="G16" s="785"/>
      <c r="H16" s="785"/>
      <c r="I16" s="785"/>
      <c r="J16" s="785"/>
    </row>
    <row r="17" spans="1:11" ht="15.75" x14ac:dyDescent="0.25">
      <c r="A17" s="408"/>
    </row>
    <row r="18" spans="1:11" ht="15.75" x14ac:dyDescent="0.25">
      <c r="A18" s="408"/>
    </row>
    <row r="19" spans="1:11" ht="18.75" x14ac:dyDescent="0.3">
      <c r="A19" s="784" t="s">
        <v>282</v>
      </c>
      <c r="B19" s="784"/>
      <c r="C19" s="784"/>
      <c r="D19" s="784"/>
      <c r="E19" s="784"/>
      <c r="F19" s="784"/>
      <c r="G19" s="784"/>
      <c r="H19" s="784"/>
      <c r="I19" s="784"/>
      <c r="J19" s="784"/>
    </row>
    <row r="20" spans="1:11" ht="35.450000000000003" customHeight="1" x14ac:dyDescent="0.3">
      <c r="A20" s="786" t="str">
        <f>CONCATENATE("1.1. Предмет поставки (работ, услуг): Изготовление и поставка печатных плат ",Наименование_платы, ". В кол-ве ", П, " шт.")</f>
        <v>1.1. Предмет поставки (работ, услуг): Изготовление и поставка печатных плат Децимальный номер платы. В кол-ве 145 шт.</v>
      </c>
      <c r="B20" s="786"/>
      <c r="C20" s="786"/>
      <c r="D20" s="786"/>
      <c r="E20" s="786"/>
      <c r="F20" s="786"/>
      <c r="G20" s="786"/>
      <c r="H20" s="786"/>
      <c r="I20" s="786"/>
      <c r="J20" s="786"/>
    </row>
    <row r="21" spans="1:11" ht="18.75" x14ac:dyDescent="0.3">
      <c r="A21" s="782" t="str">
        <f>CONCATENATE("1.2. Заказчик работы: ",Заказчик)</f>
        <v>1.2. Заказчик работы: Заказчик</v>
      </c>
      <c r="B21" s="782"/>
      <c r="C21" s="782"/>
      <c r="D21" s="782"/>
      <c r="E21" s="782"/>
      <c r="F21" s="782"/>
      <c r="G21" s="782"/>
      <c r="H21" s="782"/>
      <c r="I21" s="782"/>
      <c r="J21" s="782"/>
    </row>
    <row r="22" spans="1:11" ht="18.75" x14ac:dyDescent="0.3">
      <c r="A22" s="782" t="s">
        <v>283</v>
      </c>
      <c r="B22" s="782"/>
      <c r="C22" s="782"/>
      <c r="D22" s="782"/>
      <c r="E22" s="782"/>
      <c r="F22" s="782"/>
      <c r="G22" s="782"/>
      <c r="H22" s="782"/>
      <c r="I22" s="782"/>
      <c r="J22" s="782"/>
    </row>
    <row r="23" spans="1:11" s="266" customFormat="1" ht="19.899999999999999" customHeight="1" x14ac:dyDescent="0.2">
      <c r="A23" s="783" t="s">
        <v>284</v>
      </c>
      <c r="B23" s="783"/>
      <c r="C23" s="783"/>
      <c r="D23" s="783"/>
      <c r="E23" s="783"/>
      <c r="F23" s="783"/>
      <c r="G23" s="783"/>
      <c r="H23" s="783"/>
      <c r="I23" s="783"/>
      <c r="J23" s="783"/>
      <c r="K23" s="409"/>
    </row>
    <row r="24" spans="1:11" s="266" customFormat="1" ht="19.899999999999999" customHeight="1" x14ac:dyDescent="0.2">
      <c r="A24" s="787" t="s">
        <v>285</v>
      </c>
      <c r="B24" s="787"/>
      <c r="C24" s="787"/>
      <c r="D24" s="787"/>
      <c r="E24" s="787"/>
      <c r="F24" s="787"/>
      <c r="G24" s="787"/>
      <c r="H24" s="787"/>
      <c r="I24" s="787"/>
      <c r="J24" s="787"/>
      <c r="K24" s="409"/>
    </row>
    <row r="25" spans="1:11" s="266" customFormat="1" ht="19.899999999999999" customHeight="1" x14ac:dyDescent="0.2">
      <c r="A25" s="787" t="s">
        <v>286</v>
      </c>
      <c r="B25" s="787"/>
      <c r="C25" s="787"/>
      <c r="D25" s="787"/>
      <c r="E25" s="787"/>
      <c r="F25" s="787"/>
      <c r="G25" s="787"/>
      <c r="H25" s="787"/>
      <c r="I25" s="787"/>
      <c r="J25" s="787"/>
      <c r="K25" s="409"/>
    </row>
    <row r="26" spans="1:11" ht="18.75" x14ac:dyDescent="0.3">
      <c r="A26" s="782" t="s">
        <v>287</v>
      </c>
      <c r="B26" s="782"/>
      <c r="C26" s="782"/>
      <c r="D26" s="782"/>
      <c r="E26" s="782"/>
      <c r="F26" s="782"/>
      <c r="G26" s="782"/>
      <c r="H26" s="782"/>
      <c r="I26" s="782"/>
      <c r="J26" s="782"/>
    </row>
    <row r="27" spans="1:11" ht="35.450000000000003" customHeight="1" x14ac:dyDescent="0.3">
      <c r="A27" s="786" t="s">
        <v>288</v>
      </c>
      <c r="B27" s="786"/>
      <c r="C27" s="786"/>
      <c r="D27" s="786"/>
      <c r="E27" s="786"/>
      <c r="F27" s="786"/>
      <c r="G27" s="786"/>
      <c r="H27" s="786"/>
      <c r="I27" s="786"/>
      <c r="J27" s="786"/>
    </row>
    <row r="28" spans="1:11" ht="18.75" x14ac:dyDescent="0.3">
      <c r="A28" s="780" t="s">
        <v>289</v>
      </c>
      <c r="B28" s="780"/>
      <c r="C28" s="780"/>
      <c r="D28" s="780"/>
      <c r="E28" s="780"/>
      <c r="F28" s="780"/>
      <c r="G28" s="780"/>
      <c r="H28" s="780"/>
      <c r="I28" s="780"/>
      <c r="J28" s="780"/>
    </row>
    <row r="29" spans="1:11" ht="18.75" x14ac:dyDescent="0.3">
      <c r="A29" s="780" t="str">
        <f>CONCATENATE("1.6.2. Гарантийное письмо (заявка) ",Номер_письма)</f>
        <v>1.6.2. Гарантийное письмо (заявка) Номер заказа от дата</v>
      </c>
      <c r="B29" s="780"/>
      <c r="C29" s="780"/>
      <c r="D29" s="780"/>
      <c r="E29" s="780"/>
      <c r="F29" s="780"/>
      <c r="G29" s="780"/>
      <c r="H29" s="780"/>
      <c r="I29" s="780"/>
      <c r="J29" s="780"/>
    </row>
    <row r="30" spans="1:11" ht="36.6" customHeight="1" x14ac:dyDescent="0.2">
      <c r="A30" s="788" t="str">
        <f>CONCATENATE("1.6.3. Расчет стоимости изготовления печатных плат ",,Наименование_платы,". В кол-ве ",П," шт. с расшифровками по материальным и трудовым затратам.")</f>
        <v>1.6.3. Расчет стоимости изготовления печатных плат Децимальный номер платы. В кол-ве 145 шт. с расшифровками по материальным и трудовым затратам.</v>
      </c>
      <c r="B30" s="788"/>
      <c r="C30" s="788"/>
      <c r="D30" s="788"/>
      <c r="E30" s="788"/>
      <c r="F30" s="788"/>
      <c r="G30" s="788"/>
      <c r="H30" s="788"/>
      <c r="I30" s="788"/>
      <c r="J30" s="788"/>
    </row>
    <row r="31" spans="1:11" ht="18.75" x14ac:dyDescent="0.3">
      <c r="A31" s="410"/>
    </row>
    <row r="32" spans="1:11" ht="18.75" x14ac:dyDescent="0.3">
      <c r="A32" s="784" t="s">
        <v>290</v>
      </c>
      <c r="B32" s="784"/>
      <c r="C32" s="784"/>
      <c r="D32" s="784"/>
      <c r="E32" s="784"/>
      <c r="F32" s="784"/>
      <c r="G32" s="784"/>
      <c r="H32" s="784"/>
      <c r="I32" s="784"/>
      <c r="J32" s="784"/>
    </row>
    <row r="33" spans="1:10" ht="18.75" x14ac:dyDescent="0.3">
      <c r="A33" s="782" t="s">
        <v>291</v>
      </c>
      <c r="B33" s="782"/>
      <c r="C33" s="782"/>
      <c r="D33" s="782"/>
      <c r="E33" s="782"/>
      <c r="F33" s="782"/>
      <c r="G33" s="782"/>
      <c r="H33" s="782"/>
      <c r="I33" s="782"/>
      <c r="J33" s="782"/>
    </row>
    <row r="34" spans="1:10" ht="18.75" x14ac:dyDescent="0.3">
      <c r="A34" s="782" t="s">
        <v>292</v>
      </c>
      <c r="B34" s="782"/>
      <c r="C34" s="782"/>
      <c r="D34" s="782"/>
      <c r="E34" s="782"/>
      <c r="F34" s="782"/>
      <c r="G34" s="782"/>
      <c r="H34" s="782"/>
      <c r="I34" s="782"/>
      <c r="J34" s="782"/>
    </row>
    <row r="35" spans="1:10" ht="18.75" x14ac:dyDescent="0.3">
      <c r="A35" s="780" t="s">
        <v>293</v>
      </c>
      <c r="B35" s="780"/>
      <c r="C35" s="780"/>
      <c r="D35" s="780"/>
      <c r="E35" s="780"/>
      <c r="F35" s="780"/>
      <c r="G35" s="780"/>
      <c r="H35" s="780"/>
      <c r="I35" s="780"/>
      <c r="J35" s="780"/>
    </row>
    <row r="36" spans="1:10" ht="43.15" customHeight="1" x14ac:dyDescent="0.2">
      <c r="A36" s="789" t="s">
        <v>294</v>
      </c>
      <c r="B36" s="789"/>
      <c r="C36" s="789"/>
      <c r="D36" s="789"/>
      <c r="E36" s="789"/>
      <c r="F36" s="789"/>
      <c r="G36" s="789"/>
      <c r="H36" s="789"/>
      <c r="I36" s="789"/>
      <c r="J36" s="789"/>
    </row>
    <row r="37" spans="1:10" ht="85.15" customHeight="1" x14ac:dyDescent="0.2">
      <c r="A37" s="788" t="str">
        <f>CONCATENATE("Исходные данные о технологической трудоемкости изготовления печатных плат, размере затрат на материалы и цене печатных плат, поставляемых в рамках кооперации и включенных в цену по статье (ПКИ) позволяют определить цену печатных плат на ",YEAR(I9),"  г. (при заказе такого же количества печатных плат)")</f>
        <v>Исходные данные о технологической трудоемкости изготовления печатных плат, размере затрат на материалы и цене печатных плат, поставляемых в рамках кооперации и включенных в цену по статье (ПКИ) позволяют определить цену печатных плат на 1900  г. (при заказе такого же количества печатных плат)</v>
      </c>
      <c r="B37" s="788"/>
      <c r="C37" s="788"/>
      <c r="D37" s="788"/>
      <c r="E37" s="788"/>
      <c r="F37" s="788"/>
      <c r="G37" s="788"/>
      <c r="H37" s="788"/>
      <c r="I37" s="788"/>
      <c r="J37" s="788"/>
    </row>
    <row r="38" spans="1:10" ht="42" customHeight="1" x14ac:dyDescent="0.2">
      <c r="A38" s="789" t="s">
        <v>295</v>
      </c>
      <c r="B38" s="789"/>
      <c r="C38" s="789"/>
      <c r="D38" s="789"/>
      <c r="E38" s="789"/>
      <c r="F38" s="789"/>
      <c r="G38" s="789"/>
      <c r="H38" s="789"/>
      <c r="I38" s="789"/>
      <c r="J38" s="789"/>
    </row>
    <row r="39" spans="1:10" ht="64.900000000000006" customHeight="1" x14ac:dyDescent="0.2">
      <c r="A39" s="788" t="s">
        <v>526</v>
      </c>
      <c r="B39" s="788"/>
      <c r="C39" s="788"/>
      <c r="D39" s="788"/>
      <c r="E39" s="788"/>
      <c r="F39" s="788"/>
      <c r="G39" s="788"/>
      <c r="H39" s="788"/>
      <c r="I39" s="788"/>
      <c r="J39" s="788"/>
    </row>
    <row r="40" spans="1:10" ht="73.150000000000006" customHeight="1" x14ac:dyDescent="0.2">
      <c r="A40" s="788" t="str">
        <f>CONCATENATE("Стоимость нормо/часа работников ОЗ в 2011 г. – ",ФОТнч," руб., отчисления на социальные нужды – 36,4 % к ФОТ, уровень накладных расходов к ФОТ – 120,52%, уровень рентабельности – до 10,0 %  к себестоимости.")</f>
        <v>Стоимость нормо/часа работников ОЗ в 2011 г. – 242.67 руб., отчисления на социальные нужды – 36,4 % к ФОТ, уровень накладных расходов к ФОТ – 120,52%, уровень рентабельности – до 10,0 %  к себестоимости.</v>
      </c>
      <c r="B40" s="788"/>
      <c r="C40" s="788"/>
      <c r="D40" s="788"/>
      <c r="E40" s="788"/>
      <c r="F40" s="788"/>
      <c r="G40" s="788"/>
      <c r="H40" s="788"/>
      <c r="I40" s="788"/>
      <c r="J40" s="788"/>
    </row>
    <row r="41" spans="1:10" ht="60" customHeight="1" x14ac:dyDescent="0.2">
      <c r="A41" s="789" t="s">
        <v>296</v>
      </c>
      <c r="B41" s="789"/>
      <c r="C41" s="789"/>
      <c r="D41" s="789"/>
      <c r="E41" s="789"/>
      <c r="F41" s="789"/>
      <c r="G41" s="789"/>
      <c r="H41" s="789"/>
      <c r="I41" s="789"/>
      <c r="J41" s="789"/>
    </row>
    <row r="42" spans="1:10" ht="78" customHeight="1" x14ac:dyDescent="0.2">
      <c r="A42" s="788" t="s">
        <v>297</v>
      </c>
      <c r="B42" s="788"/>
      <c r="C42" s="788"/>
      <c r="D42" s="788"/>
      <c r="E42" s="788"/>
      <c r="F42" s="788"/>
      <c r="G42" s="788"/>
      <c r="H42" s="788"/>
      <c r="I42" s="788"/>
      <c r="J42" s="788"/>
    </row>
    <row r="43" spans="1:10" ht="60.6" customHeight="1" x14ac:dyDescent="0.2">
      <c r="A43" s="789" t="s">
        <v>298</v>
      </c>
      <c r="B43" s="789"/>
      <c r="C43" s="789"/>
      <c r="D43" s="789"/>
      <c r="E43" s="789"/>
      <c r="F43" s="789"/>
      <c r="G43" s="789"/>
      <c r="H43" s="789"/>
      <c r="I43" s="789"/>
      <c r="J43" s="789"/>
    </row>
    <row r="44" spans="1:10" ht="57.6" customHeight="1" x14ac:dyDescent="0.3">
      <c r="A44" s="791" t="s">
        <v>299</v>
      </c>
      <c r="B44" s="791"/>
      <c r="C44" s="791"/>
      <c r="D44" s="791"/>
      <c r="E44" s="791"/>
      <c r="F44" s="791"/>
      <c r="G44" s="791"/>
      <c r="H44" s="791"/>
      <c r="I44" s="791"/>
      <c r="J44" s="791"/>
    </row>
    <row r="45" spans="1:10" ht="42.6" customHeight="1" x14ac:dyDescent="0.2">
      <c r="A45" s="789" t="s">
        <v>300</v>
      </c>
      <c r="B45" s="789"/>
      <c r="C45" s="789"/>
      <c r="D45" s="789"/>
      <c r="E45" s="789"/>
      <c r="F45" s="789"/>
      <c r="G45" s="789"/>
      <c r="H45" s="789"/>
      <c r="I45" s="789"/>
      <c r="J45" s="789"/>
    </row>
    <row r="46" spans="1:10" ht="44.45" customHeight="1" x14ac:dyDescent="0.2">
      <c r="A46" s="788" t="s">
        <v>301</v>
      </c>
      <c r="B46" s="788"/>
      <c r="C46" s="788"/>
      <c r="D46" s="788"/>
      <c r="E46" s="788"/>
      <c r="F46" s="788"/>
      <c r="G46" s="788"/>
      <c r="H46" s="788"/>
      <c r="I46" s="788"/>
      <c r="J46" s="788"/>
    </row>
    <row r="47" spans="1:10" ht="39" customHeight="1" x14ac:dyDescent="0.2">
      <c r="A47" s="788" t="s">
        <v>302</v>
      </c>
      <c r="B47" s="788"/>
      <c r="C47" s="788"/>
      <c r="D47" s="788"/>
      <c r="E47" s="788"/>
      <c r="F47" s="788"/>
      <c r="G47" s="788"/>
      <c r="H47" s="788"/>
      <c r="I47" s="788"/>
      <c r="J47" s="788"/>
    </row>
    <row r="48" spans="1:10" ht="18.75" x14ac:dyDescent="0.3">
      <c r="A48" s="784" t="s">
        <v>303</v>
      </c>
      <c r="B48" s="784"/>
      <c r="C48" s="784"/>
      <c r="D48" s="784"/>
      <c r="E48" s="784"/>
      <c r="F48" s="784"/>
      <c r="G48" s="784"/>
      <c r="H48" s="784"/>
      <c r="I48" s="784"/>
      <c r="J48" s="784"/>
    </row>
    <row r="49" spans="1:10" ht="66" customHeight="1" x14ac:dyDescent="0.2">
      <c r="A49" s="788" t="str">
        <f>CONCATENATE("3.1. Учитывая вышеизложенное, 310 ВП МО РФ предлагает согласовать цену изготовления печатных плат ",Наименование_платы, ". в кол-ве ", П, " шт. поставляемых по договору №                      от             20    г.")</f>
        <v>3.1. Учитывая вышеизложенное, 310 ВП МО РФ предлагает согласовать цену изготовления печатных плат Децимальный номер платы. в кол-ве 145 шт. поставляемых по договору №                      от             20    г.</v>
      </c>
      <c r="B49" s="788"/>
      <c r="C49" s="788"/>
      <c r="D49" s="788"/>
      <c r="E49" s="788"/>
      <c r="F49" s="788"/>
      <c r="G49" s="788"/>
      <c r="H49" s="788"/>
      <c r="I49" s="788"/>
      <c r="J49" s="788"/>
    </row>
    <row r="50" spans="1:10" ht="18.75" x14ac:dyDescent="0.3">
      <c r="A50" s="411"/>
    </row>
    <row r="51" spans="1:10" ht="35.450000000000003" customHeight="1" x14ac:dyDescent="0.2">
      <c r="A51" s="790" t="s">
        <v>50</v>
      </c>
      <c r="B51" s="790"/>
      <c r="C51" s="790" t="s">
        <v>304</v>
      </c>
      <c r="D51" s="790"/>
      <c r="E51" s="790" t="s">
        <v>305</v>
      </c>
      <c r="F51" s="790"/>
      <c r="G51" s="790" t="s">
        <v>306</v>
      </c>
      <c r="H51" s="790"/>
      <c r="I51" s="790" t="s">
        <v>307</v>
      </c>
      <c r="J51" s="790"/>
    </row>
    <row r="52" spans="1:10" ht="18.75" x14ac:dyDescent="0.2">
      <c r="A52" s="790">
        <v>1</v>
      </c>
      <c r="B52" s="790"/>
      <c r="C52" s="790" t="str">
        <f>Наименование_платы</f>
        <v>Децимальный номер платы</v>
      </c>
      <c r="D52" s="790"/>
      <c r="E52" s="790">
        <f>П</f>
        <v>145</v>
      </c>
      <c r="F52" s="790"/>
      <c r="G52" s="793">
        <f ca="1">Цена_одной_без_НДС</f>
        <v>3067</v>
      </c>
      <c r="H52" s="793"/>
      <c r="I52" s="792">
        <f ca="1">Итого_сумма</f>
        <v>444580</v>
      </c>
      <c r="J52" s="792"/>
    </row>
    <row r="53" spans="1:10" ht="18.75" x14ac:dyDescent="0.3">
      <c r="A53" s="410"/>
    </row>
    <row r="54" spans="1:10" ht="18.75" x14ac:dyDescent="0.3">
      <c r="A54" s="410"/>
    </row>
    <row r="55" spans="1:10" ht="18.75" x14ac:dyDescent="0.3">
      <c r="A55" s="410"/>
    </row>
    <row r="56" spans="1:10" ht="19.5" thickBot="1" x14ac:dyDescent="0.35">
      <c r="A56" s="780" t="s">
        <v>525</v>
      </c>
      <c r="B56" s="780"/>
      <c r="C56" s="780"/>
      <c r="D56" s="780"/>
      <c r="E56" s="780"/>
      <c r="H56" s="412"/>
      <c r="I56" s="412"/>
      <c r="J56" s="412"/>
    </row>
    <row r="57" spans="1:10" ht="18.75" x14ac:dyDescent="0.3">
      <c r="A57" s="410"/>
    </row>
    <row r="58" spans="1:10" ht="18.75" x14ac:dyDescent="0.3">
      <c r="A58" s="410"/>
    </row>
    <row r="59" spans="1:10" ht="18.75" x14ac:dyDescent="0.3">
      <c r="A59" s="413" t="s">
        <v>308</v>
      </c>
    </row>
    <row r="60" spans="1:10" ht="18.75" x14ac:dyDescent="0.3">
      <c r="A60" s="410"/>
    </row>
    <row r="61" spans="1:10" ht="15.75" x14ac:dyDescent="0.25">
      <c r="A61" s="408"/>
    </row>
    <row r="62" spans="1:10" ht="16.5" x14ac:dyDescent="0.25">
      <c r="A62" s="407" t="s">
        <v>118</v>
      </c>
    </row>
    <row r="63" spans="1:10" ht="16.5" x14ac:dyDescent="0.25">
      <c r="A63" s="407"/>
    </row>
  </sheetData>
  <mergeCells count="46">
    <mergeCell ref="A52:B52"/>
    <mergeCell ref="A56:E56"/>
    <mergeCell ref="I51:J51"/>
    <mergeCell ref="I52:J52"/>
    <mergeCell ref="G51:H51"/>
    <mergeCell ref="G52:H52"/>
    <mergeCell ref="E51:F51"/>
    <mergeCell ref="E52:F52"/>
    <mergeCell ref="C51:D51"/>
    <mergeCell ref="C52:D52"/>
    <mergeCell ref="A43:J43"/>
    <mergeCell ref="A51:B51"/>
    <mergeCell ref="A44:J44"/>
    <mergeCell ref="A45:J45"/>
    <mergeCell ref="A46:J46"/>
    <mergeCell ref="A47:J47"/>
    <mergeCell ref="A48:J48"/>
    <mergeCell ref="A49:J49"/>
    <mergeCell ref="A29:J29"/>
    <mergeCell ref="A42:J42"/>
    <mergeCell ref="A30:J30"/>
    <mergeCell ref="A32:J32"/>
    <mergeCell ref="A33:J33"/>
    <mergeCell ref="A34:J34"/>
    <mergeCell ref="A38:J38"/>
    <mergeCell ref="A39:J39"/>
    <mergeCell ref="A40:J40"/>
    <mergeCell ref="A35:J35"/>
    <mergeCell ref="A36:J36"/>
    <mergeCell ref="A37:J37"/>
    <mergeCell ref="A41:J41"/>
    <mergeCell ref="A28:J28"/>
    <mergeCell ref="I9:J9"/>
    <mergeCell ref="A21:J21"/>
    <mergeCell ref="A22:J22"/>
    <mergeCell ref="A23:J23"/>
    <mergeCell ref="A12:J12"/>
    <mergeCell ref="A13:J13"/>
    <mergeCell ref="A14:J14"/>
    <mergeCell ref="A16:J16"/>
    <mergeCell ref="A19:J19"/>
    <mergeCell ref="A20:J20"/>
    <mergeCell ref="A24:J24"/>
    <mergeCell ref="A25:J25"/>
    <mergeCell ref="A26:J26"/>
    <mergeCell ref="A27:J27"/>
  </mergeCells>
  <phoneticPr fontId="7" type="noConversion"/>
  <pageMargins left="0.7" right="0.7" top="0.75" bottom="0.75" header="0.3" footer="0.3"/>
  <pageSetup paperSize="9" scale="85" fitToHeight="0" orientation="portrait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K42"/>
  <sheetViews>
    <sheetView topLeftCell="A4" workbookViewId="0">
      <selection activeCell="J42" sqref="J42"/>
    </sheetView>
  </sheetViews>
  <sheetFormatPr defaultRowHeight="12.75" x14ac:dyDescent="0.2"/>
  <cols>
    <col min="1" max="1" width="2.7109375" bestFit="1" customWidth="1"/>
    <col min="2" max="2" width="20.5703125" bestFit="1" customWidth="1"/>
    <col min="3" max="3" width="5.85546875" bestFit="1" customWidth="1"/>
    <col min="4" max="5" width="6.140625" bestFit="1" customWidth="1"/>
    <col min="6" max="6" width="11.42578125" bestFit="1" customWidth="1"/>
    <col min="7" max="7" width="23.7109375" bestFit="1" customWidth="1"/>
    <col min="8" max="8" width="19.7109375" bestFit="1" customWidth="1"/>
    <col min="9" max="9" width="13.28515625" bestFit="1" customWidth="1"/>
    <col min="10" max="10" width="22.42578125" bestFit="1" customWidth="1"/>
    <col min="11" max="11" width="20.42578125" bestFit="1" customWidth="1"/>
  </cols>
  <sheetData>
    <row r="1" spans="1:11" x14ac:dyDescent="0.2">
      <c r="A1" s="53"/>
      <c r="B1" s="755" t="s">
        <v>70</v>
      </c>
      <c r="C1" s="796" t="s">
        <v>440</v>
      </c>
      <c r="D1" s="797"/>
      <c r="E1" s="755" t="s">
        <v>71</v>
      </c>
      <c r="F1" s="755" t="s">
        <v>261</v>
      </c>
      <c r="G1" s="755" t="s">
        <v>437</v>
      </c>
      <c r="H1" s="755" t="s">
        <v>436</v>
      </c>
      <c r="I1" s="794" t="s">
        <v>457</v>
      </c>
      <c r="J1" s="632" t="s">
        <v>556</v>
      </c>
      <c r="K1" s="632" t="s">
        <v>557</v>
      </c>
    </row>
    <row r="2" spans="1:11" ht="33.75" x14ac:dyDescent="0.2">
      <c r="A2" s="53"/>
      <c r="B2" s="756"/>
      <c r="C2" s="448" t="s">
        <v>434</v>
      </c>
      <c r="D2" s="448" t="s">
        <v>435</v>
      </c>
      <c r="E2" s="756"/>
      <c r="F2" s="756"/>
      <c r="G2" s="756"/>
      <c r="H2" s="756"/>
      <c r="I2" s="795"/>
      <c r="J2" s="632"/>
      <c r="K2" s="632"/>
    </row>
    <row r="3" spans="1:11" x14ac:dyDescent="0.2">
      <c r="A3" s="490">
        <v>1</v>
      </c>
      <c r="B3" s="479" t="s">
        <v>458</v>
      </c>
      <c r="C3" s="480">
        <f>IF(FRINT=1,IF(FR=$A3,1.28,0),IF(FRINT=$A3,1.28,0))</f>
        <v>0</v>
      </c>
      <c r="D3" s="480">
        <f t="shared" ref="D3:D41" si="0">IF(FR=$A3,1.28,0)</f>
        <v>0</v>
      </c>
      <c r="E3" s="480">
        <f>(2*IF(ISNUMBER(D3),D3,0)+(Листов_материала-2)*IF(ISNUMBER(C3),C3,0))*(Площадь_заготовок/100)</f>
        <v>0</v>
      </c>
      <c r="F3" s="481" t="s">
        <v>68</v>
      </c>
      <c r="G3" s="482">
        <v>0</v>
      </c>
      <c r="H3" s="484">
        <f t="shared" ref="H3:H24" si="1">E3*G3</f>
        <v>0</v>
      </c>
      <c r="I3" s="483">
        <v>0</v>
      </c>
      <c r="J3" s="53" t="str">
        <f>IF(C3&gt;0,A3,"")</f>
        <v/>
      </c>
      <c r="K3" s="53" t="str">
        <f>IF(D3&gt;0,A3,"")</f>
        <v/>
      </c>
    </row>
    <row r="4" spans="1:11" x14ac:dyDescent="0.2">
      <c r="A4" s="490">
        <v>2</v>
      </c>
      <c r="B4" s="469" t="s">
        <v>454</v>
      </c>
      <c r="C4" s="470">
        <f t="shared" ref="C4:C24" si="2">IF(FRINT=1,IF(FR=A4,1.28,0),IF(FRINT=A4,1.28,0))</f>
        <v>0</v>
      </c>
      <c r="D4" s="470">
        <f t="shared" si="0"/>
        <v>0</v>
      </c>
      <c r="E4" s="467">
        <f t="shared" ref="E4:E24" si="3">(2*IF(ISNUMBER(D4),D4,0)+(Листов_материала-2)*IF(ISNUMBER(C4),C4,0))*(Площадь_заготовок/100)*Квг</f>
        <v>0</v>
      </c>
      <c r="F4" s="471" t="s">
        <v>68</v>
      </c>
      <c r="G4" s="472">
        <f>VLOOKUP(B4,[1]!ПрайсНаМатериалы,3)</f>
        <v>2490</v>
      </c>
      <c r="H4" s="485">
        <f t="shared" si="1"/>
        <v>0</v>
      </c>
      <c r="I4" s="473">
        <v>2</v>
      </c>
      <c r="J4" s="53" t="str">
        <f t="shared" ref="J4:J41" si="4">IF(C4&gt;0,A4,"")</f>
        <v/>
      </c>
      <c r="K4" s="53" t="str">
        <f t="shared" ref="K4:K41" si="5">IF(D4&gt;0,A4,"")</f>
        <v/>
      </c>
    </row>
    <row r="5" spans="1:11" x14ac:dyDescent="0.2">
      <c r="A5" s="490">
        <v>3</v>
      </c>
      <c r="B5" s="460" t="s">
        <v>453</v>
      </c>
      <c r="C5" s="461">
        <f t="shared" si="2"/>
        <v>0</v>
      </c>
      <c r="D5" s="461">
        <f t="shared" si="0"/>
        <v>0</v>
      </c>
      <c r="E5" s="467">
        <f t="shared" si="3"/>
        <v>0</v>
      </c>
      <c r="F5" s="462" t="s">
        <v>68</v>
      </c>
      <c r="G5" s="472">
        <f>VLOOKUP(B5,[1]!ПрайсНаМатериалы,3)</f>
        <v>1980</v>
      </c>
      <c r="H5" s="486">
        <f t="shared" si="1"/>
        <v>0</v>
      </c>
      <c r="I5" s="474">
        <v>2</v>
      </c>
      <c r="J5" s="53" t="str">
        <f t="shared" si="4"/>
        <v/>
      </c>
      <c r="K5" s="53" t="str">
        <f t="shared" si="5"/>
        <v/>
      </c>
    </row>
    <row r="6" spans="1:11" x14ac:dyDescent="0.2">
      <c r="A6" s="490">
        <v>4</v>
      </c>
      <c r="B6" s="460" t="s">
        <v>480</v>
      </c>
      <c r="C6" s="461">
        <f t="shared" si="2"/>
        <v>0</v>
      </c>
      <c r="D6" s="461">
        <f t="shared" si="0"/>
        <v>0</v>
      </c>
      <c r="E6" s="467">
        <f t="shared" si="3"/>
        <v>0</v>
      </c>
      <c r="F6" s="462" t="s">
        <v>68</v>
      </c>
      <c r="G6" s="472">
        <f>VLOOKUP(B6,[1]!ПрайсНаМатериалы,3)</f>
        <v>1995.81</v>
      </c>
      <c r="H6" s="486">
        <f t="shared" si="1"/>
        <v>0</v>
      </c>
      <c r="I6" s="474">
        <v>2</v>
      </c>
      <c r="J6" s="53" t="str">
        <f t="shared" si="4"/>
        <v/>
      </c>
      <c r="K6" s="53" t="str">
        <f t="shared" si="5"/>
        <v/>
      </c>
    </row>
    <row r="7" spans="1:11" x14ac:dyDescent="0.2">
      <c r="A7" s="490">
        <v>5</v>
      </c>
      <c r="B7" s="460" t="s">
        <v>452</v>
      </c>
      <c r="C7" s="461">
        <f t="shared" si="2"/>
        <v>0</v>
      </c>
      <c r="D7" s="461">
        <f t="shared" si="0"/>
        <v>0</v>
      </c>
      <c r="E7" s="467">
        <f t="shared" si="3"/>
        <v>0</v>
      </c>
      <c r="F7" s="462" t="s">
        <v>68</v>
      </c>
      <c r="G7" s="472">
        <f>VLOOKUP(B7,[1]!ПрайсНаМатериалы,3)</f>
        <v>1995.83</v>
      </c>
      <c r="H7" s="486">
        <f t="shared" si="1"/>
        <v>0</v>
      </c>
      <c r="I7" s="474">
        <v>2</v>
      </c>
      <c r="J7" s="53" t="str">
        <f t="shared" si="4"/>
        <v/>
      </c>
      <c r="K7" s="53" t="str">
        <f t="shared" si="5"/>
        <v/>
      </c>
    </row>
    <row r="8" spans="1:11" x14ac:dyDescent="0.2">
      <c r="A8" s="490">
        <v>6</v>
      </c>
      <c r="B8" s="460" t="s">
        <v>624</v>
      </c>
      <c r="C8" s="461">
        <f t="shared" ref="C8" si="6">IF(FRINT=1,IF(FR=A8,1.28,0),IF(FRINT=A8,1.28,0))</f>
        <v>0</v>
      </c>
      <c r="D8" s="461">
        <f t="shared" si="0"/>
        <v>0</v>
      </c>
      <c r="E8" s="467">
        <f t="shared" ref="E8" si="7">(2*IF(ISNUMBER(D8),D8,0)+(Листов_материала-2)*IF(ISNUMBER(C8),C8,0))*(Площадь_заготовок/100)*Квг</f>
        <v>0</v>
      </c>
      <c r="F8" s="462" t="s">
        <v>68</v>
      </c>
      <c r="G8" s="472">
        <f>VLOOKUP(B8,[1]!ПрайсНаМатериалы,3)</f>
        <v>1747.8</v>
      </c>
      <c r="H8" s="486">
        <f t="shared" ref="H8" si="8">E8*G8</f>
        <v>0</v>
      </c>
      <c r="I8" s="474">
        <v>2</v>
      </c>
      <c r="J8" s="53" t="str">
        <f t="shared" si="4"/>
        <v/>
      </c>
      <c r="K8" s="53" t="str">
        <f t="shared" si="5"/>
        <v/>
      </c>
    </row>
    <row r="9" spans="1:11" x14ac:dyDescent="0.2">
      <c r="A9" s="490">
        <v>7</v>
      </c>
      <c r="B9" s="460" t="s">
        <v>451</v>
      </c>
      <c r="C9" s="461">
        <f t="shared" si="2"/>
        <v>0</v>
      </c>
      <c r="D9" s="461">
        <f t="shared" si="0"/>
        <v>0</v>
      </c>
      <c r="E9" s="467">
        <f t="shared" si="3"/>
        <v>0</v>
      </c>
      <c r="F9" s="462" t="s">
        <v>68</v>
      </c>
      <c r="G9" s="472">
        <f>VLOOKUP(B9,[1]!ПрайсНаМатериалы,3)</f>
        <v>2418.69</v>
      </c>
      <c r="H9" s="486">
        <f t="shared" si="1"/>
        <v>0</v>
      </c>
      <c r="I9" s="474">
        <v>2</v>
      </c>
      <c r="J9" s="53" t="str">
        <f t="shared" si="4"/>
        <v/>
      </c>
      <c r="K9" s="53" t="str">
        <f t="shared" si="5"/>
        <v/>
      </c>
    </row>
    <row r="10" spans="1:11" x14ac:dyDescent="0.2">
      <c r="A10" s="490">
        <v>8</v>
      </c>
      <c r="B10" s="460" t="s">
        <v>474</v>
      </c>
      <c r="C10" s="461">
        <f t="shared" si="2"/>
        <v>0</v>
      </c>
      <c r="D10" s="461">
        <f t="shared" si="0"/>
        <v>0</v>
      </c>
      <c r="E10" s="467">
        <f t="shared" si="3"/>
        <v>0</v>
      </c>
      <c r="F10" s="462" t="s">
        <v>68</v>
      </c>
      <c r="G10" s="472">
        <f>VLOOKUP(B10,[1]!ПрайсНаМатериалы,3)</f>
        <v>2187.34</v>
      </c>
      <c r="H10" s="486">
        <f t="shared" si="1"/>
        <v>0</v>
      </c>
      <c r="I10" s="474">
        <v>2</v>
      </c>
      <c r="J10" s="53" t="str">
        <f t="shared" si="4"/>
        <v/>
      </c>
      <c r="K10" s="53" t="str">
        <f t="shared" si="5"/>
        <v/>
      </c>
    </row>
    <row r="11" spans="1:11" x14ac:dyDescent="0.2">
      <c r="A11" s="490">
        <v>9</v>
      </c>
      <c r="B11" s="460" t="s">
        <v>450</v>
      </c>
      <c r="C11" s="461">
        <f t="shared" si="2"/>
        <v>1.28</v>
      </c>
      <c r="D11" s="461">
        <f t="shared" si="0"/>
        <v>1.28</v>
      </c>
      <c r="E11" s="467">
        <f t="shared" si="3"/>
        <v>12.535846400000001</v>
      </c>
      <c r="F11" s="462" t="s">
        <v>68</v>
      </c>
      <c r="G11" s="472">
        <f>VLOOKUP(B11,[1]!ПрайсНаМатериалы,3)</f>
        <v>2671</v>
      </c>
      <c r="H11" s="486">
        <f t="shared" si="1"/>
        <v>33483.245734399999</v>
      </c>
      <c r="I11" s="474">
        <v>2</v>
      </c>
      <c r="J11" s="53">
        <f t="shared" si="4"/>
        <v>9</v>
      </c>
      <c r="K11" s="53">
        <f t="shared" si="5"/>
        <v>9</v>
      </c>
    </row>
    <row r="12" spans="1:11" x14ac:dyDescent="0.2">
      <c r="A12" s="490">
        <v>10</v>
      </c>
      <c r="B12" s="460" t="s">
        <v>492</v>
      </c>
      <c r="C12" s="461">
        <f t="shared" si="2"/>
        <v>0</v>
      </c>
      <c r="D12" s="461">
        <f t="shared" si="0"/>
        <v>0</v>
      </c>
      <c r="E12" s="467">
        <f t="shared" si="3"/>
        <v>0</v>
      </c>
      <c r="F12" s="462" t="s">
        <v>68</v>
      </c>
      <c r="G12" s="472">
        <f>VLOOKUP(B12,[1]!ПрайсНаМатериалы,3)</f>
        <v>1768.51</v>
      </c>
      <c r="H12" s="486">
        <f t="shared" si="1"/>
        <v>0</v>
      </c>
      <c r="I12" s="474">
        <v>2</v>
      </c>
      <c r="J12" s="53" t="str">
        <f t="shared" si="4"/>
        <v/>
      </c>
      <c r="K12" s="53" t="str">
        <f t="shared" si="5"/>
        <v/>
      </c>
    </row>
    <row r="13" spans="1:11" x14ac:dyDescent="0.2">
      <c r="A13" s="490">
        <v>11</v>
      </c>
      <c r="B13" s="460" t="s">
        <v>481</v>
      </c>
      <c r="C13" s="461">
        <f t="shared" si="2"/>
        <v>0</v>
      </c>
      <c r="D13" s="461">
        <f t="shared" si="0"/>
        <v>0</v>
      </c>
      <c r="E13" s="467">
        <f t="shared" si="3"/>
        <v>0</v>
      </c>
      <c r="F13" s="462" t="s">
        <v>68</v>
      </c>
      <c r="G13" s="472">
        <f>VLOOKUP(B13,[1]!ПрайсНаМатериалы,3)</f>
        <v>2827.57</v>
      </c>
      <c r="H13" s="486">
        <f t="shared" si="1"/>
        <v>0</v>
      </c>
      <c r="I13" s="474">
        <v>2</v>
      </c>
      <c r="J13" s="53" t="str">
        <f t="shared" si="4"/>
        <v/>
      </c>
      <c r="K13" s="53" t="str">
        <f t="shared" si="5"/>
        <v/>
      </c>
    </row>
    <row r="14" spans="1:11" x14ac:dyDescent="0.2">
      <c r="A14" s="490">
        <v>12</v>
      </c>
      <c r="B14" s="460" t="s">
        <v>482</v>
      </c>
      <c r="C14" s="461">
        <f t="shared" si="2"/>
        <v>0</v>
      </c>
      <c r="D14" s="461">
        <f t="shared" si="0"/>
        <v>0</v>
      </c>
      <c r="E14" s="467">
        <f t="shared" si="3"/>
        <v>0</v>
      </c>
      <c r="F14" s="462" t="s">
        <v>68</v>
      </c>
      <c r="G14" s="472">
        <f>VLOOKUP(B14,[1]!ПрайсНаМатериалы,3)</f>
        <v>3411.77</v>
      </c>
      <c r="H14" s="486">
        <f t="shared" si="1"/>
        <v>0</v>
      </c>
      <c r="I14" s="474">
        <v>2</v>
      </c>
      <c r="J14" s="53" t="str">
        <f t="shared" si="4"/>
        <v/>
      </c>
      <c r="K14" s="53" t="str">
        <f t="shared" si="5"/>
        <v/>
      </c>
    </row>
    <row r="15" spans="1:11" x14ac:dyDescent="0.2">
      <c r="A15" s="490">
        <v>13</v>
      </c>
      <c r="B15" s="460" t="s">
        <v>449</v>
      </c>
      <c r="C15" s="461">
        <f t="shared" si="2"/>
        <v>0</v>
      </c>
      <c r="D15" s="461">
        <f t="shared" si="0"/>
        <v>0</v>
      </c>
      <c r="E15" s="467">
        <f t="shared" si="3"/>
        <v>0</v>
      </c>
      <c r="F15" s="462" t="s">
        <v>68</v>
      </c>
      <c r="G15" s="472">
        <f>VLOOKUP(B15,[1]!ПрайсНаМатериалы,3)</f>
        <v>2052.21</v>
      </c>
      <c r="H15" s="486">
        <f t="shared" si="1"/>
        <v>0</v>
      </c>
      <c r="I15" s="474">
        <v>2</v>
      </c>
      <c r="J15" s="53" t="str">
        <f t="shared" si="4"/>
        <v/>
      </c>
      <c r="K15" s="53" t="str">
        <f t="shared" si="5"/>
        <v/>
      </c>
    </row>
    <row r="16" spans="1:11" x14ac:dyDescent="0.2">
      <c r="A16" s="490">
        <v>14</v>
      </c>
      <c r="B16" s="460" t="s">
        <v>448</v>
      </c>
      <c r="C16" s="461">
        <f t="shared" si="2"/>
        <v>0</v>
      </c>
      <c r="D16" s="461">
        <f t="shared" si="0"/>
        <v>0</v>
      </c>
      <c r="E16" s="467">
        <f t="shared" si="3"/>
        <v>0</v>
      </c>
      <c r="F16" s="462" t="s">
        <v>68</v>
      </c>
      <c r="G16" s="472" t="str">
        <f>VLOOKUP(B16,[1]!ПрайсНаМатериалы,3)</f>
        <v>2113.23</v>
      </c>
      <c r="H16" s="486">
        <f t="shared" si="1"/>
        <v>0</v>
      </c>
      <c r="I16" s="474">
        <v>2</v>
      </c>
      <c r="J16" s="53" t="str">
        <f t="shared" si="4"/>
        <v/>
      </c>
      <c r="K16" s="53" t="str">
        <f t="shared" si="5"/>
        <v/>
      </c>
    </row>
    <row r="17" spans="1:11" x14ac:dyDescent="0.2">
      <c r="A17" s="490">
        <v>15</v>
      </c>
      <c r="B17" s="460" t="s">
        <v>469</v>
      </c>
      <c r="C17" s="461">
        <f t="shared" si="2"/>
        <v>0</v>
      </c>
      <c r="D17" s="461">
        <f t="shared" si="0"/>
        <v>0</v>
      </c>
      <c r="E17" s="467">
        <f t="shared" si="3"/>
        <v>0</v>
      </c>
      <c r="F17" s="462" t="s">
        <v>68</v>
      </c>
      <c r="G17" s="472">
        <f>VLOOKUP(B17,[1]!ПрайсНаМатериалы,3)</f>
        <v>2287</v>
      </c>
      <c r="H17" s="486">
        <f t="shared" si="1"/>
        <v>0</v>
      </c>
      <c r="I17" s="474">
        <v>2</v>
      </c>
      <c r="J17" s="53" t="str">
        <f t="shared" si="4"/>
        <v/>
      </c>
      <c r="K17" s="53" t="str">
        <f t="shared" si="5"/>
        <v/>
      </c>
    </row>
    <row r="18" spans="1:11" x14ac:dyDescent="0.2">
      <c r="A18" s="490">
        <v>16</v>
      </c>
      <c r="B18" s="460" t="s">
        <v>400</v>
      </c>
      <c r="C18" s="461">
        <f t="shared" si="2"/>
        <v>0</v>
      </c>
      <c r="D18" s="461">
        <f t="shared" si="0"/>
        <v>0</v>
      </c>
      <c r="E18" s="467">
        <f t="shared" si="3"/>
        <v>0</v>
      </c>
      <c r="F18" s="462" t="s">
        <v>68</v>
      </c>
      <c r="G18" s="472">
        <f>VLOOKUP(B18,[1]!ПрайсНаМатериалы,3)</f>
        <v>2149</v>
      </c>
      <c r="H18" s="486">
        <f t="shared" si="1"/>
        <v>0</v>
      </c>
      <c r="I18" s="474">
        <v>2</v>
      </c>
      <c r="J18" s="53" t="str">
        <f t="shared" si="4"/>
        <v/>
      </c>
      <c r="K18" s="53" t="str">
        <f t="shared" si="5"/>
        <v/>
      </c>
    </row>
    <row r="19" spans="1:11" x14ac:dyDescent="0.2">
      <c r="A19" s="490">
        <v>17</v>
      </c>
      <c r="B19" s="460" t="s">
        <v>473</v>
      </c>
      <c r="C19" s="461">
        <f t="shared" si="2"/>
        <v>0</v>
      </c>
      <c r="D19" s="461">
        <f t="shared" si="0"/>
        <v>0</v>
      </c>
      <c r="E19" s="467">
        <f t="shared" si="3"/>
        <v>0</v>
      </c>
      <c r="F19" s="462" t="s">
        <v>68</v>
      </c>
      <c r="G19" s="472">
        <f>VLOOKUP(B19,[1]!ПрайсНаМатериалы,3)</f>
        <v>2060</v>
      </c>
      <c r="H19" s="486">
        <f t="shared" si="1"/>
        <v>0</v>
      </c>
      <c r="I19" s="474">
        <v>2</v>
      </c>
      <c r="J19" s="53" t="str">
        <f t="shared" si="4"/>
        <v/>
      </c>
      <c r="K19" s="53" t="str">
        <f t="shared" si="5"/>
        <v/>
      </c>
    </row>
    <row r="20" spans="1:11" x14ac:dyDescent="0.2">
      <c r="A20" s="490">
        <v>18</v>
      </c>
      <c r="B20" s="460" t="s">
        <v>460</v>
      </c>
      <c r="C20" s="461">
        <f t="shared" si="2"/>
        <v>0</v>
      </c>
      <c r="D20" s="461">
        <f t="shared" si="0"/>
        <v>0</v>
      </c>
      <c r="E20" s="467">
        <f t="shared" si="3"/>
        <v>0</v>
      </c>
      <c r="F20" s="462" t="s">
        <v>68</v>
      </c>
      <c r="G20" s="472">
        <f>VLOOKUP(B20,[1]!ПрайсНаМатериалы,3)</f>
        <v>3759</v>
      </c>
      <c r="H20" s="486">
        <f t="shared" si="1"/>
        <v>0</v>
      </c>
      <c r="I20" s="474">
        <v>2</v>
      </c>
      <c r="J20" s="53" t="str">
        <f t="shared" si="4"/>
        <v/>
      </c>
      <c r="K20" s="53" t="str">
        <f t="shared" si="5"/>
        <v/>
      </c>
    </row>
    <row r="21" spans="1:11" x14ac:dyDescent="0.2">
      <c r="A21" s="490">
        <v>19</v>
      </c>
      <c r="B21" s="460" t="s">
        <v>581</v>
      </c>
      <c r="C21" s="461">
        <f>IF(FRINT=1,IF(FR=A21,1.28,0),IF(FRINT=A21,1.28,0))</f>
        <v>0</v>
      </c>
      <c r="D21" s="461">
        <f>IF(FR=$A21,1.28,0)</f>
        <v>0</v>
      </c>
      <c r="E21" s="467">
        <f>(2*IF(ISNUMBER(D21),D21,0)+(Листов_материала-2)*IF(ISNUMBER(C21),C21,0))*(Площадь_заготовок/100)*Квг</f>
        <v>0</v>
      </c>
      <c r="F21" s="462" t="s">
        <v>68</v>
      </c>
      <c r="G21" s="472">
        <f>VLOOKUP(B21,[1]!ПрайсНаМатериалы,3)</f>
        <v>1897</v>
      </c>
      <c r="H21" s="486">
        <f>E21*G21</f>
        <v>0</v>
      </c>
      <c r="I21" s="474">
        <v>2</v>
      </c>
      <c r="J21" s="53" t="str">
        <f t="shared" si="4"/>
        <v/>
      </c>
      <c r="K21" s="53" t="str">
        <f t="shared" si="5"/>
        <v/>
      </c>
    </row>
    <row r="22" spans="1:11" x14ac:dyDescent="0.2">
      <c r="A22" s="490">
        <v>20</v>
      </c>
      <c r="B22" s="460" t="s">
        <v>493</v>
      </c>
      <c r="C22" s="461">
        <f t="shared" si="2"/>
        <v>0</v>
      </c>
      <c r="D22" s="461">
        <f>IF(FR=$A22,1.28,0)</f>
        <v>0</v>
      </c>
      <c r="E22" s="467">
        <f t="shared" si="3"/>
        <v>0</v>
      </c>
      <c r="F22" s="462" t="s">
        <v>68</v>
      </c>
      <c r="G22" s="472">
        <f>VLOOKUP(B22,[1]!ПрайсНаМатериалы,3)</f>
        <v>2895</v>
      </c>
      <c r="H22" s="486">
        <f t="shared" si="1"/>
        <v>0</v>
      </c>
      <c r="I22" s="474">
        <v>2</v>
      </c>
      <c r="J22" s="53" t="str">
        <f t="shared" si="4"/>
        <v/>
      </c>
      <c r="K22" s="53" t="str">
        <f t="shared" si="5"/>
        <v/>
      </c>
    </row>
    <row r="23" spans="1:11" x14ac:dyDescent="0.2">
      <c r="A23" s="490">
        <v>21</v>
      </c>
      <c r="B23" s="460" t="s">
        <v>629</v>
      </c>
      <c r="C23" s="461">
        <f t="shared" ref="C23" si="9">IF(FRINT=1,IF(FR=A23,1.28,0),IF(FRINT=A23,1.28,0))</f>
        <v>0</v>
      </c>
      <c r="D23" s="461">
        <f t="shared" si="0"/>
        <v>0</v>
      </c>
      <c r="E23" s="467">
        <f t="shared" ref="E23" si="10">(2*IF(ISNUMBER(D23),D23,0)+(Листов_материала-2)*IF(ISNUMBER(C23),C23,0))*(Площадь_заготовок/100)*Квг</f>
        <v>0</v>
      </c>
      <c r="F23" s="462" t="s">
        <v>68</v>
      </c>
      <c r="G23" s="472">
        <f>VLOOKUP(B23,[1]!ПрайсНаМатериалы,3)</f>
        <v>4828.3</v>
      </c>
      <c r="H23" s="486">
        <f t="shared" ref="H23" si="11">E23*G23</f>
        <v>0</v>
      </c>
      <c r="I23" s="474">
        <v>2</v>
      </c>
      <c r="J23" s="53" t="str">
        <f t="shared" ref="J23" si="12">IF(C23&gt;0,A23,"")</f>
        <v/>
      </c>
      <c r="K23" s="53" t="str">
        <f t="shared" ref="K23" si="13">IF(D23&gt;0,A23,"")</f>
        <v/>
      </c>
    </row>
    <row r="24" spans="1:11" x14ac:dyDescent="0.2">
      <c r="A24" s="490">
        <v>22</v>
      </c>
      <c r="B24" s="460" t="s">
        <v>461</v>
      </c>
      <c r="C24" s="461">
        <f t="shared" si="2"/>
        <v>0</v>
      </c>
      <c r="D24" s="461">
        <f t="shared" si="0"/>
        <v>0</v>
      </c>
      <c r="E24" s="467">
        <f t="shared" si="3"/>
        <v>0</v>
      </c>
      <c r="F24" s="462" t="s">
        <v>68</v>
      </c>
      <c r="G24" s="472">
        <f>VLOOKUP(B24,[1]!ПрайсНаМатериалы,3)</f>
        <v>1969.89</v>
      </c>
      <c r="H24" s="486">
        <f t="shared" si="1"/>
        <v>0</v>
      </c>
      <c r="I24" s="474">
        <v>2</v>
      </c>
      <c r="J24" s="53" t="str">
        <f t="shared" si="4"/>
        <v/>
      </c>
      <c r="K24" s="53" t="str">
        <f t="shared" si="5"/>
        <v/>
      </c>
    </row>
    <row r="25" spans="1:11" x14ac:dyDescent="0.2">
      <c r="A25" s="490">
        <v>23</v>
      </c>
      <c r="B25" s="460" t="s">
        <v>607</v>
      </c>
      <c r="C25" s="461">
        <f t="shared" ref="C25:C41" si="14">IF(FRINT=1,IF(FR=A25,1.28,0),IF(FRINT=A25,1.28,0))</f>
        <v>0</v>
      </c>
      <c r="D25" s="461">
        <f t="shared" si="0"/>
        <v>0</v>
      </c>
      <c r="E25" s="467">
        <f t="shared" ref="E25:E41" si="15">(2*IF(ISNUMBER(D25),D25,0)+(Листов_материала-2)*IF(ISNUMBER(C25),C25,0))*(Площадь_заготовок/100)*Квг</f>
        <v>0</v>
      </c>
      <c r="F25" s="462" t="s">
        <v>68</v>
      </c>
      <c r="G25" s="472">
        <f>VLOOKUP(B25,[1]!ПрайсНаМатериалы,3)</f>
        <v>2807.56</v>
      </c>
      <c r="H25" s="486">
        <f t="shared" ref="H25:H41" si="16">E25*G25</f>
        <v>0</v>
      </c>
      <c r="I25" s="474">
        <v>2</v>
      </c>
      <c r="J25" s="53" t="str">
        <f t="shared" si="4"/>
        <v/>
      </c>
      <c r="K25" s="53" t="str">
        <f t="shared" si="5"/>
        <v/>
      </c>
    </row>
    <row r="26" spans="1:11" x14ac:dyDescent="0.2">
      <c r="A26" s="490">
        <v>24</v>
      </c>
      <c r="B26" s="460" t="s">
        <v>495</v>
      </c>
      <c r="C26" s="461">
        <f t="shared" si="14"/>
        <v>0</v>
      </c>
      <c r="D26" s="461">
        <f t="shared" si="0"/>
        <v>0</v>
      </c>
      <c r="E26" s="467">
        <f t="shared" si="15"/>
        <v>0</v>
      </c>
      <c r="F26" s="462" t="s">
        <v>68</v>
      </c>
      <c r="G26" s="472">
        <f>VLOOKUP(B26,[1]!ПрайсНаМатериалы,3)</f>
        <v>2827.57</v>
      </c>
      <c r="H26" s="486">
        <f t="shared" si="16"/>
        <v>0</v>
      </c>
      <c r="I26" s="474">
        <v>2</v>
      </c>
      <c r="J26" s="53" t="str">
        <f t="shared" si="4"/>
        <v/>
      </c>
      <c r="K26" s="53" t="str">
        <f t="shared" si="5"/>
        <v/>
      </c>
    </row>
    <row r="27" spans="1:11" x14ac:dyDescent="0.2">
      <c r="A27" s="490">
        <v>25</v>
      </c>
      <c r="B27" s="463" t="s">
        <v>399</v>
      </c>
      <c r="C27" s="464">
        <f t="shared" si="14"/>
        <v>0</v>
      </c>
      <c r="D27" s="464">
        <f t="shared" si="0"/>
        <v>0</v>
      </c>
      <c r="E27" s="467">
        <f t="shared" si="15"/>
        <v>0</v>
      </c>
      <c r="F27" s="465" t="s">
        <v>68</v>
      </c>
      <c r="G27" s="464">
        <f>VLOOKUP(B27,[1]!ПрайсНаМатериалы,3)</f>
        <v>304.20999999999998</v>
      </c>
      <c r="H27" s="487">
        <f t="shared" si="16"/>
        <v>0</v>
      </c>
      <c r="I27" s="475">
        <v>2</v>
      </c>
      <c r="J27" s="53" t="str">
        <f t="shared" si="4"/>
        <v/>
      </c>
      <c r="K27" s="53" t="str">
        <f t="shared" si="5"/>
        <v/>
      </c>
    </row>
    <row r="28" spans="1:11" x14ac:dyDescent="0.2">
      <c r="A28" s="490">
        <v>26</v>
      </c>
      <c r="B28" s="463" t="s">
        <v>398</v>
      </c>
      <c r="C28" s="464">
        <f t="shared" si="14"/>
        <v>0</v>
      </c>
      <c r="D28" s="464">
        <f t="shared" si="0"/>
        <v>0</v>
      </c>
      <c r="E28" s="467">
        <f t="shared" si="15"/>
        <v>0</v>
      </c>
      <c r="F28" s="465" t="s">
        <v>68</v>
      </c>
      <c r="G28" s="464">
        <f>VLOOKUP(B28,[1]!ПрайсНаМатериалы,3)</f>
        <v>1526.67</v>
      </c>
      <c r="H28" s="487">
        <f t="shared" si="16"/>
        <v>0</v>
      </c>
      <c r="I28" s="475">
        <v>2</v>
      </c>
      <c r="J28" s="53" t="str">
        <f t="shared" si="4"/>
        <v/>
      </c>
      <c r="K28" s="53" t="str">
        <f t="shared" si="5"/>
        <v/>
      </c>
    </row>
    <row r="29" spans="1:11" x14ac:dyDescent="0.2">
      <c r="A29" s="490">
        <v>27</v>
      </c>
      <c r="B29" s="463" t="s">
        <v>397</v>
      </c>
      <c r="C29" s="464">
        <f t="shared" si="14"/>
        <v>0</v>
      </c>
      <c r="D29" s="464">
        <f t="shared" si="0"/>
        <v>0</v>
      </c>
      <c r="E29" s="467">
        <f t="shared" si="15"/>
        <v>0</v>
      </c>
      <c r="F29" s="465" t="s">
        <v>68</v>
      </c>
      <c r="G29" s="464">
        <f>VLOOKUP(B29,[1]!ПрайсНаМатериалы,3)</f>
        <v>1498.3739999999998</v>
      </c>
      <c r="H29" s="487">
        <f t="shared" si="16"/>
        <v>0</v>
      </c>
      <c r="I29" s="475">
        <v>2</v>
      </c>
      <c r="J29" s="53" t="str">
        <f t="shared" si="4"/>
        <v/>
      </c>
      <c r="K29" s="53" t="str">
        <f t="shared" si="5"/>
        <v/>
      </c>
    </row>
    <row r="30" spans="1:11" x14ac:dyDescent="0.2">
      <c r="A30" s="490">
        <v>28</v>
      </c>
      <c r="B30" s="463" t="s">
        <v>396</v>
      </c>
      <c r="C30" s="464">
        <f t="shared" si="14"/>
        <v>0</v>
      </c>
      <c r="D30" s="464">
        <f t="shared" si="0"/>
        <v>0</v>
      </c>
      <c r="E30" s="467">
        <f t="shared" si="15"/>
        <v>0</v>
      </c>
      <c r="F30" s="465" t="s">
        <v>68</v>
      </c>
      <c r="G30" s="464">
        <f>VLOOKUP(B30,[1]!ПрайсНаМатериалы,3)</f>
        <v>1866.3119999999999</v>
      </c>
      <c r="H30" s="487">
        <f t="shared" si="16"/>
        <v>0</v>
      </c>
      <c r="I30" s="475">
        <v>2</v>
      </c>
      <c r="J30" s="53" t="str">
        <f t="shared" si="4"/>
        <v/>
      </c>
      <c r="K30" s="53" t="str">
        <f t="shared" si="5"/>
        <v/>
      </c>
    </row>
    <row r="31" spans="1:11" x14ac:dyDescent="0.2">
      <c r="A31" s="490">
        <v>29</v>
      </c>
      <c r="B31" s="463" t="s">
        <v>395</v>
      </c>
      <c r="C31" s="464">
        <f t="shared" si="14"/>
        <v>0</v>
      </c>
      <c r="D31" s="464">
        <f t="shared" si="0"/>
        <v>0</v>
      </c>
      <c r="E31" s="467">
        <f t="shared" si="15"/>
        <v>0</v>
      </c>
      <c r="F31" s="465" t="s">
        <v>68</v>
      </c>
      <c r="G31" s="464">
        <f>VLOOKUP(B31,[1]!ПрайсНаМатериалы,3)</f>
        <v>2016</v>
      </c>
      <c r="H31" s="487">
        <f t="shared" si="16"/>
        <v>0</v>
      </c>
      <c r="I31" s="475">
        <v>2</v>
      </c>
      <c r="J31" s="53" t="str">
        <f t="shared" si="4"/>
        <v/>
      </c>
      <c r="K31" s="53" t="str">
        <f t="shared" si="5"/>
        <v/>
      </c>
    </row>
    <row r="32" spans="1:11" x14ac:dyDescent="0.2">
      <c r="A32" s="490">
        <v>30</v>
      </c>
      <c r="B32" s="463" t="s">
        <v>393</v>
      </c>
      <c r="C32" s="464">
        <f t="shared" si="14"/>
        <v>0</v>
      </c>
      <c r="D32" s="464">
        <f t="shared" si="0"/>
        <v>0</v>
      </c>
      <c r="E32" s="467">
        <f t="shared" si="15"/>
        <v>0</v>
      </c>
      <c r="F32" s="465" t="s">
        <v>68</v>
      </c>
      <c r="G32" s="464">
        <f>VLOOKUP(B32,[1]!ПрайсНаМатериалы,3)</f>
        <v>2209.6799999999998</v>
      </c>
      <c r="H32" s="487">
        <f t="shared" si="16"/>
        <v>0</v>
      </c>
      <c r="I32" s="475">
        <v>2</v>
      </c>
      <c r="J32" s="53" t="str">
        <f t="shared" si="4"/>
        <v/>
      </c>
      <c r="K32" s="53" t="str">
        <f t="shared" si="5"/>
        <v/>
      </c>
    </row>
    <row r="33" spans="1:11" x14ac:dyDescent="0.2">
      <c r="A33" s="490">
        <v>31</v>
      </c>
      <c r="B33" s="463" t="s">
        <v>394</v>
      </c>
      <c r="C33" s="464">
        <f t="shared" si="14"/>
        <v>0</v>
      </c>
      <c r="D33" s="464">
        <f t="shared" si="0"/>
        <v>0</v>
      </c>
      <c r="E33" s="467">
        <f t="shared" si="15"/>
        <v>0</v>
      </c>
      <c r="F33" s="465" t="s">
        <v>68</v>
      </c>
      <c r="G33" s="464">
        <f>VLOOKUP(B33,[1]!ПрайсНаМатериалы,3)</f>
        <v>1866.3119999999999</v>
      </c>
      <c r="H33" s="487">
        <f t="shared" si="16"/>
        <v>0</v>
      </c>
      <c r="I33" s="475">
        <v>2</v>
      </c>
      <c r="J33" s="53" t="str">
        <f t="shared" si="4"/>
        <v/>
      </c>
      <c r="K33" s="53" t="str">
        <f t="shared" si="5"/>
        <v/>
      </c>
    </row>
    <row r="34" spans="1:11" x14ac:dyDescent="0.2">
      <c r="A34" s="490">
        <v>32</v>
      </c>
      <c r="B34" s="466" t="s">
        <v>456</v>
      </c>
      <c r="C34" s="467">
        <f t="shared" si="14"/>
        <v>0</v>
      </c>
      <c r="D34" s="467">
        <f t="shared" si="0"/>
        <v>0</v>
      </c>
      <c r="E34" s="467">
        <f t="shared" si="15"/>
        <v>0</v>
      </c>
      <c r="F34" s="468" t="s">
        <v>68</v>
      </c>
      <c r="G34" s="488">
        <f>VLOOKUP(B34,[1]!ПрайсНаМатериалы,3)</f>
        <v>35262.04</v>
      </c>
      <c r="H34" s="488">
        <f t="shared" si="16"/>
        <v>0</v>
      </c>
      <c r="I34" s="476">
        <v>2</v>
      </c>
      <c r="J34" s="53" t="str">
        <f t="shared" si="4"/>
        <v/>
      </c>
      <c r="K34" s="53" t="str">
        <f t="shared" si="5"/>
        <v/>
      </c>
    </row>
    <row r="35" spans="1:11" x14ac:dyDescent="0.2">
      <c r="A35" s="490">
        <v>33</v>
      </c>
      <c r="B35" s="466" t="s">
        <v>532</v>
      </c>
      <c r="C35" s="467">
        <f t="shared" si="14"/>
        <v>0</v>
      </c>
      <c r="D35" s="467">
        <f t="shared" si="0"/>
        <v>0</v>
      </c>
      <c r="E35" s="467">
        <f t="shared" si="15"/>
        <v>0</v>
      </c>
      <c r="F35" s="468" t="s">
        <v>68</v>
      </c>
      <c r="G35" s="488">
        <f>VLOOKUP(B35,[1]!ПрайсНаМатериалы,3)</f>
        <v>29963.68</v>
      </c>
      <c r="H35" s="488">
        <f t="shared" si="16"/>
        <v>0</v>
      </c>
      <c r="I35" s="476">
        <v>2</v>
      </c>
      <c r="J35" s="53" t="str">
        <f t="shared" si="4"/>
        <v/>
      </c>
      <c r="K35" s="53" t="str">
        <f t="shared" si="5"/>
        <v/>
      </c>
    </row>
    <row r="36" spans="1:11" x14ac:dyDescent="0.2">
      <c r="A36" s="490">
        <v>34</v>
      </c>
      <c r="B36" s="466" t="s">
        <v>533</v>
      </c>
      <c r="C36" s="467">
        <f t="shared" si="14"/>
        <v>0</v>
      </c>
      <c r="D36" s="467">
        <f t="shared" si="0"/>
        <v>0</v>
      </c>
      <c r="E36" s="467">
        <f t="shared" si="15"/>
        <v>0</v>
      </c>
      <c r="F36" s="468" t="s">
        <v>68</v>
      </c>
      <c r="G36" s="488">
        <f>VLOOKUP(B36,[1]!ПрайсНаМатериалы,3)</f>
        <v>32384.99</v>
      </c>
      <c r="H36" s="488">
        <f t="shared" si="16"/>
        <v>0</v>
      </c>
      <c r="I36" s="476">
        <v>2</v>
      </c>
      <c r="J36" s="53" t="str">
        <f t="shared" si="4"/>
        <v/>
      </c>
      <c r="K36" s="53" t="str">
        <f t="shared" si="5"/>
        <v/>
      </c>
    </row>
    <row r="37" spans="1:11" ht="33.75" x14ac:dyDescent="0.2">
      <c r="A37" s="490">
        <v>35</v>
      </c>
      <c r="B37" s="466" t="s">
        <v>582</v>
      </c>
      <c r="C37" s="467">
        <f t="shared" si="14"/>
        <v>0</v>
      </c>
      <c r="D37" s="467">
        <f t="shared" si="0"/>
        <v>0</v>
      </c>
      <c r="E37" s="467">
        <f t="shared" si="15"/>
        <v>0</v>
      </c>
      <c r="F37" s="468" t="s">
        <v>68</v>
      </c>
      <c r="G37" s="488">
        <f>VLOOKUP(B37,[1]!ПрайсНаМатериалы,3)</f>
        <v>40534.379999999997</v>
      </c>
      <c r="H37" s="488">
        <f t="shared" si="16"/>
        <v>0</v>
      </c>
      <c r="I37" s="476">
        <v>2</v>
      </c>
      <c r="J37" s="53" t="str">
        <f t="shared" si="4"/>
        <v/>
      </c>
      <c r="K37" s="53" t="str">
        <f t="shared" si="5"/>
        <v/>
      </c>
    </row>
    <row r="38" spans="1:11" ht="33.75" x14ac:dyDescent="0.2">
      <c r="A38" s="490">
        <v>36</v>
      </c>
      <c r="B38" s="466" t="s">
        <v>583</v>
      </c>
      <c r="C38" s="467">
        <f t="shared" si="14"/>
        <v>0</v>
      </c>
      <c r="D38" s="467">
        <f t="shared" si="0"/>
        <v>0</v>
      </c>
      <c r="E38" s="467">
        <f t="shared" si="15"/>
        <v>0</v>
      </c>
      <c r="F38" s="468" t="s">
        <v>68</v>
      </c>
      <c r="G38" s="488">
        <f>VLOOKUP(B38,[1]!ПрайсНаМатериалы,3)</f>
        <v>81858.36</v>
      </c>
      <c r="H38" s="488">
        <f t="shared" si="16"/>
        <v>0</v>
      </c>
      <c r="I38" s="476">
        <v>2</v>
      </c>
      <c r="J38" s="53" t="str">
        <f t="shared" si="4"/>
        <v/>
      </c>
      <c r="K38" s="53" t="str">
        <f t="shared" si="5"/>
        <v/>
      </c>
    </row>
    <row r="39" spans="1:11" x14ac:dyDescent="0.2">
      <c r="A39" s="490">
        <v>37</v>
      </c>
      <c r="B39" s="466" t="s">
        <v>455</v>
      </c>
      <c r="C39" s="467">
        <f t="shared" si="14"/>
        <v>0</v>
      </c>
      <c r="D39" s="467">
        <f t="shared" si="0"/>
        <v>0</v>
      </c>
      <c r="E39" s="467">
        <f t="shared" si="15"/>
        <v>0</v>
      </c>
      <c r="F39" s="468" t="s">
        <v>68</v>
      </c>
      <c r="G39" s="488">
        <f>VLOOKUP(B39,[1]!ПрайсНаМатериалы,3)</f>
        <v>35871.870000000003</v>
      </c>
      <c r="H39" s="488">
        <f t="shared" si="16"/>
        <v>0</v>
      </c>
      <c r="I39" s="476">
        <v>2</v>
      </c>
      <c r="J39" s="53" t="str">
        <f t="shared" si="4"/>
        <v/>
      </c>
      <c r="K39" s="53" t="str">
        <f t="shared" si="5"/>
        <v/>
      </c>
    </row>
    <row r="40" spans="1:11" x14ac:dyDescent="0.2">
      <c r="A40" s="490">
        <v>38</v>
      </c>
      <c r="B40" s="466" t="s">
        <v>459</v>
      </c>
      <c r="C40" s="467">
        <f t="shared" si="14"/>
        <v>0</v>
      </c>
      <c r="D40" s="467">
        <f t="shared" si="0"/>
        <v>0</v>
      </c>
      <c r="E40" s="467">
        <f t="shared" si="15"/>
        <v>0</v>
      </c>
      <c r="F40" s="468" t="s">
        <v>68</v>
      </c>
      <c r="G40" s="488">
        <f>VLOOKUP(B40,[1]!ПрайсНаМатериалы,3)</f>
        <v>36016.959999999999</v>
      </c>
      <c r="H40" s="488">
        <f t="shared" si="16"/>
        <v>0</v>
      </c>
      <c r="I40" s="476">
        <v>2</v>
      </c>
      <c r="J40" s="53" t="str">
        <f t="shared" si="4"/>
        <v/>
      </c>
      <c r="K40" s="53" t="str">
        <f t="shared" si="5"/>
        <v/>
      </c>
    </row>
    <row r="41" spans="1:11" x14ac:dyDescent="0.2">
      <c r="A41" s="490">
        <v>39</v>
      </c>
      <c r="B41" s="466" t="s">
        <v>602</v>
      </c>
      <c r="C41" s="467">
        <f t="shared" si="14"/>
        <v>0</v>
      </c>
      <c r="D41" s="467">
        <f t="shared" si="0"/>
        <v>0</v>
      </c>
      <c r="E41" s="467">
        <f t="shared" si="15"/>
        <v>0</v>
      </c>
      <c r="F41" s="468" t="s">
        <v>68</v>
      </c>
      <c r="G41" s="488">
        <f>VLOOKUP(B41,[1]!ПрайсНаМатериалы,3)</f>
        <v>36955.21</v>
      </c>
      <c r="H41" s="488">
        <f t="shared" si="16"/>
        <v>0</v>
      </c>
      <c r="I41" s="476">
        <v>2</v>
      </c>
      <c r="J41" s="53" t="str">
        <f t="shared" si="4"/>
        <v/>
      </c>
      <c r="K41" s="53" t="str">
        <f t="shared" si="5"/>
        <v/>
      </c>
    </row>
    <row r="42" spans="1:11" x14ac:dyDescent="0.2">
      <c r="B42" s="74" t="s">
        <v>47</v>
      </c>
      <c r="C42" s="453">
        <f>SUM(C3:C41)</f>
        <v>1.28</v>
      </c>
      <c r="D42" s="453">
        <f>SUM(D3:D41)</f>
        <v>1.28</v>
      </c>
      <c r="E42" s="453">
        <f>SUM(E3:E41)</f>
        <v>12.535846400000001</v>
      </c>
      <c r="F42" s="53"/>
      <c r="G42" s="453">
        <f>H42/E42</f>
        <v>2671</v>
      </c>
      <c r="H42" s="453">
        <f>SUM(H3:H41)</f>
        <v>33483.245734399999</v>
      </c>
      <c r="I42" s="53"/>
      <c r="J42" s="53">
        <f>SUM(J3:J41)</f>
        <v>9</v>
      </c>
      <c r="K42" s="53">
        <f>SUM(K3:K41)</f>
        <v>9</v>
      </c>
    </row>
  </sheetData>
  <mergeCells count="9">
    <mergeCell ref="J1:J2"/>
    <mergeCell ref="K1:K2"/>
    <mergeCell ref="I1:I2"/>
    <mergeCell ref="B1:B2"/>
    <mergeCell ref="C1:D1"/>
    <mergeCell ref="E1:E2"/>
    <mergeCell ref="F1:F2"/>
    <mergeCell ref="G1:G2"/>
    <mergeCell ref="H1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210</vt:i4>
      </vt:variant>
    </vt:vector>
  </HeadingPairs>
  <TitlesOfParts>
    <vt:vector size="222" baseType="lpstr">
      <vt:lpstr>Расчет</vt:lpstr>
      <vt:lpstr>Коэфф</vt:lpstr>
      <vt:lpstr>MANIA</vt:lpstr>
      <vt:lpstr>Приложение MANIA</vt:lpstr>
      <vt:lpstr>ATG</vt:lpstr>
      <vt:lpstr>Материалы основные</vt:lpstr>
      <vt:lpstr>Материалы дополнительные</vt:lpstr>
      <vt:lpstr>Нормы трудоемкости</vt:lpstr>
      <vt:lpstr>ФОТ</vt:lpstr>
      <vt:lpstr>Калькуляция</vt:lpstr>
      <vt:lpstr>Заключение</vt:lpstr>
      <vt:lpstr>Текстолит</vt:lpstr>
      <vt:lpstr>MANIA!_nK1</vt:lpstr>
      <vt:lpstr>MANIA!_nK2</vt:lpstr>
      <vt:lpstr>_NO1</vt:lpstr>
      <vt:lpstr>_NO2</vt:lpstr>
      <vt:lpstr>MANIA!_Np1</vt:lpstr>
      <vt:lpstr>_Np2</vt:lpstr>
      <vt:lpstr>ATG!Aatg</vt:lpstr>
      <vt:lpstr>bigdrill</vt:lpstr>
      <vt:lpstr>blockname</vt:lpstr>
      <vt:lpstr>bsizex</vt:lpstr>
      <vt:lpstr>bsizey</vt:lpstr>
      <vt:lpstr>class</vt:lpstr>
      <vt:lpstr>constr</vt:lpstr>
      <vt:lpstr>customer</vt:lpstr>
      <vt:lpstr>eltest</vt:lpstr>
      <vt:lpstr>etcompl</vt:lpstr>
      <vt:lpstr>etpib</vt:lpstr>
      <vt:lpstr>etpoints</vt:lpstr>
      <vt:lpstr>first</vt:lpstr>
      <vt:lpstr>FR</vt:lpstr>
      <vt:lpstr>frez_factor</vt:lpstr>
      <vt:lpstr>frezcorner</vt:lpstr>
      <vt:lpstr>FRINT</vt:lpstr>
      <vt:lpstr>FRV</vt:lpstr>
      <vt:lpstr>glasscloth</vt:lpstr>
      <vt:lpstr>gold</vt:lpstr>
      <vt:lpstr>lamel</vt:lpstr>
      <vt:lpstr>layers</vt:lpstr>
      <vt:lpstr>letter</vt:lpstr>
      <vt:lpstr>ATG!m</vt:lpstr>
      <vt:lpstr>mark</vt:lpstr>
      <vt:lpstr>marktype</vt:lpstr>
      <vt:lpstr>mask</vt:lpstr>
      <vt:lpstr>ATG!N</vt:lpstr>
      <vt:lpstr>MANIA!N</vt:lpstr>
      <vt:lpstr>N</vt:lpstr>
      <vt:lpstr>MANIA!Nb</vt:lpstr>
      <vt:lpstr>nib</vt:lpstr>
      <vt:lpstr>numbers</vt:lpstr>
      <vt:lpstr>nummask</vt:lpstr>
      <vt:lpstr>priem</vt:lpstr>
      <vt:lpstr>psizex</vt:lpstr>
      <vt:lpstr>psizey</vt:lpstr>
      <vt:lpstr>razr</vt:lpstr>
      <vt:lpstr>rmark</vt:lpstr>
      <vt:lpstr>smalldrill</vt:lpstr>
      <vt:lpstr>srok</vt:lpstr>
      <vt:lpstr>Sи</vt:lpstr>
      <vt:lpstr>template_check</vt:lpstr>
      <vt:lpstr>template_make</vt:lpstr>
      <vt:lpstr>thickness</vt:lpstr>
      <vt:lpstr>А</vt:lpstr>
      <vt:lpstr>А1</vt:lpstr>
      <vt:lpstr>БЛэк</vt:lpstr>
      <vt:lpstr>В</vt:lpstr>
      <vt:lpstr>В1</vt:lpstr>
      <vt:lpstr>Времена_кондуктора</vt:lpstr>
      <vt:lpstr>Время_констр</vt:lpstr>
      <vt:lpstr>выбор_материала_табл</vt:lpstr>
      <vt:lpstr>MANIA!д1</vt:lpstr>
      <vt:lpstr>MANIA!д2</vt:lpstr>
      <vt:lpstr>Дата_расчета</vt:lpstr>
      <vt:lpstr>длина_заготовки</vt:lpstr>
      <vt:lpstr>Длина_ламелей</vt:lpstr>
      <vt:lpstr>Длина_платы</vt:lpstr>
      <vt:lpstr>доп_мат_всего</vt:lpstr>
      <vt:lpstr>'Материалы основные'!Заголовки_для_печати</vt:lpstr>
      <vt:lpstr>Заказчик</vt:lpstr>
      <vt:lpstr>Изготовление_сумма</vt:lpstr>
      <vt:lpstr>Изготовление_ФШ</vt:lpstr>
      <vt:lpstr>Изготовление_ФШ_сумма</vt:lpstr>
      <vt:lpstr>Итого_окончательное</vt:lpstr>
      <vt:lpstr>Итого_сумма</vt:lpstr>
      <vt:lpstr>калийдецианоауреат</vt:lpstr>
      <vt:lpstr>КалькуляцияТаблица</vt:lpstr>
      <vt:lpstr>Квг</vt:lpstr>
      <vt:lpstr>Класс_точности</vt:lpstr>
      <vt:lpstr>Км</vt:lpstr>
      <vt:lpstr>Колво_ЖЗПМ</vt:lpstr>
      <vt:lpstr>колво_ламелей</vt:lpstr>
      <vt:lpstr>Колво_СЗПМ</vt:lpstr>
      <vt:lpstr>Колво_ФМ</vt:lpstr>
      <vt:lpstr>Количество_слоев</vt:lpstr>
      <vt:lpstr>ATG!Контроль_первичный</vt:lpstr>
      <vt:lpstr>ATG!Коп</vt:lpstr>
      <vt:lpstr>Коэф_труд_ФШ</vt:lpstr>
      <vt:lpstr>Коэф_ты_выхода_годных</vt:lpstr>
      <vt:lpstr>Коэфстоиостизолота</vt:lpstr>
      <vt:lpstr>Коэфф_плотности_и_сложн</vt:lpstr>
      <vt:lpstr>Коэффициент_серийности</vt:lpstr>
      <vt:lpstr>Коэффициэнты_толщины</vt:lpstr>
      <vt:lpstr>Кср</vt:lpstr>
      <vt:lpstr>Кт</vt:lpstr>
      <vt:lpstr>Кутр</vt:lpstr>
      <vt:lpstr>Кф</vt:lpstr>
      <vt:lpstr>ламели</vt:lpstr>
      <vt:lpstr>лист_мат_всего</vt:lpstr>
      <vt:lpstr>Листов_материала</vt:lpstr>
      <vt:lpstr>лсит_мат_всего</vt:lpstr>
      <vt:lpstr>MANIA!М</vt:lpstr>
      <vt:lpstr>масс_мат_всего</vt:lpstr>
      <vt:lpstr>Материалы_Printar</vt:lpstr>
      <vt:lpstr>Материалы_всего</vt:lpstr>
      <vt:lpstr>Материалы_ГорПОС</vt:lpstr>
      <vt:lpstr>Материалы_ЖМ</vt:lpstr>
      <vt:lpstr>Материалы_золочение</vt:lpstr>
      <vt:lpstr>Материалы_КМ</vt:lpstr>
      <vt:lpstr>Материалы_МП</vt:lpstr>
      <vt:lpstr>Материалы_основные</vt:lpstr>
      <vt:lpstr>Материалы_ФМ</vt:lpstr>
      <vt:lpstr>Материалы_ФШ</vt:lpstr>
      <vt:lpstr>Наименование_платы</vt:lpstr>
      <vt:lpstr>Накладные_расходы</vt:lpstr>
      <vt:lpstr>Калькуляция!Накопления</vt:lpstr>
      <vt:lpstr>НаценкаПКИ</vt:lpstr>
      <vt:lpstr>Номер_письма</vt:lpstr>
      <vt:lpstr>ATG!Область_печати</vt:lpstr>
      <vt:lpstr>MANIA!Область_печати</vt:lpstr>
      <vt:lpstr>Заключение!Область_печати</vt:lpstr>
      <vt:lpstr>Калькуляция!Область_печати</vt:lpstr>
      <vt:lpstr>'Материалы дополнительные'!Область_печати</vt:lpstr>
      <vt:lpstr>'Материалы основные'!Область_печати</vt:lpstr>
      <vt:lpstr>'Нормы трудоемкости'!Область_печати</vt:lpstr>
      <vt:lpstr>'Приложение MANIA'!Область_печати</vt:lpstr>
      <vt:lpstr>Расчет!Область_печати</vt:lpstr>
      <vt:lpstr>ФОТ!Область_печати</vt:lpstr>
      <vt:lpstr>П</vt:lpstr>
      <vt:lpstr>Первичное</vt:lpstr>
      <vt:lpstr>ПЗ</vt:lpstr>
      <vt:lpstr>ПКИ</vt:lpstr>
      <vt:lpstr>Плановые_накопления</vt:lpstr>
      <vt:lpstr>Плат_на_заготовке</vt:lpstr>
      <vt:lpstr>Площадь_заготовок</vt:lpstr>
      <vt:lpstr>Площадь_заготовок_оплачиваемая</vt:lpstr>
      <vt:lpstr>Площадь_плат</vt:lpstr>
      <vt:lpstr>Подготовка_сумма</vt:lpstr>
      <vt:lpstr>Подготовка_ФШ</vt:lpstr>
      <vt:lpstr>Рз</vt:lpstr>
      <vt:lpstr>РО</vt:lpstr>
      <vt:lpstr>Рп</vt:lpstr>
      <vt:lpstr>Ручная_маркировка</vt:lpstr>
      <vt:lpstr>Калькуляция!Себестоимость</vt:lpstr>
      <vt:lpstr>Слоев_теплоотвода</vt:lpstr>
      <vt:lpstr>СлоевМаски</vt:lpstr>
      <vt:lpstr>Сложность_программы_эк</vt:lpstr>
      <vt:lpstr>Социальный_налог</vt:lpstr>
      <vt:lpstr>Срок_изготовления</vt:lpstr>
      <vt:lpstr>ст_всего</vt:lpstr>
      <vt:lpstr>Стеклоткань</vt:lpstr>
      <vt:lpstr>СтоимостьМатериаловДляЗолота</vt:lpstr>
      <vt:lpstr>СтоимостьМатериаловДляМаркировкиПринтар</vt:lpstr>
      <vt:lpstr>СтоимостьМатериаловДляМаркировкиФМ</vt:lpstr>
      <vt:lpstr>СтоимостьМатериаловДляМаскиЖМ</vt:lpstr>
      <vt:lpstr>СтоимостьМатериаловДляМаскиКМ</vt:lpstr>
      <vt:lpstr>СтоимостьМатериаловДляМП</vt:lpstr>
      <vt:lpstr>СтоимостьМатериаловДляПОС</vt:lpstr>
      <vt:lpstr>СтоимостьМатериаловДляФШ</vt:lpstr>
      <vt:lpstr>СтоимостьМатериаловПКИ</vt:lpstr>
      <vt:lpstr>СтоимостьОсновныхМатериалов</vt:lpstr>
      <vt:lpstr>СтоимостьОсновныхМатериалов1</vt:lpstr>
      <vt:lpstr>СтоимостьОсновныхМатериалов2</vt:lpstr>
      <vt:lpstr>СтоимостьОсновныхМатериалов3</vt:lpstr>
      <vt:lpstr>MANIA!Т1</vt:lpstr>
      <vt:lpstr>тип_ст_таблица</vt:lpstr>
      <vt:lpstr>ТипМаркировки</vt:lpstr>
      <vt:lpstr>ТипМаски</vt:lpstr>
      <vt:lpstr>MANIA!ТК</vt:lpstr>
      <vt:lpstr>MANIA!ТО</vt:lpstr>
      <vt:lpstr>То</vt:lpstr>
      <vt:lpstr>Толщина_платы</vt:lpstr>
      <vt:lpstr>Точек_Электроконтроля</vt:lpstr>
      <vt:lpstr>ТП</vt:lpstr>
      <vt:lpstr>ATG!Трпп</vt:lpstr>
      <vt:lpstr>ATG!Тррп</vt:lpstr>
      <vt:lpstr>ATG!Трсп</vt:lpstr>
      <vt:lpstr>Трудоемкости</vt:lpstr>
      <vt:lpstr>Трудоемкость_олово</vt:lpstr>
      <vt:lpstr>Трудоемкость_сверления</vt:lpstr>
      <vt:lpstr>ТрудоемкостьДополнительныхОпераций</vt:lpstr>
      <vt:lpstr>ТрудоемкостьОсновныхМатериалов</vt:lpstr>
      <vt:lpstr>ТрудоемкостьПодготовкиПроизводства</vt:lpstr>
      <vt:lpstr>труёмзол1пл</vt:lpstr>
      <vt:lpstr>Тсл</vt:lpstr>
      <vt:lpstr>Тф1</vt:lpstr>
      <vt:lpstr>Тф1пл</vt:lpstr>
      <vt:lpstr>тФ2</vt:lpstr>
      <vt:lpstr>Тф2пл</vt:lpstr>
      <vt:lpstr>ФОТ</vt:lpstr>
      <vt:lpstr>ФОТнч</vt:lpstr>
      <vt:lpstr>ФПК</vt:lpstr>
      <vt:lpstr>Ц01</vt:lpstr>
      <vt:lpstr>Ц02</vt:lpstr>
      <vt:lpstr>Калькуляция!Цена</vt:lpstr>
      <vt:lpstr>Цена_вусего_без_НДС</vt:lpstr>
      <vt:lpstr>Цена_одной_без_НДС</vt:lpstr>
      <vt:lpstr>Цена_орг_стекла_2мм</vt:lpstr>
      <vt:lpstr>Цена_орг_стекла_4мм</vt:lpstr>
      <vt:lpstr>Цена_твердосплавного_сверла</vt:lpstr>
      <vt:lpstr>Цнч</vt:lpstr>
      <vt:lpstr>Цс</vt:lpstr>
      <vt:lpstr>Цэкатг</vt:lpstr>
      <vt:lpstr>Цэкман</vt:lpstr>
      <vt:lpstr>Чо1</vt:lpstr>
      <vt:lpstr>Чо2</vt:lpstr>
      <vt:lpstr>ш1</vt:lpstr>
      <vt:lpstr>MANIA!ш2</vt:lpstr>
      <vt:lpstr>ширина_заготовки</vt:lpstr>
      <vt:lpstr>Ширина_ламелей</vt:lpstr>
      <vt:lpstr>ширина_платы</vt:lpstr>
      <vt:lpstr>Электроконтроль</vt:lpstr>
    </vt:vector>
  </TitlesOfParts>
  <Company>NOME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cp:lastPrinted>2016-03-21T07:33:45Z</cp:lastPrinted>
  <dcterms:created xsi:type="dcterms:W3CDTF">2001-01-12T12:45:52Z</dcterms:created>
  <dcterms:modified xsi:type="dcterms:W3CDTF">2018-09-14T06:56:36Z</dcterms:modified>
</cp:coreProperties>
</file>