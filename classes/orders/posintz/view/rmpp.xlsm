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Текстолит!$B$3:$B$40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Текстолит!$I$3:$I$40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0" i="12"/>
  <c r="D40" i="12"/>
  <c r="C40" i="12"/>
  <c r="G39" i="12"/>
  <c r="D39" i="12"/>
  <c r="C39" i="12"/>
  <c r="G38" i="12"/>
  <c r="D38" i="12"/>
  <c r="C38" i="12"/>
  <c r="G37" i="12"/>
  <c r="D37" i="12"/>
  <c r="C37" i="12"/>
  <c r="G36" i="12"/>
  <c r="D36" i="12"/>
  <c r="C36" i="12"/>
  <c r="G35" i="12"/>
  <c r="D35" i="12"/>
  <c r="C35" i="12"/>
  <c r="G34" i="12"/>
  <c r="D34" i="12"/>
  <c r="C34" i="12"/>
  <c r="G33" i="12"/>
  <c r="D33" i="12"/>
  <c r="C33" i="12"/>
  <c r="G32" i="12"/>
  <c r="D32" i="12"/>
  <c r="C32" i="12"/>
  <c r="G31" i="12"/>
  <c r="D31" i="12"/>
  <c r="C31" i="12"/>
  <c r="G30" i="12"/>
  <c r="D30" i="12"/>
  <c r="C30" i="12"/>
  <c r="G29" i="12"/>
  <c r="D29" i="12"/>
  <c r="C29" i="12"/>
  <c r="G28" i="12"/>
  <c r="D28" i="12"/>
  <c r="C28" i="12"/>
  <c r="G27" i="12"/>
  <c r="D27" i="12"/>
  <c r="C27" i="12"/>
  <c r="G26" i="12"/>
  <c r="D26" i="12"/>
  <c r="C26" i="12"/>
  <c r="G25" i="12"/>
  <c r="D25" i="12"/>
  <c r="C25" i="12"/>
  <c r="G24" i="12"/>
  <c r="D24" i="12"/>
  <c r="C24" i="12"/>
  <c r="J24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39" i="12"/>
  <c r="J39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K36" i="12"/>
  <c r="J36" i="12"/>
  <c r="K35" i="12"/>
  <c r="J35" i="12"/>
  <c r="G21" i="12"/>
  <c r="D21" i="12"/>
  <c r="K21" i="12" s="1"/>
  <c r="C21" i="12"/>
  <c r="J21" i="12" s="1"/>
  <c r="J41" i="12" s="1"/>
  <c r="D58" i="6" s="1"/>
  <c r="G23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0" i="12"/>
  <c r="J40" i="12"/>
  <c r="K38" i="12"/>
  <c r="J38" i="12"/>
  <c r="K37" i="12"/>
  <c r="J37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D23" i="12"/>
  <c r="K23" i="12" s="1"/>
  <c r="C23" i="12"/>
  <c r="J23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 s="1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D13" i="7"/>
  <c r="C13" i="7"/>
  <c r="F13" i="7" s="1"/>
  <c r="E63" i="1" s="1"/>
  <c r="G63" i="1" s="1"/>
  <c r="H63" i="1" s="1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F20" i="7" s="1"/>
  <c r="A40" i="11"/>
  <c r="A49" i="11"/>
  <c r="P11" i="1"/>
  <c r="P13" i="1"/>
  <c r="C18" i="1"/>
  <c r="E76" i="10" s="1"/>
  <c r="P12" i="1"/>
  <c r="P10" i="1"/>
  <c r="K17" i="1"/>
  <c r="M17" i="1" s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F8" i="8" s="1"/>
  <c r="B3" i="8"/>
  <c r="L12" i="3"/>
  <c r="M30" i="3"/>
  <c r="L15" i="3"/>
  <c r="L14" i="3"/>
  <c r="A6" i="5"/>
  <c r="C47" i="1"/>
  <c r="G84" i="6" s="1"/>
  <c r="J84" i="6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F10" i="4"/>
  <c r="K19" i="4" s="1"/>
  <c r="F6" i="4"/>
  <c r="K17" i="4"/>
  <c r="F5" i="4"/>
  <c r="L51" i="9"/>
  <c r="L50" i="9"/>
  <c r="L49" i="9"/>
  <c r="L7" i="3" s="1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E49" i="10"/>
  <c r="H49" i="10" s="1"/>
  <c r="H50" i="10" s="1"/>
  <c r="E95" i="10"/>
  <c r="N17" i="1"/>
  <c r="K15" i="4"/>
  <c r="G57" i="1"/>
  <c r="H57" i="1" s="1"/>
  <c r="H74" i="1"/>
  <c r="P17" i="1"/>
  <c r="H13" i="10"/>
  <c r="D41" i="12"/>
  <c r="F57" i="6" s="1"/>
  <c r="C41" i="12"/>
  <c r="E57" i="6" s="1"/>
  <c r="E58" i="6" s="1"/>
  <c r="G58" i="6" s="1"/>
  <c r="F26" i="7"/>
  <c r="F23" i="7"/>
  <c r="F27" i="7"/>
  <c r="F30" i="7"/>
  <c r="F28" i="7"/>
  <c r="F31" i="7"/>
  <c r="E34" i="12"/>
  <c r="H34" i="12" s="1"/>
  <c r="K24" i="12"/>
  <c r="H26" i="10"/>
  <c r="K41" i="12"/>
  <c r="D59" i="6" s="1"/>
  <c r="L26" i="4"/>
  <c r="I48" i="1"/>
  <c r="G81" i="6"/>
  <c r="J81" i="6" s="1"/>
  <c r="H71" i="1"/>
  <c r="G85" i="6"/>
  <c r="J85" i="6" s="1"/>
  <c r="F21" i="7"/>
  <c r="F29" i="7"/>
  <c r="E27" i="12"/>
  <c r="H27" i="12" s="1"/>
  <c r="E28" i="12"/>
  <c r="H28" i="12" s="1"/>
  <c r="F22" i="7"/>
  <c r="F61" i="7"/>
  <c r="E72" i="1"/>
  <c r="G72" i="1"/>
  <c r="H25" i="10" l="1"/>
  <c r="A37" i="11"/>
  <c r="F24" i="7"/>
  <c r="I8" i="8"/>
  <c r="G21" i="6"/>
  <c r="E71" i="1"/>
  <c r="G60" i="7"/>
  <c r="L28" i="4"/>
  <c r="L16" i="3"/>
  <c r="G27" i="6"/>
  <c r="E8" i="12"/>
  <c r="H8" i="12" s="1"/>
  <c r="G23" i="6"/>
  <c r="J23" i="6" s="1"/>
  <c r="C51" i="1"/>
  <c r="E25" i="8" s="1"/>
  <c r="F25" i="8" s="1"/>
  <c r="H76" i="10"/>
  <c r="H77" i="10" s="1"/>
  <c r="E75" i="10"/>
  <c r="H75" i="10" s="1"/>
  <c r="E38" i="12"/>
  <c r="H38" i="12" s="1"/>
  <c r="G79" i="6"/>
  <c r="J79" i="6" s="1"/>
  <c r="F59" i="6"/>
  <c r="G57" i="6"/>
  <c r="J21" i="6"/>
  <c r="H95" i="10"/>
  <c r="E26" i="8"/>
  <c r="F26" i="8" s="1"/>
  <c r="I58" i="6"/>
  <c r="C58" i="6"/>
  <c r="C59" i="6"/>
  <c r="I59" i="6"/>
  <c r="H72" i="1"/>
  <c r="E50" i="8"/>
  <c r="F50" i="8" s="1"/>
  <c r="E18" i="12"/>
  <c r="H18" i="12" s="1"/>
  <c r="G47" i="6"/>
  <c r="G59" i="6"/>
  <c r="E90" i="10"/>
  <c r="H90" i="10" s="1"/>
  <c r="E37" i="12"/>
  <c r="H37" i="12" s="1"/>
  <c r="E24" i="12"/>
  <c r="H24" i="12" s="1"/>
  <c r="E31" i="12"/>
  <c r="H31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3" i="12"/>
  <c r="H23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6" i="12"/>
  <c r="H26" i="12" s="1"/>
  <c r="E32" i="12"/>
  <c r="H32" i="12" s="1"/>
  <c r="E39" i="12"/>
  <c r="H39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0" i="12"/>
  <c r="H30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29" i="12"/>
  <c r="H29" i="12" s="1"/>
  <c r="E33" i="12"/>
  <c r="H33" i="12" s="1"/>
  <c r="E36" i="12"/>
  <c r="H36" i="12" s="1"/>
  <c r="E77" i="1"/>
  <c r="G77" i="1" s="1"/>
  <c r="H77" i="1" s="1"/>
  <c r="E41" i="8"/>
  <c r="F41" i="8" s="1"/>
  <c r="C53" i="7"/>
  <c r="J24" i="6"/>
  <c r="E40" i="12"/>
  <c r="H40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5" i="12"/>
  <c r="H25" i="12" s="1"/>
  <c r="E35" i="12"/>
  <c r="H35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E18" i="8" l="1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1" i="12"/>
  <c r="H3" i="12"/>
  <c r="H41" i="12" s="1"/>
  <c r="L88" i="6"/>
  <c r="I57" i="6"/>
  <c r="J57" i="6" s="1"/>
  <c r="L63" i="6" s="1"/>
  <c r="I9" i="8"/>
  <c r="F11" i="8"/>
  <c r="E61" i="1"/>
  <c r="H65" i="10" l="1"/>
  <c r="G84" i="1" s="1"/>
  <c r="F47" i="8"/>
  <c r="E47" i="8"/>
  <c r="H47" i="8" s="1"/>
  <c r="G41" i="12"/>
  <c r="J87" i="6"/>
  <c r="G68" i="1" s="1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<sst xmlns="http://schemas.openxmlformats.org/spreadsheetml/2006/main" count="1035" uniqueCount="629">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</sst>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2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top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wrapText="1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55750912"/>
        <c:axId val="255753216"/>
      </c:lineChart>
      <c:dateAx>
        <c:axId val="255750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55753216"/>
        <c:crosses val="autoZero"/>
        <c:auto val="0"/>
        <c:lblOffset val="100"/>
        <c:baseTimeUnit val="days"/>
        <c:majorUnit val="5"/>
        <c:majorTimeUnit val="days"/>
      </c:dateAx>
      <c:valAx>
        <c:axId val="255753216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55750912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6" val="0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24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2"/>
      <definedName name="ПрайсНаМатериалы" refersTo="='Материалы'!$D$4:$L$302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12/12-0.1</v>
          </cell>
          <cell r="B5">
            <v>2</v>
          </cell>
          <cell r="C5" t="str">
            <v>Стеклотекстолит фольгированный DE104ML 12/12-0.1</v>
          </cell>
          <cell r="D5" t="str">
            <v>DE 104 ML 12/12-0.1</v>
          </cell>
          <cell r="E5" t="str">
            <v>м2</v>
          </cell>
          <cell r="F5">
            <v>1969.89</v>
          </cell>
          <cell r="G5" t="str">
            <v>spb14033106 от 31.03.2014 (spb140331006)</v>
          </cell>
          <cell r="H5" t="str">
            <v>ООО "Петрокоммерц"</v>
          </cell>
          <cell r="I5">
            <v>1969.89</v>
          </cell>
        </row>
        <row r="6">
          <cell r="A6" t="str">
            <v>DE 104 ML 18/105-0,1</v>
          </cell>
          <cell r="B6">
            <v>3</v>
          </cell>
          <cell r="C6" t="str">
            <v>Стеклотекстолит фольгированный DE104ML 18/105-0.1</v>
          </cell>
          <cell r="D6" t="str">
            <v>DE 104 ML 18/105-0,1</v>
          </cell>
          <cell r="E6" t="str">
            <v>м2</v>
          </cell>
          <cell r="F6">
            <v>3411.77</v>
          </cell>
          <cell r="G6" t="str">
            <v>spb17012601 от 26.01.2017 (spb170126001)</v>
          </cell>
          <cell r="H6" t="str">
            <v>ООО "Петрокоммерц"</v>
          </cell>
          <cell r="I6">
            <v>2983.84</v>
          </cell>
        </row>
        <row r="7">
          <cell r="A7" t="str">
            <v>DE 104 ML 18/18-0,1</v>
          </cell>
          <cell r="B7">
            <v>4</v>
          </cell>
          <cell r="C7" t="str">
            <v>Стеклотекстолит фольгированный DE104ML 18/18-0.1</v>
          </cell>
          <cell r="D7" t="str">
            <v>DE 104 ML 18/18-0,1</v>
          </cell>
          <cell r="E7" t="str">
            <v>м2</v>
          </cell>
          <cell r="F7">
            <v>1709</v>
          </cell>
          <cell r="G7" t="str">
            <v>134 от 04.07.2017 (153)</v>
          </cell>
          <cell r="H7" t="str">
            <v>ООО "Петроизолит"</v>
          </cell>
          <cell r="I7">
            <v>2263.83</v>
          </cell>
        </row>
        <row r="8">
          <cell r="A8" t="str">
            <v>DE 104 ML 18/18-0,15</v>
          </cell>
          <cell r="B8">
            <v>5</v>
          </cell>
          <cell r="C8" t="str">
            <v>Стеклотекстолит фольгированный DE104ML 18/18-0.15</v>
          </cell>
          <cell r="D8" t="str">
            <v>DE 104 ML 18/18-0,15</v>
          </cell>
          <cell r="E8" t="str">
            <v>м2</v>
          </cell>
          <cell r="F8">
            <v>1995.81</v>
          </cell>
          <cell r="G8" t="str">
            <v>164 от 21.08.2017 (185)</v>
          </cell>
          <cell r="H8" t="str">
            <v>ООО "Петроизолит"</v>
          </cell>
          <cell r="I8">
            <v>2281.91</v>
          </cell>
        </row>
        <row r="9">
          <cell r="A9" t="str">
            <v>DE 104 ML 18/18-0,18</v>
          </cell>
          <cell r="B9">
            <v>6</v>
          </cell>
          <cell r="C9" t="str">
            <v>Стеклотекстолит фольгированный DE104ML 18/18-0.18</v>
          </cell>
          <cell r="D9" t="str">
            <v>DE 104 ML 18/18-0,18</v>
          </cell>
          <cell r="E9" t="str">
            <v>м2</v>
          </cell>
          <cell r="F9">
            <v>1995.83</v>
          </cell>
          <cell r="G9" t="str">
            <v>165 от 21.08.2017 (186)</v>
          </cell>
          <cell r="H9" t="str">
            <v>ООО "Петроизолит"</v>
          </cell>
          <cell r="I9">
            <v>1994.47</v>
          </cell>
        </row>
        <row r="10">
          <cell r="A10" t="str">
            <v>DE 104 ML 18/18-0,2</v>
          </cell>
          <cell r="B10">
            <v>7</v>
          </cell>
          <cell r="C10" t="str">
            <v>Стеклотекстолит фольгированный DE104ML 18/18-0.2</v>
          </cell>
          <cell r="D10" t="str">
            <v>DE 104 ML 18/18-0,2</v>
          </cell>
          <cell r="E10" t="str">
            <v>м2</v>
          </cell>
          <cell r="F10">
            <v>1747.8</v>
          </cell>
          <cell r="G10" t="str">
            <v>ТН 50 от 16.03.2017 (50)</v>
          </cell>
          <cell r="H10" t="str">
            <v>ООО "БАЛТИЗОЛИТ"</v>
          </cell>
        </row>
        <row r="11">
          <cell r="A11" t="str">
            <v>DE 104 ML 18/18-0,25</v>
          </cell>
          <cell r="B11">
            <v>8</v>
          </cell>
          <cell r="C11" t="str">
            <v>Стеклотекстолит фольгированный DE104ML 18/18-0.25</v>
          </cell>
          <cell r="D11" t="str">
            <v>DE 104 ML 18/18-0,25</v>
          </cell>
          <cell r="E11" t="str">
            <v>м2</v>
          </cell>
          <cell r="F11">
            <v>1926.3</v>
          </cell>
          <cell r="G11" t="str">
            <v>166 от 21.08.2017 (187)</v>
          </cell>
          <cell r="H11" t="str">
            <v>ООО "Петроизолит"</v>
          </cell>
          <cell r="I11">
            <v>2487.48</v>
          </cell>
        </row>
        <row r="12">
          <cell r="A12" t="str">
            <v>DE 104 ML 18/18-0,36</v>
          </cell>
          <cell r="B12">
            <v>9</v>
          </cell>
          <cell r="C12" t="str">
            <v>Стеклотекстолит фольгированный DE104ML 18/18-0.36</v>
          </cell>
          <cell r="D12" t="str">
            <v>DE 104 ML 18/18-0,36</v>
          </cell>
          <cell r="E12" t="str">
            <v>м2</v>
          </cell>
          <cell r="F12">
            <v>2187.34</v>
          </cell>
          <cell r="G12" t="str">
            <v>169 от 21.08.2017 (190)</v>
          </cell>
          <cell r="H12" t="str">
            <v>ООО "ПЕТРОИЗОЛИТ"</v>
          </cell>
          <cell r="I12">
            <v>2358.84</v>
          </cell>
        </row>
        <row r="13">
          <cell r="A13" t="str">
            <v>DE 104 ML 18/18-0,51</v>
          </cell>
          <cell r="B13">
            <v>10</v>
          </cell>
          <cell r="C13" t="str">
            <v>Стеклотекстолит фольгированный DE104ML 18/18-0.51</v>
          </cell>
          <cell r="D13" t="str">
            <v>DE 104 ML 18/18-0,51</v>
          </cell>
          <cell r="E13" t="str">
            <v>м2</v>
          </cell>
          <cell r="F13">
            <v>2213.2399999999998</v>
          </cell>
          <cell r="G13" t="str">
            <v>167 от 21.08.2017 (188)</v>
          </cell>
          <cell r="H13" t="str">
            <v>ООО "ПЕТРОИЗОЛИТ"</v>
          </cell>
          <cell r="I13">
            <v>2693.67</v>
          </cell>
        </row>
        <row r="14">
          <cell r="A14" t="str">
            <v>DE 104 ML 18/18-0,8</v>
          </cell>
          <cell r="B14">
            <v>11</v>
          </cell>
          <cell r="C14" t="str">
            <v>Стеклотекстолит фольгированный DE104ML 18/18-0.8</v>
          </cell>
          <cell r="D14" t="str">
            <v>DE 104 ML 18/18-0,8</v>
          </cell>
          <cell r="E14" t="str">
            <v>м2</v>
          </cell>
          <cell r="F14">
            <v>2490</v>
          </cell>
          <cell r="G14" t="str">
            <v>1190 от 22.09.2016 (1190)</v>
          </cell>
          <cell r="H14" t="str">
            <v>ООО "БАЛТИЗОЛИТ"</v>
          </cell>
          <cell r="I14">
            <v>1563.82</v>
          </cell>
        </row>
        <row r="15">
          <cell r="A15" t="str">
            <v>DE 104 ML 18/18-1.0</v>
          </cell>
          <cell r="B15">
            <v>12</v>
          </cell>
          <cell r="C15" t="str">
            <v>Стеклотекстолит фольгированный DE104ML 18/18-1.0</v>
          </cell>
          <cell r="D15" t="str">
            <v>DE 104 ML 18/18-1.0</v>
          </cell>
          <cell r="E15" t="str">
            <v>м2</v>
          </cell>
          <cell r="F15">
            <v>1768.51</v>
          </cell>
          <cell r="G15" t="str">
            <v>spb14050701 от 07.05.2014 (spb140507001)</v>
          </cell>
          <cell r="H15" t="str">
            <v>ООО "Петрокоммерц"</v>
          </cell>
          <cell r="I15">
            <v>1592.49</v>
          </cell>
        </row>
        <row r="16">
          <cell r="A16" t="str">
            <v>DE 104 ML 18/70-0,1</v>
          </cell>
          <cell r="B16">
            <v>13</v>
          </cell>
          <cell r="C16" t="str">
            <v>Стеклотекстолит фольгированный DE104ML 18/70-0.1</v>
          </cell>
          <cell r="D16" t="str">
            <v>DE 104 ML 18/70-0,1</v>
          </cell>
          <cell r="E16" t="str">
            <v>м2</v>
          </cell>
          <cell r="F16">
            <v>2903.48</v>
          </cell>
          <cell r="G16" t="str">
            <v>spb017101901 от 19.10.2017(spb0171019001)</v>
          </cell>
          <cell r="H16" t="str">
            <v>ООО "Петрокоммерц"</v>
          </cell>
          <cell r="I16">
            <v>2367.83</v>
          </cell>
        </row>
        <row r="17">
          <cell r="A17" t="str">
            <v>DE 104 ML 35/35-0,1</v>
          </cell>
          <cell r="B17">
            <v>14</v>
          </cell>
          <cell r="C17" t="str">
            <v>Стеклотекстолит фольгированный DE104ML 35/35-0.1</v>
          </cell>
          <cell r="D17" t="str">
            <v>DE 104 ML 35/35-0,1</v>
          </cell>
          <cell r="E17" t="str">
            <v>м2</v>
          </cell>
          <cell r="F17">
            <v>2052.21</v>
          </cell>
          <cell r="G17" t="str">
            <v>170 от 21.08.2017 (191)</v>
          </cell>
          <cell r="H17" t="str">
            <v>ООО "ПЕТРОИЗОЛИТ"</v>
          </cell>
          <cell r="I17">
            <v>1860.51</v>
          </cell>
        </row>
        <row r="18">
          <cell r="A18" t="str">
            <v>DE 104 ML 35/35-0,15</v>
          </cell>
          <cell r="B18">
            <v>15</v>
          </cell>
          <cell r="C18" t="str">
            <v>Стеклотекстолит фольгированный DE104ML 35/35-0.15</v>
          </cell>
          <cell r="D18" t="str">
            <v>DE 104 ML 35/35-0,15</v>
          </cell>
          <cell r="E18" t="str">
            <v>м2</v>
          </cell>
          <cell r="F18" t="str">
            <v>2113.23</v>
          </cell>
          <cell r="G18" t="str">
            <v>171 от 21.08.2017 (192)</v>
          </cell>
          <cell r="H18" t="str">
            <v>ООО "ПЕТРОИЗОЛИТ"</v>
          </cell>
          <cell r="I18">
            <v>1583.85</v>
          </cell>
        </row>
        <row r="19">
          <cell r="A19" t="str">
            <v>DE 104 ML 35/35-0,20</v>
          </cell>
          <cell r="B19">
            <v>16</v>
          </cell>
          <cell r="C19" t="str">
            <v>Стеклотекстолит фольгированный DE104ML 35/35-0.2</v>
          </cell>
          <cell r="D19" t="str">
            <v>DE 104 ML 35/35-0,20</v>
          </cell>
          <cell r="E19" t="str">
            <v>м2</v>
          </cell>
          <cell r="F19">
            <v>2287</v>
          </cell>
          <cell r="G19" t="str">
            <v>321 от 09.08.2017 (321)</v>
          </cell>
          <cell r="H19" t="str">
            <v>ООО "БАЛТПРОМИЗОЛИТ"</v>
          </cell>
          <cell r="I19">
            <v>2425.9499999999998</v>
          </cell>
        </row>
        <row r="20">
          <cell r="A20" t="str">
            <v>DE 104 ML 35/35-0,25</v>
          </cell>
          <cell r="B20">
            <v>17</v>
          </cell>
          <cell r="C20" t="str">
            <v>Стеклотекстолит фольгированный DE104ML 35/35-0.25</v>
          </cell>
          <cell r="D20" t="str">
            <v>DE 104 ML 35/35-0,25</v>
          </cell>
          <cell r="E20" t="str">
            <v>м2</v>
          </cell>
          <cell r="F20">
            <v>1490</v>
          </cell>
          <cell r="G20" t="str">
            <v>16 от 23.01.2014 (16)</v>
          </cell>
          <cell r="H20" t="str">
            <v>ООО "БАЛТИЗОЛИТ"</v>
          </cell>
          <cell r="I20">
            <v>1445.11</v>
          </cell>
        </row>
        <row r="21">
          <cell r="A21" t="str">
            <v>DE 104 ML 35/35-0,36</v>
          </cell>
          <cell r="B21">
            <v>18</v>
          </cell>
          <cell r="C21" t="str">
            <v>Стеклотекстолит фольгированный DE104ML 35/35-0.36</v>
          </cell>
          <cell r="D21" t="str">
            <v>DE 104 ML 35/35-0,36</v>
          </cell>
          <cell r="E21" t="str">
            <v>м2</v>
          </cell>
          <cell r="F21">
            <v>2060</v>
          </cell>
          <cell r="G21" t="str">
            <v>449 от 03.05.2017 (449)</v>
          </cell>
          <cell r="H21" t="str">
            <v>ООО "БАЛТИЗОЛИТ"</v>
          </cell>
          <cell r="I21">
            <v>1628.44</v>
          </cell>
        </row>
        <row r="22">
          <cell r="A22" t="str">
            <v>DE 104 ML 35/35-0,51</v>
          </cell>
          <cell r="B22">
            <v>19</v>
          </cell>
          <cell r="C22" t="str">
            <v>Стеклотекстолит фольгированный DE104ML 35/35-0.51</v>
          </cell>
          <cell r="D22" t="str">
            <v>DE 104 ML 35/35-0,51</v>
          </cell>
          <cell r="E22" t="str">
            <v>м2</v>
          </cell>
          <cell r="F22">
            <v>2220</v>
          </cell>
          <cell r="G22" t="str">
            <v>168 от 21.08.2017 (189)</v>
          </cell>
          <cell r="H22" t="str">
            <v>ООО "ПЕТРОИЗОЛИТ"</v>
          </cell>
          <cell r="I22">
            <v>2525.02</v>
          </cell>
        </row>
        <row r="23">
          <cell r="A23" t="str">
            <v>DE 104 ML 35/35-0,8</v>
          </cell>
          <cell r="B23">
            <v>20</v>
          </cell>
          <cell r="C23" t="str">
            <v>Стеклотекстолит фольгированный DE104ML 35/35-0.8</v>
          </cell>
          <cell r="D23" t="str">
            <v>DE 104 ML 35/35-0,8</v>
          </cell>
          <cell r="E23" t="str">
            <v>м2</v>
          </cell>
          <cell r="F23">
            <v>1897</v>
          </cell>
          <cell r="G23" t="str">
            <v>spb14081806 от 18.08.2014 (spb140818006)</v>
          </cell>
          <cell r="H23" t="str">
            <v>ООО "Петрокоммерц"</v>
          </cell>
          <cell r="I23">
            <v>1651.98</v>
          </cell>
        </row>
        <row r="24">
          <cell r="A24" t="str">
            <v>DE 104 ML 35/35-1.0</v>
          </cell>
          <cell r="B24">
            <v>21</v>
          </cell>
          <cell r="C24" t="str">
            <v>Стеклотекстолит фольгированный DE104ML 35/35-1.0</v>
          </cell>
          <cell r="D24" t="str">
            <v>DE 104 ML 35/35-1.0</v>
          </cell>
          <cell r="E24" t="str">
            <v>м2</v>
          </cell>
          <cell r="F24">
            <v>2895</v>
          </cell>
          <cell r="G24" t="str">
            <v>1293 от 30.11.2015 (1293)</v>
          </cell>
          <cell r="H24" t="str">
            <v>ООО "БАЛТИЗОЛИТ"</v>
          </cell>
          <cell r="I24">
            <v>2895</v>
          </cell>
        </row>
        <row r="25">
          <cell r="A25" t="str">
            <v>DE 104 ML 50/50-0.51</v>
          </cell>
          <cell r="B25">
            <v>22</v>
          </cell>
          <cell r="C25" t="str">
            <v>Стеклотекстолит фольгированный DE104ML 50/50-0.051</v>
          </cell>
          <cell r="D25" t="str">
            <v>DE 104 ML 50/50-0.51</v>
          </cell>
          <cell r="E25" t="str">
            <v>м2</v>
          </cell>
          <cell r="F25">
            <v>2807.56</v>
          </cell>
          <cell r="G25" t="str">
            <v>spb016072607 от 26.07.16 (spb016072607)</v>
          </cell>
          <cell r="H25" t="str">
            <v>ООО "Петрокоммерц"</v>
          </cell>
          <cell r="I25">
            <v>0</v>
          </cell>
        </row>
        <row r="26">
          <cell r="A26" t="str">
            <v>Neoganth LS PREDIP (предактивация)</v>
          </cell>
          <cell r="B26">
            <v>23</v>
          </cell>
          <cell r="C26" t="str">
            <v>Предактиватор NEOGANTH LS PRE DIP</v>
          </cell>
          <cell r="D26" t="str">
            <v>Neoganth LS PREDIP (предактивация)</v>
          </cell>
          <cell r="E26" t="str">
            <v>кг</v>
          </cell>
          <cell r="F26">
            <v>367</v>
          </cell>
          <cell r="G26" t="str">
            <v>ax220 от 17.03.2017 (ax220)</v>
          </cell>
          <cell r="H26" t="str">
            <v>ООО "Атотех-Хемета"</v>
          </cell>
          <cell r="I26">
            <v>338.29</v>
          </cell>
        </row>
        <row r="27">
          <cell r="A27" t="str">
            <v>Neoganth LS REDUCER (восстановитель)</v>
          </cell>
          <cell r="B27">
            <v>24</v>
          </cell>
          <cell r="C27" t="str">
            <v>Восстановитель NEOGANTH LS REDUCER</v>
          </cell>
          <cell r="D27" t="str">
            <v>Neoganth LS REDUCER (восстановитель)</v>
          </cell>
          <cell r="E27" t="str">
            <v>кг</v>
          </cell>
          <cell r="F27">
            <v>3129.96</v>
          </cell>
          <cell r="G27" t="str">
            <v>ax000000047 от 01.02.2016 (ax0000000047)</v>
          </cell>
          <cell r="H27" t="str">
            <v>ООО "Атотех-Хемета"</v>
          </cell>
          <cell r="I27">
            <v>3051.45</v>
          </cell>
        </row>
        <row r="28">
          <cell r="A28" t="str">
            <v>RO4350B 0.168-035/035</v>
          </cell>
          <cell r="B28">
            <v>25</v>
          </cell>
          <cell r="C28" t="str">
            <v xml:space="preserve">Материал фольгированный RO4350B-35/35-0.168 </v>
          </cell>
          <cell r="D28" t="str">
            <v>RO4350B 0.168-035/035</v>
          </cell>
          <cell r="E28" t="str">
            <v>м2</v>
          </cell>
          <cell r="F28">
            <v>31713.08</v>
          </cell>
          <cell r="G28" t="str">
            <v>593 от 02.11.2015 (1131)</v>
          </cell>
          <cell r="H28" t="str">
            <v>ООО "ЭлекТрейд-М"</v>
          </cell>
          <cell r="I28">
            <v>0</v>
          </cell>
        </row>
        <row r="29">
          <cell r="A29" t="str">
            <v>RO4350B 0.254-017/017</v>
          </cell>
          <cell r="B29">
            <v>26</v>
          </cell>
          <cell r="C29" t="str">
            <v xml:space="preserve">Материал фольгированный RO4350B-18/18-0.254 </v>
          </cell>
          <cell r="D29" t="str">
            <v>RO4350B 0.254-017/017</v>
          </cell>
          <cell r="E29" t="str">
            <v>м2</v>
          </cell>
          <cell r="F29">
            <v>29963.68</v>
          </cell>
          <cell r="G29" t="str">
            <v>156 от 18.04.2016 (303 от18.04.16)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0.254-035/035</v>
          </cell>
          <cell r="B30">
            <v>27</v>
          </cell>
          <cell r="C30" t="str">
            <v xml:space="preserve">Материал фольгированный RO4350B-35/35-0.254 </v>
          </cell>
          <cell r="D30" t="str">
            <v>RO4350B 0.254-035/035</v>
          </cell>
          <cell r="E30" t="str">
            <v>м2</v>
          </cell>
          <cell r="F30">
            <v>32384.99</v>
          </cell>
          <cell r="G30" t="str">
            <v>389 от 11.08.2016 (712)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0.508-017/017</v>
          </cell>
          <cell r="B31">
            <v>28</v>
          </cell>
          <cell r="C31" t="str">
            <v xml:space="preserve">Материал фольгированный RO4350B-18/18-0.508 </v>
          </cell>
          <cell r="D31" t="str">
            <v>RO4350B 0.508-017/017</v>
          </cell>
          <cell r="E31" t="str">
            <v>м2</v>
          </cell>
          <cell r="F31">
            <v>29963.71</v>
          </cell>
          <cell r="G31" t="str">
            <v>589 от 22.11.2016 (1137)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0.508-035/035</v>
          </cell>
          <cell r="B32">
            <v>29</v>
          </cell>
          <cell r="C32" t="str">
            <v xml:space="preserve">Материал фольгированный RO4350B-35/35-0.508 </v>
          </cell>
          <cell r="D32" t="str">
            <v>RO4350B 0.508-035/035</v>
          </cell>
          <cell r="E32" t="str">
            <v>м2</v>
          </cell>
          <cell r="F32">
            <v>36016.959999999999</v>
          </cell>
          <cell r="G32" t="str">
            <v>593 от 02.11.2015 (1131)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0.762-035/035</v>
          </cell>
          <cell r="B33">
            <v>30</v>
          </cell>
          <cell r="C33" t="str">
            <v>Материал фольгированный RO4350B 0.762-035/035</v>
          </cell>
          <cell r="D33" t="str">
            <v>RO4350B 0.762-035/035</v>
          </cell>
          <cell r="E33" t="str">
            <v>м2</v>
          </cell>
          <cell r="F33">
            <v>36955.21</v>
          </cell>
          <cell r="G33" t="str">
            <v>156 от 18.04.2016 (303 от18.04.16)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RO4350B-17/17-0.508</v>
          </cell>
          <cell r="B34">
            <v>31</v>
          </cell>
          <cell r="C34" t="str">
            <v>Стеклотекстолит фольгированный RO4350B-17/17-0.508</v>
          </cell>
          <cell r="D34" t="str">
            <v>RO4350B-17/17-0.508</v>
          </cell>
          <cell r="E34" t="str">
            <v>м2</v>
          </cell>
          <cell r="F34">
            <v>45430</v>
          </cell>
          <cell r="I34">
            <v>0</v>
          </cell>
        </row>
        <row r="35">
          <cell r="A35" t="str">
            <v>Азотная кислота</v>
          </cell>
          <cell r="B35">
            <v>32</v>
          </cell>
          <cell r="C35" t="str">
            <v>Кислота азотная</v>
          </cell>
          <cell r="D35" t="str">
            <v>Азотная кислота</v>
          </cell>
          <cell r="E35" t="str">
            <v>кг</v>
          </cell>
          <cell r="F35">
            <v>74</v>
          </cell>
          <cell r="G35" t="str">
            <v>217 от 23.10.2014 (217)</v>
          </cell>
          <cell r="H35" t="str">
            <v>ООО "Реахим"</v>
          </cell>
          <cell r="I35">
            <v>74</v>
          </cell>
        </row>
        <row r="36">
          <cell r="A36" t="str">
            <v>Активатор AUNIC ACT</v>
          </cell>
          <cell r="B36">
            <v>33</v>
          </cell>
          <cell r="C36" t="str">
            <v>Активатор AUNIC ACTIVATOR</v>
          </cell>
          <cell r="D36" t="str">
            <v>Активатор AUNIC ACT</v>
          </cell>
          <cell r="E36" t="str">
            <v>кг</v>
          </cell>
          <cell r="F36">
            <v>3500</v>
          </cell>
          <cell r="G36" t="str">
            <v>ах991 от 24.10.2017 (991)</v>
          </cell>
          <cell r="H36" t="str">
            <v>ООО "Атотех-Хемета"</v>
          </cell>
          <cell r="I36">
            <v>2274.67</v>
          </cell>
        </row>
        <row r="37">
          <cell r="A37" t="str">
            <v>Активатор BONDFILM ACTIVATOR</v>
          </cell>
          <cell r="B37">
            <v>34</v>
          </cell>
          <cell r="C37" t="str">
            <v>Активатор BONDFILM ACTIVATOR</v>
          </cell>
          <cell r="D37" t="str">
            <v>Активатор BONDFILM ACTIVATOR</v>
          </cell>
          <cell r="E37" t="str">
            <v>кг</v>
          </cell>
          <cell r="F37">
            <v>397.15</v>
          </cell>
          <cell r="G37" t="str">
            <v>ax817 от 11.09.2017 (ax817)</v>
          </cell>
          <cell r="H37" t="str">
            <v>ООО "Атотех-Хемета"</v>
          </cell>
          <cell r="I37">
            <v>392.24</v>
          </cell>
        </row>
        <row r="38">
          <cell r="A38" t="str">
            <v>Алюминий 0.18 (230х395мм)</v>
          </cell>
          <cell r="B38">
            <v>35</v>
          </cell>
          <cell r="C38" t="str">
            <v>Алюминий 0.18 (230х395мм)</v>
          </cell>
          <cell r="D38" t="str">
            <v>Алюминий 0.18 (230х395мм)</v>
          </cell>
          <cell r="E38" t="str">
            <v>м2</v>
          </cell>
          <cell r="F38">
            <v>504.69</v>
          </cell>
          <cell r="G38" t="str">
            <v>562 от 12.07.2017 (562)</v>
          </cell>
          <cell r="H38" t="str">
            <v>ООО "Торговый дом Абсолют"</v>
          </cell>
          <cell r="I38">
            <v>297.23</v>
          </cell>
        </row>
        <row r="39">
          <cell r="A39" t="str">
            <v>Алюминий 0.18 (280х395мм)</v>
          </cell>
          <cell r="B39">
            <v>36</v>
          </cell>
          <cell r="C39" t="str">
            <v>Алюминий 0.18 (280х395мм)</v>
          </cell>
          <cell r="D39" t="str">
            <v>Алюминий 0.18 (280х395мм)</v>
          </cell>
          <cell r="E39" t="str">
            <v>м2</v>
          </cell>
          <cell r="F39">
            <v>440.5</v>
          </cell>
          <cell r="G39" t="str">
            <v>581 от 15.07.2016 (581)</v>
          </cell>
          <cell r="H39" t="str">
            <v>ООО "Торговый дом Абсолют"</v>
          </cell>
          <cell r="I39">
            <v>302.72000000000003</v>
          </cell>
        </row>
        <row r="40">
          <cell r="A40" t="str">
            <v>Аммиак водный</v>
          </cell>
          <cell r="B40">
            <v>37</v>
          </cell>
          <cell r="C40" t="str">
            <v>Аммиак водный</v>
          </cell>
          <cell r="D40" t="str">
            <v>Аммиак водный</v>
          </cell>
          <cell r="E40" t="str">
            <v>кг</v>
          </cell>
          <cell r="F40">
            <v>53</v>
          </cell>
          <cell r="G40" t="str">
            <v>26 от 10.02.2016 (Без СФ)</v>
          </cell>
          <cell r="H40" t="str">
            <v>ООО "ППФ"Химпроект"</v>
          </cell>
          <cell r="I40">
            <v>53</v>
          </cell>
        </row>
        <row r="41">
          <cell r="A41" t="str">
            <v>Аммоний надсернокислый</v>
          </cell>
          <cell r="B41">
            <v>38</v>
          </cell>
          <cell r="C41" t="str">
            <v>Аммоний надсернокислый</v>
          </cell>
          <cell r="D41" t="str">
            <v>Аммоний надсернокислый</v>
          </cell>
          <cell r="E41" t="str">
            <v>кг</v>
          </cell>
          <cell r="F41">
            <v>150</v>
          </cell>
          <cell r="G41" t="str">
            <v>285 от 20.11.2017 (Без СФ)</v>
          </cell>
          <cell r="H41" t="str">
            <v>ООО "ППФ"Химпроект"</v>
          </cell>
          <cell r="I41">
            <v>148.09</v>
          </cell>
        </row>
        <row r="42">
          <cell r="A42" t="str">
            <v>Аммоний хлористый</v>
          </cell>
          <cell r="B42">
            <v>39</v>
          </cell>
          <cell r="C42" t="str">
            <v>Аммоний хлористый</v>
          </cell>
          <cell r="D42" t="str">
            <v>Аммоний хлористый</v>
          </cell>
          <cell r="E42" t="str">
            <v>кг</v>
          </cell>
          <cell r="F42">
            <v>150</v>
          </cell>
          <cell r="G42" t="str">
            <v>198 от 21.08.2017(Без СФ)</v>
          </cell>
          <cell r="H42" t="str">
            <v>ООО "ППФ"Химпроект"</v>
          </cell>
          <cell r="I42">
            <v>92.22</v>
          </cell>
        </row>
        <row r="43">
          <cell r="A43" t="str">
            <v>Аноды медные АМФ</v>
          </cell>
          <cell r="B43">
            <v>41</v>
          </cell>
          <cell r="C43" t="str">
            <v>Аноды медные АМФ</v>
          </cell>
          <cell r="D43" t="str">
            <v>Аноды медные АМФ</v>
          </cell>
          <cell r="E43" t="str">
            <v>кг</v>
          </cell>
          <cell r="F43">
            <v>818.62</v>
          </cell>
          <cell r="G43" t="str">
            <v>spb017051025 от 10.05.2017 (spb0170510025 )</v>
          </cell>
          <cell r="H43" t="str">
            <v>ООО "Петрокоммерц"</v>
          </cell>
          <cell r="I43">
            <v>1015.89</v>
          </cell>
        </row>
        <row r="44">
          <cell r="A44" t="str">
            <v>Батист x/б отбеленный</v>
          </cell>
          <cell r="B44">
            <v>42</v>
          </cell>
          <cell r="C44" t="str">
            <v>ткань х/б Батист отбеленный</v>
          </cell>
          <cell r="D44" t="str">
            <v>Батист x/б отбеленный</v>
          </cell>
          <cell r="E44" t="str">
            <v>м2</v>
          </cell>
          <cell r="F44">
            <v>147.62</v>
          </cell>
          <cell r="G44" t="str">
            <v>23 от 18.01.2017(Без СФ)</v>
          </cell>
          <cell r="H44" t="str">
            <v>ООО "Хлопкотекс"</v>
          </cell>
          <cell r="I44">
            <v>0</v>
          </cell>
        </row>
        <row r="45">
          <cell r="A45" t="str">
            <v>Борная кислота</v>
          </cell>
          <cell r="B45">
            <v>43</v>
          </cell>
          <cell r="C45" t="str">
            <v>Кислота борная</v>
          </cell>
          <cell r="D45" t="str">
            <v>Борная кислота</v>
          </cell>
          <cell r="E45" t="str">
            <v>кг</v>
          </cell>
          <cell r="F45">
            <v>160</v>
          </cell>
          <cell r="G45" t="str">
            <v>2024 от 18.02.2016(Без СФ)</v>
          </cell>
          <cell r="H45" t="str">
            <v>ООО "ППФ"Химпроект"</v>
          </cell>
          <cell r="I45">
            <v>190.04</v>
          </cell>
        </row>
        <row r="46">
          <cell r="A46" t="str">
            <v>Бумага для очистки валика</v>
          </cell>
          <cell r="B46">
            <v>44</v>
          </cell>
          <cell r="C46" t="str">
            <v>бумага д/очистки валика (уп 5х50л 238х330мм)</v>
          </cell>
          <cell r="D46" t="str">
            <v>Бумага для очистки валика</v>
          </cell>
          <cell r="E46" t="str">
            <v>м2</v>
          </cell>
          <cell r="F46">
            <v>872</v>
          </cell>
          <cell r="G46" t="str">
            <v>905 от 27.10.2015</v>
          </cell>
          <cell r="H46" t="str">
            <v>ООО "Торговый дом Абсолют"</v>
          </cell>
          <cell r="I46">
            <v>871.87</v>
          </cell>
        </row>
        <row r="47">
          <cell r="A47" t="str">
            <v>Бязь</v>
          </cell>
          <cell r="B47">
            <v>45</v>
          </cell>
          <cell r="C47" t="str">
            <v>Ткань х/б бязевой группы</v>
          </cell>
          <cell r="D47" t="str">
            <v>Бязь</v>
          </cell>
          <cell r="E47" t="str">
            <v>м2</v>
          </cell>
          <cell r="F47">
            <v>45.23</v>
          </cell>
          <cell r="G47" t="str">
            <v>11023 от 17.11.2016</v>
          </cell>
          <cell r="H47" t="str">
            <v>ООО "Белорусский Текстильный Центр"</v>
          </cell>
          <cell r="I47">
            <v>27.48</v>
          </cell>
        </row>
        <row r="48">
          <cell r="A48" t="str">
            <v>Восстановитель SECURIGANTH P500 REDUCTION</v>
          </cell>
          <cell r="B48">
            <v>46</v>
          </cell>
          <cell r="C48" t="str">
            <v>Восстановитель SECURIGANTH P500 REDUCTION CONDITIONER</v>
          </cell>
          <cell r="D48" t="str">
            <v>Восстановитель SECURIGANTH P500 REDUCTION</v>
          </cell>
          <cell r="E48" t="str">
            <v>кг</v>
          </cell>
          <cell r="F48">
            <v>993.56</v>
          </cell>
          <cell r="G48" t="str">
            <v>ax817 от 11.09.2017 (ax817)</v>
          </cell>
          <cell r="H48" t="str">
            <v>ООО "Атотех-Хемета"</v>
          </cell>
          <cell r="I48">
            <v>0</v>
          </cell>
        </row>
        <row r="49">
          <cell r="A49" t="str">
            <v>Восстановитель меди CU-REDUCTION SOLUTION</v>
          </cell>
          <cell r="B49">
            <v>47</v>
          </cell>
          <cell r="C49" t="str">
            <v>Восстановитель меди CU-REDUCTION SOLUTION</v>
          </cell>
          <cell r="D49" t="str">
            <v>Восстановитель меди CU-REDUCTION SOLUTION</v>
          </cell>
          <cell r="E49" t="str">
            <v>кг</v>
          </cell>
          <cell r="F49">
            <v>230.51</v>
          </cell>
          <cell r="G49" t="str">
            <v>ax817 от 11.09.2017 (ax817)</v>
          </cell>
          <cell r="H49" t="str">
            <v>ООО "Петрокоммерц"</v>
          </cell>
          <cell r="I49">
            <v>227.77</v>
          </cell>
        </row>
        <row r="50">
          <cell r="A50" t="str">
            <v>Гетинакс-1 0,5-1 мм</v>
          </cell>
          <cell r="B50">
            <v>48</v>
          </cell>
          <cell r="C50" t="str">
            <v>Гетинакс -1 1.0мм</v>
          </cell>
          <cell r="D50" t="str">
            <v>Гетинакс-1 0,5-1 мм</v>
          </cell>
          <cell r="E50" t="str">
            <v>кг</v>
          </cell>
          <cell r="F50">
            <v>320</v>
          </cell>
          <cell r="G50" t="str">
            <v>199 от 17.10.2017 (228)</v>
          </cell>
          <cell r="H50" t="str">
            <v>ООО "ПЕТРОИЗОЛИТ"</v>
          </cell>
          <cell r="I50">
            <v>0</v>
          </cell>
        </row>
        <row r="51">
          <cell r="A51" t="str">
            <v>Гетинакс-1 1,5 мм</v>
          </cell>
          <cell r="B51">
            <v>49</v>
          </cell>
          <cell r="C51" t="str">
            <v>Гетинакс -1 1.5мм</v>
          </cell>
          <cell r="D51" t="str">
            <v>Гетинакс-1 1,5 мм</v>
          </cell>
          <cell r="E51" t="str">
            <v>кг</v>
          </cell>
          <cell r="F51">
            <v>298</v>
          </cell>
          <cell r="G51" t="str">
            <v>200 от 17.10.2017 (229)</v>
          </cell>
          <cell r="H51" t="str">
            <v>ООО "ПЕТРОИЗОЛИТ"</v>
          </cell>
          <cell r="I51">
            <v>0</v>
          </cell>
        </row>
        <row r="52">
          <cell r="A52" t="str">
            <v>Добавка "AUNIC EN "C"</v>
          </cell>
          <cell r="B52">
            <v>50</v>
          </cell>
          <cell r="C52" t="str">
            <v>Добавка AUNIC EN "C"</v>
          </cell>
          <cell r="D52" t="str">
            <v>Добавка "AUNIC EN "C"</v>
          </cell>
          <cell r="E52" t="str">
            <v>кг</v>
          </cell>
          <cell r="F52">
            <v>958.34</v>
          </cell>
          <cell r="G52" t="str">
            <v>ax000000745 от 04.12.2015 (ax0000000745)</v>
          </cell>
          <cell r="H52" t="str">
            <v>ООО "Атотех-Хемета"</v>
          </cell>
          <cell r="I52">
            <v>958.34</v>
          </cell>
        </row>
        <row r="53">
          <cell r="A53" t="str">
            <v>Добавка AUNIC EN "A"</v>
          </cell>
          <cell r="B53">
            <v>51</v>
          </cell>
          <cell r="C53" t="str">
            <v>Добавка AUNIC EN "A"</v>
          </cell>
          <cell r="D53" t="str">
            <v>Добавка AUNIC EN "A"</v>
          </cell>
          <cell r="E53" t="str">
            <v>кг</v>
          </cell>
          <cell r="F53">
            <v>590.16999999999996</v>
          </cell>
          <cell r="G53" t="str">
            <v>ax817 от 11.09.2017 (ax817)</v>
          </cell>
          <cell r="H53" t="str">
            <v>ООО "Атотех-Хемета"</v>
          </cell>
          <cell r="I53">
            <v>514.54999999999995</v>
          </cell>
        </row>
        <row r="54">
          <cell r="A54" t="str">
            <v>Добавка AUNIC EN "B"</v>
          </cell>
          <cell r="B54">
            <v>52</v>
          </cell>
          <cell r="C54" t="str">
            <v>Добавка AUNIC EN "B"</v>
          </cell>
          <cell r="D54" t="str">
            <v>Добавка AUNIC EN "B"</v>
          </cell>
          <cell r="E54" t="str">
            <v>кг</v>
          </cell>
          <cell r="F54">
            <v>633.91</v>
          </cell>
          <cell r="G54" t="str">
            <v>ax817 от 11.09.2017 (ax817)</v>
          </cell>
          <cell r="H54" t="str">
            <v>ООО "Атотех-Хемета"</v>
          </cell>
          <cell r="I54">
            <v>553.51</v>
          </cell>
        </row>
        <row r="55">
          <cell r="A55" t="str">
            <v>Добавка AUNIC IG "A"</v>
          </cell>
          <cell r="B55">
            <v>53</v>
          </cell>
          <cell r="C55" t="str">
            <v>Добавка AUNIC IG "A"</v>
          </cell>
          <cell r="D55" t="str">
            <v>Добавка AUNIC IG "A"</v>
          </cell>
          <cell r="E55" t="str">
            <v>кг</v>
          </cell>
          <cell r="F55">
            <v>1015</v>
          </cell>
          <cell r="G55" t="str">
            <v>84 от 26.02.2013 (84)</v>
          </cell>
          <cell r="H55" t="str">
            <v>ООО "Атотех-Хемета"</v>
          </cell>
          <cell r="I55">
            <v>1026.48</v>
          </cell>
        </row>
        <row r="56">
          <cell r="A56" t="str">
            <v>Добавка NOVIGANTH HC ADDITIVE</v>
          </cell>
          <cell r="B56">
            <v>54</v>
          </cell>
          <cell r="C56" t="str">
            <v>Добавка NOVIGANTH HC ADDITIVE</v>
          </cell>
          <cell r="D56" t="str">
            <v>Добавка NOVIGANTH HC ADDITIVE</v>
          </cell>
          <cell r="E56" t="str">
            <v>кг</v>
          </cell>
          <cell r="F56">
            <v>1331</v>
          </cell>
          <cell r="G56" t="str">
            <v>ax817 от 11.09.2017 (ax817)</v>
          </cell>
          <cell r="H56" t="str">
            <v>ООО "Атотех-Хемета"</v>
          </cell>
          <cell r="I56">
            <v>0</v>
          </cell>
        </row>
        <row r="57">
          <cell r="A57" t="str">
            <v>Добавка STH ADDITIVE</v>
          </cell>
          <cell r="B57">
            <v>55</v>
          </cell>
          <cell r="C57" t="str">
            <v>Добавка STH ADDITIVE</v>
          </cell>
          <cell r="D57" t="str">
            <v>Добавка STH ADDITIVE</v>
          </cell>
          <cell r="E57" t="str">
            <v>кг</v>
          </cell>
          <cell r="F57">
            <v>984.12</v>
          </cell>
          <cell r="G57" t="str">
            <v>ax220 от 17.03.2017 (ax220)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Sulfotech SP Additive</v>
          </cell>
          <cell r="B58">
            <v>56</v>
          </cell>
          <cell r="C58" t="str">
            <v>Добавка SULFOTECH SP ADDITIVE</v>
          </cell>
          <cell r="D58" t="str">
            <v>Добавка Sulfotech SP Additive</v>
          </cell>
          <cell r="E58" t="str">
            <v>кг</v>
          </cell>
          <cell r="F58">
            <v>947.74</v>
          </cell>
          <cell r="G58" t="str">
            <v>ax991 от 24.10.2017 (безСФ)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Дозирующий раствор SECURIGANTH Р500</v>
          </cell>
          <cell r="B59">
            <v>57</v>
          </cell>
          <cell r="C59" t="str">
            <v>Дозир. раствор SECURIGANTH P500 DOSING SOLUTION</v>
          </cell>
          <cell r="D59" t="str">
            <v>Дозирующий раствор SECURIGANTH Р500</v>
          </cell>
          <cell r="E59" t="str">
            <v>кг</v>
          </cell>
          <cell r="F59">
            <v>1012.31</v>
          </cell>
          <cell r="G59" t="str">
            <v>ax817 от 11.09.2017 (ax817)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Дополнительные</v>
          </cell>
          <cell r="B60">
            <v>58</v>
          </cell>
          <cell r="C60" t="str">
            <v>Дополнительные</v>
          </cell>
          <cell r="D60" t="str">
            <v>Дополнительные</v>
          </cell>
          <cell r="E60" t="str">
            <v>руб/м кв.</v>
          </cell>
          <cell r="F60">
            <v>180</v>
          </cell>
          <cell r="I60">
            <v>0</v>
          </cell>
        </row>
        <row r="61">
          <cell r="A61" t="str">
            <v>Защитная паяльная маска Dynamask 5030 (сухая)</v>
          </cell>
          <cell r="B61">
            <v>59</v>
          </cell>
          <cell r="C61" t="str">
            <v>Защитная паяльная маска Dynamask 5030 (сухая)</v>
          </cell>
          <cell r="D61" t="str">
            <v>Защитная паяльная маска Dynamask 5030 (сухая)</v>
          </cell>
          <cell r="E61" t="str">
            <v>м2</v>
          </cell>
          <cell r="F61">
            <v>1160</v>
          </cell>
          <cell r="G61" t="str">
            <v>spb017082302 от 23.08.2017 (spb0170823002)</v>
          </cell>
          <cell r="H61" t="str">
            <v>ООО "Петрокоммерц"</v>
          </cell>
          <cell r="I61">
            <v>1302.1199999999999</v>
          </cell>
        </row>
        <row r="62">
          <cell r="A62" t="str">
            <v>Защитная паяльная маска XV501 T-4 SM Green (жидкая)</v>
          </cell>
          <cell r="B62">
            <v>60</v>
          </cell>
          <cell r="C62" t="str">
            <v>Защитная паяльная маска XV501 T-4 Green (жидкая).</v>
          </cell>
          <cell r="D62" t="str">
            <v>Защитная паяльная маска XV501 T-4 SM Green (жидкая)</v>
          </cell>
          <cell r="E62" t="str">
            <v>кг</v>
          </cell>
          <cell r="F62">
            <v>2035.84</v>
          </cell>
          <cell r="G62" t="str">
            <v>spb017081602 от 16.08.2017 (spb0170816002 )</v>
          </cell>
          <cell r="H62" t="str">
            <v>ООО "Петрокоммерц"</v>
          </cell>
          <cell r="I62">
            <v>2194.65</v>
          </cell>
        </row>
        <row r="63">
          <cell r="A63" t="str">
            <v>Калий дицианоаурат (1) чда</v>
          </cell>
          <cell r="B63">
            <v>61</v>
          </cell>
          <cell r="C63" t="str">
            <v>Калий дицианоаурат (I) (68,23%) чда</v>
          </cell>
          <cell r="D63" t="str">
            <v>Калий дицианоаурат (1) чда</v>
          </cell>
          <cell r="E63" t="str">
            <v>г</v>
          </cell>
          <cell r="F63">
            <v>1322.08</v>
          </cell>
          <cell r="G63" t="str">
            <v>6218 от 25.11.2014 (6218)</v>
          </cell>
          <cell r="H63" t="str">
            <v>ОАО "АУРАТ"</v>
          </cell>
          <cell r="I63">
            <v>1268.25</v>
          </cell>
        </row>
        <row r="64">
          <cell r="A64" t="str">
            <v>Кислота борфтористоводородная</v>
          </cell>
          <cell r="B64">
            <v>62</v>
          </cell>
          <cell r="C64" t="str">
            <v>Кислота борфтористоводородная</v>
          </cell>
          <cell r="D64" t="str">
            <v>Кислота борфтористоводородная</v>
          </cell>
          <cell r="E64" t="str">
            <v>кг</v>
          </cell>
          <cell r="F64">
            <v>257</v>
          </cell>
          <cell r="G64" t="str">
            <v>128 от 24.05.2017 (Без СФ)</v>
          </cell>
          <cell r="H64" t="str">
            <v>ООО "ППФ"Химпроект"</v>
          </cell>
          <cell r="I64">
            <v>260.32</v>
          </cell>
        </row>
        <row r="65">
          <cell r="A65" t="str">
            <v>Кислота серная</v>
          </cell>
          <cell r="B65">
            <v>63</v>
          </cell>
          <cell r="C65" t="str">
            <v>Кислота серная</v>
          </cell>
          <cell r="D65" t="str">
            <v>Кислота серная</v>
          </cell>
          <cell r="E65" t="str">
            <v>кг</v>
          </cell>
          <cell r="F65">
            <v>48</v>
          </cell>
          <cell r="G65" t="str">
            <v>26от10.02.16 (Без СФ)</v>
          </cell>
          <cell r="H65" t="str">
            <v>ООО "ППФ"Химпроект"</v>
          </cell>
          <cell r="I65">
            <v>48.72</v>
          </cell>
        </row>
        <row r="66">
          <cell r="A66" t="str">
            <v>Кислота соляная</v>
          </cell>
          <cell r="B66">
            <v>64</v>
          </cell>
          <cell r="C66" t="str">
            <v>Кислота соляная</v>
          </cell>
          <cell r="D66" t="str">
            <v>Кислота соляная</v>
          </cell>
          <cell r="E66" t="str">
            <v>кг</v>
          </cell>
          <cell r="F66">
            <v>46</v>
          </cell>
          <cell r="G66" t="str">
            <v>96 от 13.04.2017 (Без СФ)</v>
          </cell>
          <cell r="H66" t="str">
            <v>ООО "ППФ"Химпроект"</v>
          </cell>
          <cell r="I66">
            <v>46.84</v>
          </cell>
        </row>
        <row r="67">
          <cell r="A67" t="str">
            <v>Краска белая термоотвердаемая Mark 3.1</v>
          </cell>
          <cell r="B67">
            <v>65</v>
          </cell>
          <cell r="C67" t="str">
            <v>Краска белая термоотверждаемая Mark 3.1</v>
          </cell>
          <cell r="D67" t="str">
            <v>Краска белая термоотвердаемая Mark 3.1</v>
          </cell>
          <cell r="E67" t="str">
            <v>кг</v>
          </cell>
          <cell r="F67" t="str">
            <v>16357.14</v>
          </cell>
          <cell r="G67" t="str">
            <v>346 от 16.08.2017 (346)</v>
          </cell>
          <cell r="H67" t="str">
            <v>ООО "Балтпромизолит"</v>
          </cell>
          <cell r="I67">
            <v>16966.86</v>
          </cell>
        </row>
        <row r="68">
          <cell r="A68" t="str">
            <v>Лента Креп</v>
          </cell>
          <cell r="B68">
            <v>66</v>
          </cell>
          <cell r="C68" t="str">
            <v>Лента Креп</v>
          </cell>
          <cell r="D68" t="str">
            <v>Лента Креп</v>
          </cell>
          <cell r="E68" t="str">
            <v>шт</v>
          </cell>
          <cell r="F68">
            <v>36.86</v>
          </cell>
          <cell r="G68" t="str">
            <v>103 от 09.06.2015</v>
          </cell>
          <cell r="H68" t="str">
            <v>ООО "Расма"</v>
          </cell>
          <cell r="I68">
            <v>27.12</v>
          </cell>
        </row>
        <row r="69">
          <cell r="A69" t="str">
            <v>Лента малярная</v>
          </cell>
          <cell r="B69">
            <v>67</v>
          </cell>
          <cell r="C69" t="str">
            <v>лента малярная S</v>
          </cell>
          <cell r="D69" t="str">
            <v>Лента малярная</v>
          </cell>
          <cell r="E69" t="str">
            <v>шт</v>
          </cell>
          <cell r="F69">
            <v>149</v>
          </cell>
          <cell r="G69" t="str">
            <v>чек 43 тов.чек 69 от 15.09.2015</v>
          </cell>
          <cell r="H69" t="str">
            <v>ООО "Максидом"</v>
          </cell>
          <cell r="I69">
            <v>190.64</v>
          </cell>
        </row>
        <row r="70">
          <cell r="A70" t="str">
            <v>Маркировочная краска XV501 T-4 SM White (жидк.)</v>
          </cell>
          <cell r="B70">
            <v>68</v>
          </cell>
          <cell r="C70" t="str">
            <v>Маркировочная краска XV501 T-4 SM White (жидкая)</v>
          </cell>
          <cell r="D70" t="str">
            <v>Маркировочная краска XV501 T-4 SM White (жидк.)</v>
          </cell>
          <cell r="E70" t="str">
            <v>кг</v>
          </cell>
          <cell r="F70">
            <v>2095.91</v>
          </cell>
          <cell r="G70" t="str">
            <v>spb017081602 от 16.08.2017 (spb0170816002 )</v>
          </cell>
          <cell r="H70" t="str">
            <v>ООО "Петрокоммерц"</v>
          </cell>
          <cell r="I70">
            <v>2306.1799999999998</v>
          </cell>
        </row>
        <row r="71">
          <cell r="A71" t="str">
            <v>Материал Заказчика</v>
          </cell>
          <cell r="B71">
            <v>69</v>
          </cell>
          <cell r="C71" t="str">
            <v>Материал Заказчика</v>
          </cell>
          <cell r="D71" t="str">
            <v>Материал Заказчика</v>
          </cell>
          <cell r="E71" t="str">
            <v>м2</v>
          </cell>
          <cell r="F71">
            <v>0</v>
          </cell>
          <cell r="I71">
            <v>0</v>
          </cell>
        </row>
        <row r="72">
          <cell r="A72" t="str">
            <v>Материал фольгированный RO435B-35-35-0.101</v>
          </cell>
          <cell r="B72">
            <v>70</v>
          </cell>
          <cell r="C72" t="str">
            <v>Материал фольгированный RO435B-35-35-0.101</v>
          </cell>
          <cell r="D72" t="str">
            <v>Материал фольгированный RO435B-35-35-0.101</v>
          </cell>
          <cell r="E72" t="str">
            <v>м2</v>
          </cell>
          <cell r="F72">
            <v>27754.240000000002</v>
          </cell>
          <cell r="G72" t="str">
            <v>126 от21.03.16(244 от21.03.16)</v>
          </cell>
          <cell r="H72" t="str">
            <v>ООО "ЭлекТрейд-М"</v>
          </cell>
          <cell r="I72">
            <v>0</v>
          </cell>
        </row>
        <row r="73">
          <cell r="A73" t="str">
            <v>Материал фольгированный RO4360G2-18/18-0.508</v>
          </cell>
          <cell r="B73">
            <v>71</v>
          </cell>
          <cell r="C73" t="str">
            <v xml:space="preserve">Материал фольгированный RO4360G2-18/18-0.508 </v>
          </cell>
          <cell r="D73" t="str">
            <v>Материал фольгированный RO4360G2-18/18-0.508</v>
          </cell>
          <cell r="E73" t="str">
            <v>м2</v>
          </cell>
          <cell r="F73">
            <v>40534.379999999997</v>
          </cell>
          <cell r="G73" t="str">
            <v>328 от 01.07.2015 (643)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RO4360G2-18/18-1.524</v>
          </cell>
          <cell r="B74">
            <v>72</v>
          </cell>
          <cell r="C74" t="str">
            <v xml:space="preserve">Материал фольгированный RO4360G2-18/18-1.524 </v>
          </cell>
          <cell r="D74" t="str">
            <v>Материал фольгированный RO4360G2-18/18-1.524</v>
          </cell>
          <cell r="E74" t="str">
            <v>м2</v>
          </cell>
          <cell r="F74">
            <v>81858.36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Медь двухлористая 2-водная</v>
          </cell>
          <cell r="B75">
            <v>73</v>
          </cell>
          <cell r="C75" t="str">
            <v>Медь двухлористая 2-водная</v>
          </cell>
          <cell r="D75" t="str">
            <v>Медь двухлористая 2-водная</v>
          </cell>
          <cell r="E75" t="str">
            <v>кг</v>
          </cell>
          <cell r="F75">
            <v>500</v>
          </cell>
          <cell r="G75" t="str">
            <v>539 от 21.11.2013</v>
          </cell>
          <cell r="H75" t="str">
            <v>ООО "Реахим"</v>
          </cell>
          <cell r="I75">
            <v>0</v>
          </cell>
        </row>
        <row r="76">
          <cell r="A76" t="str">
            <v>Медь сернокислая 5-водная</v>
          </cell>
          <cell r="B76">
            <v>74</v>
          </cell>
          <cell r="C76" t="str">
            <v>Медь сернокислая 5-водная</v>
          </cell>
          <cell r="D76" t="str">
            <v>Медь сернокислая 5-водная</v>
          </cell>
          <cell r="E76" t="str">
            <v>кг</v>
          </cell>
          <cell r="F76">
            <v>320</v>
          </cell>
          <cell r="G76" t="str">
            <v>168 от 12.07.2017 (Без СФ)</v>
          </cell>
          <cell r="H76" t="str">
            <v>ООО "ППФ"Химпроект"</v>
          </cell>
          <cell r="I76">
            <v>448</v>
          </cell>
        </row>
        <row r="77">
          <cell r="A77" t="str">
            <v>Меламин 0.5</v>
          </cell>
          <cell r="B77">
            <v>75</v>
          </cell>
          <cell r="C77" t="str">
            <v>Меламин 0.5</v>
          </cell>
          <cell r="D77" t="str">
            <v>Меламин 0.5</v>
          </cell>
          <cell r="E77" t="str">
            <v>м2</v>
          </cell>
          <cell r="F77">
            <v>385.63</v>
          </cell>
          <cell r="G77" t="str">
            <v>742 от 18.09.2015 (742)</v>
          </cell>
          <cell r="H77" t="str">
            <v>ООО "Торговый дом Абсолют"</v>
          </cell>
          <cell r="I77">
            <v>0</v>
          </cell>
        </row>
        <row r="78">
          <cell r="A78" t="str">
            <v>Микротравитель MICROETCH SF</v>
          </cell>
          <cell r="B78">
            <v>76</v>
          </cell>
          <cell r="C78" t="str">
            <v>Микротравитель MICROTECH SF</v>
          </cell>
          <cell r="D78" t="str">
            <v>Микротравитель MICROETCH SF</v>
          </cell>
          <cell r="E78" t="str">
            <v>кг</v>
          </cell>
          <cell r="F78">
            <v>466.4</v>
          </cell>
          <cell r="G78" t="str">
            <v>569 от 04.12.2015 (569)</v>
          </cell>
          <cell r="H78" t="str">
            <v>ООО "Атотех-Хемета"</v>
          </cell>
          <cell r="I78">
            <v>399.21</v>
          </cell>
        </row>
        <row r="79">
          <cell r="A79" t="str">
            <v>Модификатор BONDFILM PART A</v>
          </cell>
          <cell r="B79">
            <v>77</v>
          </cell>
          <cell r="C79" t="str">
            <v>Модификатор BONDFILM PART A</v>
          </cell>
          <cell r="D79" t="str">
            <v>Модификатор BONDFILM PART A</v>
          </cell>
          <cell r="E79" t="str">
            <v>кг</v>
          </cell>
          <cell r="F79">
            <v>369.38</v>
          </cell>
          <cell r="G79" t="str">
            <v>ax817 от 11.09.2017 (ax817)</v>
          </cell>
          <cell r="H79" t="str">
            <v>ООО "Атотех-Хемета"</v>
          </cell>
          <cell r="I79">
            <v>0</v>
          </cell>
        </row>
        <row r="80">
          <cell r="A80" t="str">
            <v>Набухатель SECURIGANTH P SWELLER</v>
          </cell>
          <cell r="B80">
            <v>78</v>
          </cell>
          <cell r="C80" t="str">
            <v>Набухатель SECURIGANTH P SWELLER</v>
          </cell>
          <cell r="D80" t="str">
            <v>Набухатель SECURIGANTH P SWELLER</v>
          </cell>
          <cell r="E80" t="str">
            <v>кг</v>
          </cell>
          <cell r="F80">
            <v>465.67</v>
          </cell>
          <cell r="G80" t="str">
            <v>ax220 от 17.03.2017 (ax220)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Натрий надсернокислый</v>
          </cell>
          <cell r="B81">
            <v>79</v>
          </cell>
          <cell r="C81" t="str">
            <v>Натрий надсернокислый</v>
          </cell>
          <cell r="D81" t="str">
            <v>Натрий надсернокислый</v>
          </cell>
          <cell r="E81" t="str">
            <v>кг</v>
          </cell>
          <cell r="F81">
            <v>275</v>
          </cell>
          <cell r="G81" t="str">
            <v>291 от 13.10.2016 (Без СФ)</v>
          </cell>
          <cell r="H81" t="str">
            <v>ООО "ППФ"Химпроект"</v>
          </cell>
          <cell r="I81">
            <v>229.57</v>
          </cell>
        </row>
        <row r="82">
          <cell r="A82" t="str">
            <v>Натрий углекислый</v>
          </cell>
          <cell r="B82">
            <v>80</v>
          </cell>
          <cell r="C82" t="str">
            <v>Натрий углекислый</v>
          </cell>
          <cell r="D82" t="str">
            <v>Натрий углекислый</v>
          </cell>
          <cell r="E82" t="str">
            <v>кг</v>
          </cell>
          <cell r="F82">
            <v>240</v>
          </cell>
          <cell r="G82" t="str">
            <v>168 от 12.07.2017 (Без СФ)</v>
          </cell>
          <cell r="H82" t="str">
            <v>ООО "ППФ"Химпроект"</v>
          </cell>
          <cell r="I82">
            <v>180</v>
          </cell>
        </row>
        <row r="83">
          <cell r="A83" t="str">
            <v>Натрия гидроокись</v>
          </cell>
          <cell r="B83">
            <v>81</v>
          </cell>
          <cell r="C83" t="str">
            <v>Натрий гидроокись</v>
          </cell>
          <cell r="D83" t="str">
            <v>Натрия гидроокись</v>
          </cell>
          <cell r="E83" t="str">
            <v>кг</v>
          </cell>
          <cell r="F83">
            <v>142</v>
          </cell>
          <cell r="G83" t="str">
            <v>268 от 17.01.2017(Без СФ)</v>
          </cell>
          <cell r="H83" t="str">
            <v>ЗАО "ЛенРеактив"</v>
          </cell>
          <cell r="I83">
            <v>162.13999999999999</v>
          </cell>
        </row>
        <row r="84">
          <cell r="A84" t="str">
            <v>Олово металлическое (аноды оловянные)</v>
          </cell>
          <cell r="B84">
            <v>82</v>
          </cell>
          <cell r="C84" t="str">
            <v>Олово металлическое (аноды оловянные)</v>
          </cell>
          <cell r="D84" t="str">
            <v>Олово металлическое (аноды оловянные)</v>
          </cell>
          <cell r="E84" t="str">
            <v>кг</v>
          </cell>
          <cell r="F84">
            <v>1981</v>
          </cell>
          <cell r="G84" t="str">
            <v>1471 от 22.11.2016 (1471)</v>
          </cell>
          <cell r="H84" t="str">
            <v>ООО "БАЛТИЗОЛИТ"</v>
          </cell>
          <cell r="I84">
            <v>1556.45</v>
          </cell>
        </row>
        <row r="85">
          <cell r="A85" t="str">
            <v>Олово сернокислое (олова сульфат)</v>
          </cell>
          <cell r="B85">
            <v>83</v>
          </cell>
          <cell r="C85" t="str">
            <v>Олово сернокислое (олова сульфат)</v>
          </cell>
          <cell r="D85" t="str">
            <v>Олово сернокислое (олова сульфат)</v>
          </cell>
          <cell r="E85" t="str">
            <v>кг</v>
          </cell>
          <cell r="F85">
            <v>2312.69</v>
          </cell>
          <cell r="G85" t="str">
            <v>spb14111004 от 10.11.2014 (spb141110004)</v>
          </cell>
          <cell r="H85" t="str">
            <v>ООО "Петрокоммерц"</v>
          </cell>
          <cell r="I85">
            <v>1872.9</v>
          </cell>
        </row>
        <row r="86">
          <cell r="A86" t="str">
            <v>Очиститель AUNIC CLN</v>
          </cell>
          <cell r="B86">
            <v>84</v>
          </cell>
          <cell r="C86" t="str">
            <v>Очиститель AUNIC CLEANER</v>
          </cell>
          <cell r="D86" t="str">
            <v>Очиститель AUNIC CLN</v>
          </cell>
          <cell r="E86" t="str">
            <v>кг</v>
          </cell>
          <cell r="F86">
            <v>542.26</v>
          </cell>
          <cell r="G86" t="str">
            <v>ах991 от 24.10.2017 (991)</v>
          </cell>
          <cell r="H86" t="str">
            <v>ООО "Атотех-Хемета"</v>
          </cell>
          <cell r="I86">
            <v>381.36</v>
          </cell>
        </row>
        <row r="87">
          <cell r="A87" t="str">
            <v>Очиститель BONDFILM REINIGER ALK</v>
          </cell>
          <cell r="B87">
            <v>85</v>
          </cell>
          <cell r="C87" t="str">
            <v>Очиститель BONDFILM REINIGER ALK</v>
          </cell>
          <cell r="D87" t="str">
            <v>Очиститель BONDFILM REINIGER ALK</v>
          </cell>
          <cell r="E87" t="str">
            <v>кг</v>
          </cell>
          <cell r="F87">
            <v>425.61</v>
          </cell>
          <cell r="G87" t="str">
            <v>ax817 от 11.09.2017 (ax817)</v>
          </cell>
          <cell r="H87" t="str">
            <v>ООО "Атотех-Хемета"</v>
          </cell>
          <cell r="I87">
            <v>421.79</v>
          </cell>
        </row>
        <row r="88">
          <cell r="A88" t="str">
            <v>Очиститель Screen opener K2</v>
          </cell>
          <cell r="B88">
            <v>86</v>
          </cell>
          <cell r="C88" t="str">
            <v>Очиститель Screen opener K2</v>
          </cell>
          <cell r="D88" t="str">
            <v>Очиститель Screen opener K2</v>
          </cell>
          <cell r="E88" t="str">
            <v>кг</v>
          </cell>
          <cell r="F88">
            <v>328.92</v>
          </cell>
          <cell r="G88" t="str">
            <v>ЦП003334 от 09.12.2016 (ЦП00003324)</v>
          </cell>
          <cell r="H88" t="str">
            <v>ЗАО "Итако"</v>
          </cell>
          <cell r="I88">
            <v>347.91</v>
          </cell>
        </row>
        <row r="89">
          <cell r="A89" t="str">
            <v>Очиститель SECURIGANTH 902 CLEANER</v>
          </cell>
          <cell r="B89">
            <v>87</v>
          </cell>
          <cell r="C89" t="str">
            <v>Очиститель SECURIGANTH 902 CLEANER</v>
          </cell>
          <cell r="D89" t="str">
            <v>Очиститель SECURIGANTH 902 CLEANER</v>
          </cell>
          <cell r="E89" t="str">
            <v>кг</v>
          </cell>
          <cell r="F89">
            <v>999.81</v>
          </cell>
          <cell r="G89" t="str">
            <v>ax817 от 11.09.2017 (ax817)</v>
          </cell>
          <cell r="H89" t="str">
            <v>ООО "Атотех-Хемета"</v>
          </cell>
          <cell r="I89">
            <v>0</v>
          </cell>
        </row>
        <row r="90">
          <cell r="A90" t="str">
            <v>Пакет с защелкой полиэтиленовый</v>
          </cell>
          <cell r="B90">
            <v>88</v>
          </cell>
          <cell r="C90" t="str">
            <v>Пакет с защелкой полиэтиленовый</v>
          </cell>
          <cell r="D90" t="str">
            <v>Пакет с защелкой полиэтиленовый</v>
          </cell>
          <cell r="E90" t="str">
            <v>шт</v>
          </cell>
          <cell r="F90">
            <v>1.6</v>
          </cell>
          <cell r="G90" t="str">
            <v>166 от 04.09.2015</v>
          </cell>
          <cell r="H90" t="str">
            <v>ООО "Расма"</v>
          </cell>
          <cell r="I90">
            <v>1.86</v>
          </cell>
        </row>
        <row r="91">
          <cell r="A91" t="str">
            <v>Пеногаситель</v>
          </cell>
          <cell r="B91">
            <v>89</v>
          </cell>
          <cell r="C91" t="str">
            <v>Пеногаситель</v>
          </cell>
          <cell r="D91" t="str">
            <v>Пеногаситель</v>
          </cell>
          <cell r="E91" t="str">
            <v>кг</v>
          </cell>
          <cell r="F91">
            <v>935.52</v>
          </cell>
          <cell r="G91" t="str">
            <v>563 от 12.07.2017 (563)</v>
          </cell>
          <cell r="H91" t="str">
            <v>ООО "Торговый дом Абсолют"</v>
          </cell>
          <cell r="I91">
            <v>884.7</v>
          </cell>
        </row>
        <row r="92">
          <cell r="A92" t="str">
            <v>Перекись водорода</v>
          </cell>
          <cell r="B92">
            <v>90</v>
          </cell>
          <cell r="C92" t="str">
            <v>Перекись водорода</v>
          </cell>
          <cell r="D92" t="str">
            <v>Перекись водорода</v>
          </cell>
          <cell r="E92" t="str">
            <v>кг</v>
          </cell>
          <cell r="F92">
            <v>78</v>
          </cell>
          <cell r="G92" t="str">
            <v>26 от 10.02.16 (Без СФ)</v>
          </cell>
          <cell r="H92" t="str">
            <v>ООО "ППФ"Химпроект"</v>
          </cell>
          <cell r="I92">
            <v>74.77</v>
          </cell>
        </row>
        <row r="93">
          <cell r="A93" t="str">
            <v>Плёнка отслаиваемая полиэфирная PACOTHANE</v>
          </cell>
          <cell r="B93">
            <v>91</v>
          </cell>
          <cell r="C93" t="str">
            <v>Пленка отслаиваемая полиэфирная PACOTHANE</v>
          </cell>
          <cell r="D93" t="str">
            <v>Плёнка отслаиваемая полиэфирная PACOTHANE</v>
          </cell>
          <cell r="E93" t="str">
            <v>м2</v>
          </cell>
          <cell r="F93">
            <v>208.98</v>
          </cell>
          <cell r="G93" t="str">
            <v>24 от 17.01.2017 (24)</v>
          </cell>
          <cell r="H93" t="str">
            <v>ООО "Торговый дом Абсолют"</v>
          </cell>
          <cell r="I93">
            <v>236.6</v>
          </cell>
        </row>
        <row r="94">
          <cell r="A94" t="str">
            <v>Пленка стрейч</v>
          </cell>
          <cell r="B94">
            <v>92</v>
          </cell>
          <cell r="C94" t="str">
            <v>пленка упаковочная 50см/17мк (120) упаковочная</v>
          </cell>
          <cell r="D94" t="str">
            <v>Пленка стрейч</v>
          </cell>
          <cell r="E94" t="str">
            <v>шт</v>
          </cell>
          <cell r="F94">
            <v>185.59</v>
          </cell>
          <cell r="G94" t="str">
            <v>191 от 01.10.2015</v>
          </cell>
          <cell r="H94" t="str">
            <v>ООО "Расма"</v>
          </cell>
          <cell r="I94">
            <v>156.86000000000001</v>
          </cell>
        </row>
        <row r="95">
          <cell r="A95" t="str">
            <v>Припой ПОС-61</v>
          </cell>
          <cell r="B95">
            <v>93</v>
          </cell>
          <cell r="C95" t="str">
            <v>Припой ПОС-61</v>
          </cell>
          <cell r="D95" t="str">
            <v>Припой ПОС-61</v>
          </cell>
          <cell r="E95" t="str">
            <v>кг</v>
          </cell>
          <cell r="F95">
            <v>1397</v>
          </cell>
          <cell r="G95" t="str">
            <v>774 от 06.12.2017 (774)</v>
          </cell>
          <cell r="H95" t="str">
            <v>ООО "БАЛТИЗОЛИТ"</v>
          </cell>
          <cell r="I95">
            <v>1189.98</v>
          </cell>
        </row>
        <row r="96">
          <cell r="A96" t="str">
            <v>Проявитель KODAK ACCUMAX Rapid Access</v>
          </cell>
          <cell r="B96">
            <v>94</v>
          </cell>
          <cell r="C96" t="str">
            <v>Проявитель KODAK</v>
          </cell>
          <cell r="D96" t="str">
            <v>Проявитель KODAK ACCUMAX Rapid Access</v>
          </cell>
          <cell r="E96" t="str">
            <v>кг</v>
          </cell>
          <cell r="F96">
            <v>418.87</v>
          </cell>
          <cell r="G96" t="str">
            <v>249 от 14.03.2017 (249)</v>
          </cell>
          <cell r="H96" t="str">
            <v>ООО "БАЛТПРОМИЗОЛИТ"</v>
          </cell>
          <cell r="I96">
            <v>446.79</v>
          </cell>
        </row>
        <row r="97">
          <cell r="A97" t="str">
            <v>Разбавитель XZ 101 (для защитной маски XV 501T)</v>
          </cell>
          <cell r="B97">
            <v>95</v>
          </cell>
          <cell r="C97" t="str">
            <v>Разбавитель XZ 101 (для защитной маски XV 501T)</v>
          </cell>
          <cell r="D97" t="str">
            <v>Разбавитель XZ 101 (для защитной маски XV 501T)</v>
          </cell>
          <cell r="E97" t="str">
            <v>кг</v>
          </cell>
          <cell r="F97">
            <v>834.98</v>
          </cell>
          <cell r="G97" t="str">
            <v>spb01706205 от 22.06.2017</v>
          </cell>
          <cell r="H97" t="str">
            <v>ООО "Петрокоммерц"</v>
          </cell>
          <cell r="I97">
            <v>0</v>
          </cell>
        </row>
        <row r="98">
          <cell r="A98" t="str">
            <v>Разбавитель XZ 107 (для защитной маски XV 501T-4)</v>
          </cell>
          <cell r="B98">
            <v>96</v>
          </cell>
          <cell r="C98" t="str">
            <v>Разбавитель XZ 107 (для защитной маски XV 501T-4)</v>
          </cell>
          <cell r="D98" t="str">
            <v>Разбавитель XZ 107 (для защитной маски XV 501T-4)</v>
          </cell>
          <cell r="E98" t="str">
            <v>кг</v>
          </cell>
          <cell r="F98">
            <v>780</v>
          </cell>
          <cell r="G98" t="str">
            <v>spb015070704 от 08.07.2015  (spb0150708004)</v>
          </cell>
          <cell r="H98" t="str">
            <v>ООО "Петрокоммерц"</v>
          </cell>
          <cell r="I98">
            <v>0</v>
          </cell>
        </row>
        <row r="99">
          <cell r="A99" t="str">
            <v>Растворитель 646</v>
          </cell>
          <cell r="B99">
            <v>97</v>
          </cell>
          <cell r="C99" t="str">
            <v>Растворитель 646</v>
          </cell>
          <cell r="D99" t="str">
            <v>Растворитель 646</v>
          </cell>
          <cell r="E99" t="str">
            <v>кг</v>
          </cell>
          <cell r="F99">
            <v>120.86</v>
          </cell>
          <cell r="G99" t="str">
            <v>чек 3625 тов. Чек 103 от 09.12.2015</v>
          </cell>
          <cell r="H99" t="str">
            <v>ООО "Квадро"</v>
          </cell>
          <cell r="I99">
            <v>0</v>
          </cell>
        </row>
        <row r="100">
          <cell r="A100" t="str">
            <v>Сверло твердосплавное d 0,25 ...0,60 мм, отв/шт</v>
          </cell>
          <cell r="B100">
            <v>98</v>
          </cell>
          <cell r="C100" t="str">
            <v>сверло д1=0,3, д2=3,175 твердосплавное</v>
          </cell>
          <cell r="D100" t="str">
            <v>Сверло твердосплавное d 0,25 ...0,60 мм, отв/шт</v>
          </cell>
          <cell r="E100" t="str">
            <v>шт</v>
          </cell>
          <cell r="F100">
            <v>150</v>
          </cell>
          <cell r="G100" t="str">
            <v>1304 от 1.12.2015</v>
          </cell>
          <cell r="H100" t="str">
            <v>ООО "БАЛТИЗОЛИТ"</v>
          </cell>
          <cell r="I100">
            <v>144.38</v>
          </cell>
        </row>
        <row r="101">
          <cell r="A101" t="str">
            <v>Сверло твердосплавное d 0,70…2,05 мм, отв/шт</v>
          </cell>
          <cell r="B101">
            <v>99</v>
          </cell>
          <cell r="C101" t="str">
            <v>Сверло твердосплавное, отв/шт</v>
          </cell>
          <cell r="D101" t="str">
            <v>Сверло твердосплавное d 0,70…2,05 мм, отв/шт</v>
          </cell>
          <cell r="E101" t="str">
            <v>шт</v>
          </cell>
          <cell r="F101">
            <v>95</v>
          </cell>
          <cell r="G101" t="str">
            <v>1303 от 1.12.2015</v>
          </cell>
          <cell r="H101" t="str">
            <v>ООО "БАЛТИЗОЛИТ"</v>
          </cell>
          <cell r="I101">
            <v>0</v>
          </cell>
        </row>
        <row r="102">
          <cell r="A102" t="str">
            <v>Сода кальцинированная</v>
          </cell>
          <cell r="B102">
            <v>100</v>
          </cell>
          <cell r="C102" t="str">
            <v>Сода кальцинированная</v>
          </cell>
          <cell r="D102" t="str">
            <v>Сода кальцинированная</v>
          </cell>
          <cell r="E102" t="str">
            <v>кг</v>
          </cell>
          <cell r="F102">
            <v>36</v>
          </cell>
          <cell r="G102" t="str">
            <v>338 от 30.11.2016 (Без СФ)</v>
          </cell>
          <cell r="H102" t="str">
            <v>ООО "ППФ"Химпроект"</v>
          </cell>
          <cell r="I102">
            <v>29.83</v>
          </cell>
        </row>
        <row r="103">
          <cell r="A103" t="str">
            <v>Состав д/приготовл. AUNIC MAKE-UP</v>
          </cell>
          <cell r="B103">
            <v>101</v>
          </cell>
          <cell r="C103" t="str">
            <v>Состав для приготовления AUNIC MAKE-UP</v>
          </cell>
          <cell r="D103" t="str">
            <v>Состав д/приготовл. AUNIC MAKE-UP</v>
          </cell>
          <cell r="E103" t="str">
            <v>кг</v>
          </cell>
          <cell r="F103">
            <v>679.04</v>
          </cell>
          <cell r="G103" t="str">
            <v>ax817 от 11.09.2017 (ax817)</v>
          </cell>
          <cell r="H103" t="str">
            <v>ООО "Атотех-Хемета"</v>
          </cell>
          <cell r="I103">
            <v>659.91</v>
          </cell>
        </row>
        <row r="104">
          <cell r="A104" t="str">
            <v>Состав д/приготовл. BONDFILM STARTER</v>
          </cell>
          <cell r="B104">
            <v>102</v>
          </cell>
          <cell r="C104" t="str">
            <v>Состав для приготовления BONDFILM STARTER</v>
          </cell>
          <cell r="D104" t="str">
            <v>Состав д/приготовл. BONDFILM STARTER</v>
          </cell>
          <cell r="E104" t="str">
            <v>кг</v>
          </cell>
          <cell r="F104">
            <v>373.54</v>
          </cell>
          <cell r="G104" t="str">
            <v>ax991 от 24.10.2017 (ax991)</v>
          </cell>
          <cell r="H104" t="str">
            <v>ООО "Атотех-Хемета"</v>
          </cell>
          <cell r="I104">
            <v>265.2</v>
          </cell>
        </row>
        <row r="105">
          <cell r="A105" t="str">
            <v>Состав д/приготовл. NOVIGANT HC MAKE-UP</v>
          </cell>
          <cell r="B105">
            <v>103</v>
          </cell>
          <cell r="C105" t="str">
            <v>Состав для приготовления NOVIGANTH HC MAKE-UP</v>
          </cell>
          <cell r="D105" t="str">
            <v>Состав д/приготовл. NOVIGANT HC MAKE-UP</v>
          </cell>
          <cell r="E105" t="str">
            <v>кг</v>
          </cell>
          <cell r="F105">
            <v>1121.22</v>
          </cell>
          <cell r="G105" t="str">
            <v>45 от 02.02.2015 (45)</v>
          </cell>
          <cell r="H105" t="str">
            <v>ООО "Атотех-Хемета"</v>
          </cell>
          <cell r="I105">
            <v>793.38</v>
          </cell>
        </row>
        <row r="106">
          <cell r="A106" t="str">
            <v>Состав для гальванизации СUPROSTAR LP-1</v>
          </cell>
          <cell r="B106">
            <v>104</v>
          </cell>
          <cell r="C106" t="str">
            <v>Состав для гальванизации CUPROSTAR LP-1</v>
          </cell>
          <cell r="D106" t="str">
            <v>Состав для гальванизации СUPROSTAR LP-1</v>
          </cell>
          <cell r="E106" t="str">
            <v>кг</v>
          </cell>
          <cell r="F106">
            <v>6435.75</v>
          </cell>
          <cell r="G106" t="str">
            <v>4990047602 от 01.11.2017 (500015444622432)</v>
          </cell>
          <cell r="H106" t="str">
            <v>АО "Омиа Алгол Рус"</v>
          </cell>
          <cell r="I106">
            <v>5866.45</v>
          </cell>
        </row>
        <row r="107">
          <cell r="A107" t="str">
            <v>Состав для удаления олова</v>
          </cell>
          <cell r="B107">
            <v>105</v>
          </cell>
          <cell r="C107" t="str">
            <v>Состав для удаления олова</v>
          </cell>
          <cell r="D107" t="str">
            <v>Состав для удаления олова</v>
          </cell>
          <cell r="E107" t="str">
            <v>кг</v>
          </cell>
          <cell r="F107">
            <v>210.46</v>
          </cell>
          <cell r="G107" t="str">
            <v>spb017092701от 27.09.2017 (0170927001)</v>
          </cell>
          <cell r="H107" t="str">
            <v>ООО "Петрокоммерц"</v>
          </cell>
          <cell r="I107">
            <v>161.91999999999999</v>
          </cell>
        </row>
        <row r="108">
          <cell r="A108" t="str">
            <v>Среднегодовой расход вспомогательных материалов</v>
          </cell>
          <cell r="B108">
            <v>106</v>
          </cell>
          <cell r="C108" t="str">
            <v>Среднегодовой расход вспомогательных материалов</v>
          </cell>
          <cell r="D108" t="str">
            <v>Среднегодовой расход вспомогательных материалов</v>
          </cell>
          <cell r="F108">
            <v>150</v>
          </cell>
          <cell r="I108">
            <v>0</v>
          </cell>
        </row>
        <row r="109">
          <cell r="A109" t="str">
            <v>Среднегодовой расход материалов лаборатории</v>
          </cell>
          <cell r="B109">
            <v>107</v>
          </cell>
          <cell r="C109" t="str">
            <v>Среднегодовой расход материалов лаборатории</v>
          </cell>
          <cell r="D109" t="str">
            <v>Среднегодовой расход материалов лаборатории</v>
          </cell>
          <cell r="F109">
            <v>30</v>
          </cell>
          <cell r="I109">
            <v>0</v>
          </cell>
        </row>
        <row r="110">
          <cell r="A110" t="str">
            <v>Стабилизатор NOVIGANTH HC STABILIZER</v>
          </cell>
          <cell r="B110">
            <v>108</v>
          </cell>
          <cell r="C110" t="str">
            <v>Стабилизатор NOVIGANTH HC STABILIZER</v>
          </cell>
          <cell r="D110" t="str">
            <v>Стабилизатор NOVIGANTH HC STABILIZER</v>
          </cell>
          <cell r="E110" t="str">
            <v>кг</v>
          </cell>
          <cell r="F110">
            <v>2499.88</v>
          </cell>
          <cell r="G110" t="str">
            <v>spb14112501 от 25.11.2014 (spb141125001)</v>
          </cell>
          <cell r="H110" t="str">
            <v>ООО "Петрокоммерц"</v>
          </cell>
          <cell r="I110">
            <v>2414.73</v>
          </cell>
        </row>
        <row r="111">
          <cell r="A111" t="str">
            <v>Стеклотекстолит фольг. DE 104 18/18-0.36</v>
          </cell>
          <cell r="B111">
            <v>109</v>
          </cell>
          <cell r="C111" t="str">
            <v>Стеклотекстолит фольгированный DE104ML 18/18-0.36</v>
          </cell>
          <cell r="D111" t="str">
            <v>Стеклотекстолит фольг. DE 104 18/18-0.36</v>
          </cell>
          <cell r="E111" t="str">
            <v>м2</v>
          </cell>
          <cell r="F111">
            <v>2229</v>
          </cell>
          <cell r="G111" t="str">
            <v>1235 от 19.11.2015 (1235)</v>
          </cell>
          <cell r="H111" t="str">
            <v>ООО "БАЛТИЗОЛИТ"</v>
          </cell>
          <cell r="I111">
            <v>2358.84</v>
          </cell>
        </row>
        <row r="112">
          <cell r="A112" t="str">
            <v>Стеклотекстолит фольг. DE 104 18/18-1.5</v>
          </cell>
          <cell r="B112">
            <v>110</v>
          </cell>
          <cell r="C112" t="str">
            <v>Стеклотекстолит фольгированный DE104 18/18-1.5</v>
          </cell>
          <cell r="D112" t="str">
            <v>Стеклотекстолит фольг. DE 104 18/18-1.5</v>
          </cell>
          <cell r="E112" t="str">
            <v>м2</v>
          </cell>
          <cell r="F112">
            <v>2182.16</v>
          </cell>
          <cell r="G112" t="str">
            <v>232 от 14.12.2017 (261)</v>
          </cell>
          <cell r="H112" t="str">
            <v>ООО "Петроизолит"</v>
          </cell>
          <cell r="I112">
            <v>630.99</v>
          </cell>
        </row>
        <row r="113">
          <cell r="A113" t="str">
            <v>Стеклотекстолит фольг. DE 104 18/18-2.0</v>
          </cell>
          <cell r="B113">
            <v>111</v>
          </cell>
          <cell r="C113" t="str">
            <v>Стеклотекстолит фольгированный DE104 18/18-2.0</v>
          </cell>
          <cell r="D113" t="str">
            <v>Стеклотекстолит фольг. DE 104 18/18-2.0</v>
          </cell>
          <cell r="E113" t="str">
            <v>м2</v>
          </cell>
          <cell r="F113">
            <v>1790.57</v>
          </cell>
          <cell r="G113" t="str">
            <v>959 от 06.11.2013 (1378)</v>
          </cell>
          <cell r="H113" t="str">
            <v>ООО "БАЛТИЗОЛИТ"</v>
          </cell>
          <cell r="I113">
            <v>2190</v>
          </cell>
        </row>
        <row r="114">
          <cell r="A114" t="str">
            <v>Стеклотекстолит фольг. DE 104 35/35-0.36</v>
          </cell>
          <cell r="B114">
            <v>112</v>
          </cell>
          <cell r="C114" t="str">
            <v>Стеклотекстолит фольгированный DE104ML 35/35-0.36</v>
          </cell>
          <cell r="D114" t="str">
            <v>Стеклотекстолит фольг. DE 104 35/35-0.36</v>
          </cell>
          <cell r="E114" t="str">
            <v>м2</v>
          </cell>
          <cell r="F114">
            <v>1660.64</v>
          </cell>
          <cell r="G114" t="str">
            <v>433 от 28.04.2014 (581)</v>
          </cell>
          <cell r="H114" t="str">
            <v>ООО "БАЛТИЗОЛИТ СПб"</v>
          </cell>
          <cell r="I114">
            <v>1628.44</v>
          </cell>
        </row>
        <row r="115">
          <cell r="A115" t="str">
            <v>Стеклотекстолит фольг. DE 104 35/35-1.0</v>
          </cell>
          <cell r="B115">
            <v>113</v>
          </cell>
          <cell r="C115" t="str">
            <v>Стеклотекстолит фольгированный DE104ML 35/35-1.0</v>
          </cell>
          <cell r="D115" t="str">
            <v>Стеклотекстолит фольг. DE 104 35/35-1.0</v>
          </cell>
          <cell r="E115" t="str">
            <v>м2</v>
          </cell>
          <cell r="F115">
            <v>3184</v>
          </cell>
          <cell r="G115" t="str">
            <v>20 от 13.01.2016 (20)</v>
          </cell>
          <cell r="H115" t="str">
            <v>ООО "БАЛТИЗОЛИТ"</v>
          </cell>
          <cell r="I115">
            <v>2895</v>
          </cell>
        </row>
        <row r="116">
          <cell r="A116" t="str">
            <v>Стеклотекстолит фольг. DE 104 35/35-1.5</v>
          </cell>
          <cell r="B116">
            <v>114</v>
          </cell>
          <cell r="C116" t="str">
            <v>Стеклотекстолит фольгированный DE104 35/35-1.5</v>
          </cell>
          <cell r="D116" t="str">
            <v>Стеклотекстолит фольг. DE 104 35/35-1.5</v>
          </cell>
          <cell r="E116" t="str">
            <v>м2</v>
          </cell>
          <cell r="F116">
            <v>2156.27</v>
          </cell>
          <cell r="G116" t="str">
            <v>017110201 от 02.11.2017 (0171102001)</v>
          </cell>
          <cell r="H116" t="str">
            <v>ООО "Петрокоммерц"</v>
          </cell>
          <cell r="I116">
            <v>2497</v>
          </cell>
        </row>
        <row r="117">
          <cell r="A117" t="str">
            <v>Стеклотекстолит фольг. DE 104 35/35-2.0</v>
          </cell>
          <cell r="B117">
            <v>115</v>
          </cell>
          <cell r="C117" t="str">
            <v>Стеклотекстолит фольгированный DE104 35/35-2.0</v>
          </cell>
          <cell r="D117" t="str">
            <v>Стеклотекстолит фольг. DE 104 35/35-2.0</v>
          </cell>
          <cell r="E117" t="str">
            <v>м2</v>
          </cell>
          <cell r="F117" t="str">
            <v>3179.29</v>
          </cell>
          <cell r="G117" t="str">
            <v>017110201 от 02.11.2017 (0171102001)</v>
          </cell>
          <cell r="H117" t="str">
            <v>ООО "Петрокоммерц"</v>
          </cell>
          <cell r="I117">
            <v>3308.79</v>
          </cell>
        </row>
        <row r="118">
          <cell r="A118" t="str">
            <v>Стеклотекстолит фольг. DE 104 35/35-2.4</v>
          </cell>
          <cell r="B118">
            <v>116</v>
          </cell>
          <cell r="C118" t="str">
            <v>Стеклотекстолит фольгированный DE 104 35/35-2.4</v>
          </cell>
          <cell r="D118" t="str">
            <v>Стеклотекстолит фольг. DE 104 35/35-2.4</v>
          </cell>
          <cell r="E118" t="str">
            <v>м2</v>
          </cell>
          <cell r="F118">
            <v>4795</v>
          </cell>
          <cell r="G118" t="str">
            <v>1269 от 12.10.2016 (1269)</v>
          </cell>
          <cell r="H118" t="str">
            <v>ООО "БАЛТИЗОЛИТ "</v>
          </cell>
          <cell r="I118">
            <v>0</v>
          </cell>
        </row>
        <row r="119">
          <cell r="A119" t="str">
            <v>Стеклотекстолит фольг. DE 104 35/35-3.2</v>
          </cell>
          <cell r="B119">
            <v>117</v>
          </cell>
          <cell r="C119" t="str">
            <v>Стеклотекстолит фольгированный DE104 35/35-3.2</v>
          </cell>
          <cell r="D119" t="str">
            <v>Стеклотекстолит фольг. DE 104 35/35-3.2</v>
          </cell>
          <cell r="E119" t="str">
            <v>м2</v>
          </cell>
          <cell r="F119">
            <v>3923.93</v>
          </cell>
          <cell r="G119" t="str">
            <v>spb14033108 от 31.03.2014 (spb140331008)</v>
          </cell>
          <cell r="H119" t="str">
            <v>ООО "Петрокоммерц"</v>
          </cell>
          <cell r="I119">
            <v>3873.45</v>
          </cell>
        </row>
        <row r="120">
          <cell r="A120" t="str">
            <v>Стеклотекстолит фольг. DE 104 50/50-1.5</v>
          </cell>
          <cell r="B120">
            <v>118</v>
          </cell>
          <cell r="C120" t="str">
            <v>Стеклотекстолит фольгированный DE 104 50/50-1.5</v>
          </cell>
          <cell r="D120" t="str">
            <v>Стеклотекстолит фольг. DE 104 50/50-1.5</v>
          </cell>
          <cell r="E120" t="str">
            <v>м2</v>
          </cell>
          <cell r="F120">
            <v>4170</v>
          </cell>
          <cell r="G120" t="str">
            <v>570 от 06.05.2016 (570)</v>
          </cell>
          <cell r="H120" t="str">
            <v>ООО "БАЛТИЗОЛИТ"</v>
          </cell>
          <cell r="I120">
            <v>0</v>
          </cell>
        </row>
        <row r="121">
          <cell r="A121" t="str">
            <v>Стеклотекстолит фольг. DE 104 50/50-2.0</v>
          </cell>
          <cell r="B121">
            <v>119</v>
          </cell>
          <cell r="C121" t="str">
            <v>Стеклотекстолит фольгированный DE104 50/50-2.0</v>
          </cell>
          <cell r="D121" t="str">
            <v>Стеклотекстолит фольг. DE 104 50/50-2.0</v>
          </cell>
          <cell r="E121" t="str">
            <v>м2</v>
          </cell>
          <cell r="F121">
            <v>3788.4</v>
          </cell>
          <cell r="G121" t="str">
            <v>339 от 17.03.2016 (339)</v>
          </cell>
          <cell r="H121" t="str">
            <v>ООО "БАЛТИЗОЛИТ"</v>
          </cell>
          <cell r="I121">
            <v>3232.66</v>
          </cell>
        </row>
        <row r="122">
          <cell r="A122" t="str">
            <v>Стеклотекстолит фольг. DE104ML 18/18-0.8</v>
          </cell>
          <cell r="B122">
            <v>120</v>
          </cell>
          <cell r="C122" t="str">
            <v>Стеклотекстолит фольгированный DE104ML 18/18-0.8</v>
          </cell>
          <cell r="D122" t="str">
            <v>Стеклотекстолит фольг. DE104ML 18/18-0.8</v>
          </cell>
          <cell r="E122" t="str">
            <v>м2</v>
          </cell>
          <cell r="F122">
            <v>1563.82</v>
          </cell>
          <cell r="G122" t="str">
            <v>spb14081806 от 18.08.2014 (spb140818006)</v>
          </cell>
          <cell r="H122" t="str">
            <v>ООО "Петрокоммерц"</v>
          </cell>
          <cell r="I122">
            <v>1563.82</v>
          </cell>
        </row>
        <row r="123">
          <cell r="A123" t="str">
            <v>Стеклотекстолит фольг. FR-4 35/35-0.15</v>
          </cell>
          <cell r="B123">
            <v>121</v>
          </cell>
          <cell r="C123" t="str">
            <v>Стеклотекстолит фольгированный FR-4 35/35-0.15</v>
          </cell>
          <cell r="D123" t="str">
            <v>Стеклотекстолит фольг. FR-4 35/35-0.15</v>
          </cell>
          <cell r="E123" t="str">
            <v>м2</v>
          </cell>
          <cell r="F123">
            <v>2300</v>
          </cell>
          <cell r="G123" t="str">
            <v>56 от 22.11.2010 (59)</v>
          </cell>
          <cell r="H123" t="str">
            <v>ООО "АльфаКом"</v>
          </cell>
          <cell r="I123">
            <v>0</v>
          </cell>
        </row>
        <row r="124">
          <cell r="A124" t="str">
            <v>Стеклотекстолит фольг. FR-4 35/35-0.8</v>
          </cell>
          <cell r="B124">
            <v>122</v>
          </cell>
          <cell r="C124" t="str">
            <v>Стеклотекстолит фольгированный FR-4 35/35-0.8</v>
          </cell>
          <cell r="D124" t="str">
            <v>Стеклотекстолит фольг. FR-4 35/35-0.8</v>
          </cell>
          <cell r="E124" t="str">
            <v>м2</v>
          </cell>
          <cell r="F124">
            <v>1897</v>
          </cell>
          <cell r="G124" t="str">
            <v>538 от 11.07.2017 (538)</v>
          </cell>
          <cell r="H124" t="str">
            <v>ООО "БАЛТИЗОЛИТ"</v>
          </cell>
          <cell r="I124">
            <v>0</v>
          </cell>
        </row>
        <row r="125">
          <cell r="A125" t="str">
            <v>Стеклотекстолит фольг. FR-4 МИ 18/18-1.5 1кл.</v>
          </cell>
          <cell r="B125">
            <v>123</v>
          </cell>
          <cell r="C125" t="str">
            <v>Стеклотекстолит фольгированный FR-4 МИ 18/18-1.5 1кл.</v>
          </cell>
          <cell r="D125" t="str">
            <v>Стеклотекстолит фольг. FR-4 МИ 18/18-1.5 1кл.</v>
          </cell>
          <cell r="E125">
            <v>0.32</v>
          </cell>
          <cell r="F125">
            <v>435</v>
          </cell>
          <cell r="G125" t="str">
            <v>199 от 24.04.2012 (199)</v>
          </cell>
          <cell r="H125" t="str">
            <v>ООО "БАЛТИЗОЛИТ СПб"</v>
          </cell>
          <cell r="I125">
            <v>0</v>
          </cell>
        </row>
        <row r="126">
          <cell r="A126" t="str">
            <v>Стеклотекстолит фольг. FR-4 МИ 50/50-2.0</v>
          </cell>
          <cell r="B126">
            <v>124</v>
          </cell>
          <cell r="C126" t="str">
            <v>Стеклотекстолит фольгированный FR-4 МИ 50/50-2.0</v>
          </cell>
          <cell r="D126" t="str">
            <v>Стеклотекстолит фольг. FR-4 МИ 50/50-2.0</v>
          </cell>
          <cell r="E126">
            <v>1</v>
          </cell>
          <cell r="F126">
            <v>485</v>
          </cell>
          <cell r="G126" t="str">
            <v>936 от 28.10.2013 (1355)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МИ1222.9-2-105-1.5 1кл.</v>
          </cell>
          <cell r="B127">
            <v>125</v>
          </cell>
          <cell r="C127" t="str">
            <v>Стеклотекстолит фольгированный МИ1222.9-2-105-1.5 1кл.</v>
          </cell>
          <cell r="D127" t="str">
            <v>Стеклотекстолит фольг. МИ1222.9-2-105-1.5 1кл.</v>
          </cell>
          <cell r="E127">
            <v>0.22900000000000001</v>
          </cell>
          <cell r="F127">
            <v>873</v>
          </cell>
          <cell r="G127" t="str">
            <v>УТ-1556 от 08.11.2016(УТ-1556)</v>
          </cell>
          <cell r="H127" t="str">
            <v>ООО "Торговый дом МолдавИзолит""</v>
          </cell>
          <cell r="I127">
            <v>0</v>
          </cell>
        </row>
        <row r="128">
          <cell r="A128" t="str">
            <v>Стеклотекстолит фольг. МИ1222.9-2-105-2.0 1кл.</v>
          </cell>
          <cell r="B128">
            <v>126</v>
          </cell>
          <cell r="C128" t="str">
            <v>Стеклотекстолит фольгированный МИ1222.9-2-105-2.0 1кл.</v>
          </cell>
          <cell r="D128" t="str">
            <v>Стеклотекстолит фольг. МИ1222.9-2-105-2.0 1кл.</v>
          </cell>
          <cell r="E128">
            <v>0.125</v>
          </cell>
          <cell r="F128">
            <v>1196</v>
          </cell>
          <cell r="G128" t="str">
            <v>663 от 09.11.2017 (663)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МИ1222.9-2-18-1.0 1кл.</v>
          </cell>
          <cell r="B129">
            <v>127</v>
          </cell>
          <cell r="C129" t="str">
            <v>Стеклотекстолит фольгированный МИ1222.9-2-18-1.0 1кл</v>
          </cell>
          <cell r="D129" t="str">
            <v>Стеклотекстолит фольг. МИ1222.9-2-18-1.0 1кл.</v>
          </cell>
          <cell r="E129">
            <v>0.43478</v>
          </cell>
          <cell r="F129">
            <v>499</v>
          </cell>
          <cell r="G129" t="str">
            <v>532 от 01.07.2013 (659)</v>
          </cell>
          <cell r="H129" t="str">
            <v>ООО "БАЛТИЗОЛИТ СПб"</v>
          </cell>
          <cell r="I129">
            <v>0</v>
          </cell>
        </row>
        <row r="130">
          <cell r="A130" t="str">
            <v>Стеклотекстолит фольг. МИ1222.9-2-18-1.5 1кл.</v>
          </cell>
          <cell r="B130">
            <v>128</v>
          </cell>
          <cell r="C130" t="str">
            <v>Стеклотекстолит фольгированный МИ1222.9-2-18-1.5 1кл</v>
          </cell>
          <cell r="D130" t="str">
            <v>Стеклотекстолит фольг. МИ1222.9-2-18-1.5 1кл.</v>
          </cell>
          <cell r="E130">
            <v>0.31947999999999999</v>
          </cell>
          <cell r="F130">
            <v>819</v>
          </cell>
          <cell r="G130" t="str">
            <v>339 от 17.03.2016 (339)</v>
          </cell>
          <cell r="H130" t="str">
            <v>ООО "БАЛТИЗОЛИТ"</v>
          </cell>
          <cell r="I130">
            <v>0</v>
          </cell>
        </row>
        <row r="131">
          <cell r="A131" t="str">
            <v>Стеклотекстолит фольг. МИ1222.9-2-18-2.0 1кл.</v>
          </cell>
          <cell r="B131">
            <v>129</v>
          </cell>
          <cell r="C131" t="str">
            <v>Стеклотекстолит фольгированный МИ1222.9-2-18-2.0 1кл</v>
          </cell>
          <cell r="D131" t="str">
            <v>Стеклотекстолит фольг. МИ1222.9-2-18-2.0 1кл.</v>
          </cell>
          <cell r="E131">
            <v>0.26178000000000001</v>
          </cell>
          <cell r="F131">
            <v>816</v>
          </cell>
          <cell r="G131" t="str">
            <v>335 от 17.03.2016 (335)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МИ1222.9-2-35-1.0 1кл.</v>
          </cell>
          <cell r="B132">
            <v>130</v>
          </cell>
          <cell r="C132" t="str">
            <v>Стеклотекстолит фольгированный МИ1222.9-2-35-1.0 1кл</v>
          </cell>
          <cell r="D132" t="str">
            <v>Стеклотекстолит фольг. МИ1222.9-2-35-1.0 1кл.</v>
          </cell>
          <cell r="E132">
            <v>0.41299999999999998</v>
          </cell>
          <cell r="F132">
            <v>922</v>
          </cell>
          <cell r="G132" t="str">
            <v>338 от 17.03.2016 (338)</v>
          </cell>
          <cell r="H132" t="str">
            <v>ООО "БАЛТИЗОЛИТ "</v>
          </cell>
          <cell r="I132">
            <v>0</v>
          </cell>
        </row>
        <row r="133">
          <cell r="A133" t="str">
            <v>Стеклотекстолит фольг. МИ1222.9-2-35-1.5 1кл.</v>
          </cell>
          <cell r="B133">
            <v>131</v>
          </cell>
          <cell r="C133" t="str">
            <v>Стеклотекстолит фольгированный МИ1222.9-2-35-1.5 1кл</v>
          </cell>
          <cell r="D133" t="str">
            <v>Стеклотекстолит фольг. МИ1222.9-2-35-1.5 1кл.</v>
          </cell>
          <cell r="E133">
            <v>0.28699999999999998</v>
          </cell>
          <cell r="F133">
            <v>829</v>
          </cell>
          <cell r="G133" t="str">
            <v>252 от 15.03.2017 (252)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МИ1222.9-2-35-2.0 1кл.</v>
          </cell>
          <cell r="B134">
            <v>132</v>
          </cell>
          <cell r="C134" t="str">
            <v>Стеклотекстолит фольгированный МИ1222.9-2-35-2.0 1кл</v>
          </cell>
          <cell r="D134" t="str">
            <v>Стеклотекстолит фольг. МИ1222.9-2-35-2.0 1кл.</v>
          </cell>
          <cell r="E134">
            <v>0.22700000000000001</v>
          </cell>
          <cell r="F134">
            <v>829</v>
          </cell>
          <cell r="G134" t="str">
            <v>256 от 15.03.2017 (256)</v>
          </cell>
          <cell r="H134" t="str">
            <v>ООО "БАЛТИЗОЛИТ "</v>
          </cell>
          <cell r="I134">
            <v>0</v>
          </cell>
        </row>
        <row r="135">
          <cell r="A135" t="str">
            <v>Стеклотекстолит фольг. МИ1222.9-2-35-2.5 1кл.</v>
          </cell>
          <cell r="B135">
            <v>133</v>
          </cell>
          <cell r="C135" t="str">
            <v>Стеклотекстолит фольгированный МИ1222.9-2-35-2.5 1кл.</v>
          </cell>
          <cell r="D135" t="str">
            <v>Стеклотекстолит фольг. МИ1222.9-2-35-2.5 1кл.</v>
          </cell>
          <cell r="E135">
            <v>0.185</v>
          </cell>
          <cell r="F135">
            <v>839</v>
          </cell>
          <cell r="G135" t="str">
            <v>465 от 22.09.2017 (465)</v>
          </cell>
          <cell r="H135" t="str">
            <v>ООО "БАЛТПРОМИЗОЛИТ "</v>
          </cell>
          <cell r="I135">
            <v>0</v>
          </cell>
        </row>
        <row r="136">
          <cell r="A136" t="str">
            <v>Стеклотекстолит фольг. МИ1222.9-2-50-1.0 1кл.</v>
          </cell>
          <cell r="B136">
            <v>134</v>
          </cell>
          <cell r="C136" t="str">
            <v>Стеклотекстолит фольгированный МИ1222.9-2-50-1.0 1кл.</v>
          </cell>
          <cell r="D136" t="str">
            <v>Стеклотекстолит фольг. МИ1222.9-2-50-1.0 1кл.</v>
          </cell>
          <cell r="E136">
            <v>0.36099999999999999</v>
          </cell>
          <cell r="F136">
            <v>435</v>
          </cell>
          <cell r="G136" t="str">
            <v>1722 от 30.11.2010 (1722)</v>
          </cell>
          <cell r="I136">
            <v>0</v>
          </cell>
        </row>
        <row r="137">
          <cell r="A137" t="str">
            <v>Стеклотекстолит фольг. МИ1222.9-2-50-1.5 1кл.</v>
          </cell>
          <cell r="B137">
            <v>135</v>
          </cell>
          <cell r="C137" t="str">
            <v>Стеклотекстолит фольгированный МИ1222.9-2-50-1.5 1кл</v>
          </cell>
          <cell r="D137" t="str">
            <v>Стеклотекстолит фольг. МИ1222.9-2-50-1.5 1кл.</v>
          </cell>
          <cell r="E137">
            <v>0.25</v>
          </cell>
          <cell r="F137">
            <v>896</v>
          </cell>
          <cell r="G137" t="str">
            <v>500 от 21.04.2016 (500)</v>
          </cell>
          <cell r="H137" t="str">
            <v>ООО "БАЛТИЗОЛИТ"</v>
          </cell>
          <cell r="I137">
            <v>0</v>
          </cell>
        </row>
        <row r="138">
          <cell r="A138" t="str">
            <v>Стеклотекстолит фольг. МИ1222.9-2-50-2.0 1кл</v>
          </cell>
          <cell r="B138">
            <v>136</v>
          </cell>
          <cell r="C138" t="str">
            <v>Стеклотекстолит фольгированный МИ1222.9-2-50-2.0 1кл</v>
          </cell>
          <cell r="D138" t="str">
            <v>Стеклотекстолит фольг. МИ1222.9-2-50-2.0 1кл</v>
          </cell>
          <cell r="E138">
            <v>0.22</v>
          </cell>
          <cell r="F138">
            <v>896</v>
          </cell>
          <cell r="G138" t="str">
            <v>338 от 17.03.2016 (338)</v>
          </cell>
          <cell r="H138" t="str">
            <v>ООО "БАЛТИЗОЛИТ"</v>
          </cell>
          <cell r="I138">
            <v>0</v>
          </cell>
        </row>
        <row r="139">
          <cell r="A139" t="str">
            <v>Стеклотекстолит фольг. СТФ-1-35-0.13 1кл.</v>
          </cell>
          <cell r="B139">
            <v>137</v>
          </cell>
          <cell r="C139" t="str">
            <v>Стеклотекстолит фольгированный СТФ-1-35-0.13 1кл.</v>
          </cell>
          <cell r="D139" t="str">
            <v>Стеклотекстолит фольг. СТФ-1-35-0.13 1кл.</v>
          </cell>
          <cell r="E139">
            <v>1.8109999999999999</v>
          </cell>
          <cell r="F139">
            <v>1590</v>
          </cell>
          <cell r="G139" t="str">
            <v>713 от 01.06.2010 (713)</v>
          </cell>
          <cell r="H139" t="str">
            <v>ООО "Торговый дом МолдавИзолит""</v>
          </cell>
          <cell r="I139">
            <v>0</v>
          </cell>
        </row>
        <row r="140">
          <cell r="A140" t="str">
            <v>Стеклотекстолит фольг. СТФ-1-35-0.2 1кл.</v>
          </cell>
          <cell r="B140">
            <v>138</v>
          </cell>
          <cell r="C140" t="str">
            <v>Стеклотекстолит фольгированный СТФ-1-35-0.2 1кл.</v>
          </cell>
          <cell r="D140" t="str">
            <v>Стеклотекстолит фольг. СТФ-1-35-0.2 1кл.</v>
          </cell>
          <cell r="E140">
            <v>1.46</v>
          </cell>
          <cell r="F140">
            <v>1305</v>
          </cell>
          <cell r="G140" t="str">
            <v>408 от 28.08.2007 (408)</v>
          </cell>
          <cell r="H140" t="str">
            <v>ООО "Вектор-электроника"</v>
          </cell>
          <cell r="I140">
            <v>0</v>
          </cell>
        </row>
        <row r="141">
          <cell r="A141" t="str">
            <v>Стеклотекстолит фольг. СТФ-2-18-0.13 1кл.</v>
          </cell>
          <cell r="B141">
            <v>139</v>
          </cell>
          <cell r="C141" t="str">
            <v>Стеклотекстолит фольгированный СТФ2-18-0.13 1кл</v>
          </cell>
          <cell r="D141" t="str">
            <v>Стеклотекстолит фольг. СТФ-2-18-0.13 1кл.</v>
          </cell>
          <cell r="E141">
            <v>1.8149999999999999</v>
          </cell>
          <cell r="F141">
            <v>2640</v>
          </cell>
          <cell r="G141" t="str">
            <v>381 от 11.12.2014 (385)</v>
          </cell>
          <cell r="H141" t="str">
            <v>ООО "БАЛТИЗОЛИТ"</v>
          </cell>
          <cell r="I141">
            <v>0</v>
          </cell>
        </row>
        <row r="142">
          <cell r="A142" t="str">
            <v>Стеклотекстолит фольг. СТФ-2-18-0.13 1кл. "ОС"</v>
          </cell>
          <cell r="B142">
            <v>140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 "ОС"</v>
          </cell>
          <cell r="E142">
            <v>1.8149999999999999</v>
          </cell>
          <cell r="F142">
            <v>2070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СТФ-2-18-0.18 1кл.</v>
          </cell>
          <cell r="B143">
            <v>141</v>
          </cell>
          <cell r="C143" t="str">
            <v>Стеклотекстолит фольгированный СТФ2-18-0.18 1кл</v>
          </cell>
          <cell r="D143" t="str">
            <v>Стеклотекстолит фольг. СТФ-2-18-0.18 1кл.</v>
          </cell>
          <cell r="E143">
            <v>1.462</v>
          </cell>
          <cell r="F143">
            <v>2790</v>
          </cell>
          <cell r="G143" t="str">
            <v>255 от 15.03.2017 (255)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 "ОС"</v>
          </cell>
          <cell r="B144">
            <v>142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 "ОС"</v>
          </cell>
          <cell r="E144">
            <v>1.462</v>
          </cell>
          <cell r="F144">
            <v>1815</v>
          </cell>
          <cell r="G144" t="str">
            <v>383 от 08.04.2015 (384)</v>
          </cell>
          <cell r="H144" t="str">
            <v>ООО "БАЛТИЗОЛИТ"</v>
          </cell>
          <cell r="I144">
            <v>0</v>
          </cell>
        </row>
        <row r="145">
          <cell r="A145" t="str">
            <v>Стеклотекстолит фольг. СТФ-2-18-0.2 1кл</v>
          </cell>
          <cell r="B145">
            <v>143</v>
          </cell>
          <cell r="C145" t="str">
            <v>Стеклотекстолит фольгированный СТФ-2-18-0.2 1кл</v>
          </cell>
          <cell r="D145" t="str">
            <v>Стеклотекстолит фольг. СТФ-2-18-0.2 1кл</v>
          </cell>
          <cell r="E145">
            <v>1</v>
          </cell>
          <cell r="F145">
            <v>1860</v>
          </cell>
          <cell r="G145" t="str">
            <v>81 от 13.05.2013 (91)</v>
          </cell>
          <cell r="H145" t="str">
            <v>ООО "АльфаКом"</v>
          </cell>
          <cell r="I145">
            <v>0</v>
          </cell>
        </row>
        <row r="146">
          <cell r="A146" t="str">
            <v>Стеклотекстолит фольг. СТФ-2-35-0.1 1кл</v>
          </cell>
          <cell r="B146">
            <v>144</v>
          </cell>
          <cell r="C146" t="str">
            <v xml:space="preserve">Стеклотекстолит фольгированный СТФ2-35-0.1 1кл </v>
          </cell>
          <cell r="D146" t="str">
            <v>Стеклотекстолит фольг. СТФ-2-35-0.1 1кл</v>
          </cell>
          <cell r="E146">
            <v>1</v>
          </cell>
          <cell r="F146">
            <v>1840</v>
          </cell>
          <cell r="G146" t="str">
            <v>381 от 11.12.2014 (385)</v>
          </cell>
          <cell r="H146" t="str">
            <v>ООО "БАЛТИЗОЛИТ"</v>
          </cell>
          <cell r="I146">
            <v>0</v>
          </cell>
        </row>
        <row r="147">
          <cell r="A147" t="str">
            <v xml:space="preserve">Стеклотекстолит фольг. СТФ-2-35-0.13 1кл. </v>
          </cell>
          <cell r="B147">
            <v>145</v>
          </cell>
          <cell r="C147" t="str">
            <v xml:space="preserve">Стеклотекстолит фольгированный СТФ-2-35-0.13 1кл. </v>
          </cell>
          <cell r="D147" t="str">
            <v xml:space="preserve">Стеклотекстолит фольг. СТФ-2-35-0.13 1кл. </v>
          </cell>
          <cell r="E147">
            <v>1.167</v>
          </cell>
          <cell r="F147">
            <v>2690</v>
          </cell>
          <cell r="G147" t="str">
            <v>500 от 21.04.2016 (500)</v>
          </cell>
          <cell r="H147" t="str">
            <v>ООО "БАЛТИЗОЛИТ"</v>
          </cell>
          <cell r="I147">
            <v>0</v>
          </cell>
        </row>
        <row r="148">
          <cell r="A148" t="str">
            <v>Стеклотекстолит фольг. СТФ-2-35-0.2 1кл.</v>
          </cell>
          <cell r="B148">
            <v>146</v>
          </cell>
          <cell r="C148" t="str">
            <v>Стеклотекстолит фольгированный СТФ2-35-0.2 1кл</v>
          </cell>
          <cell r="D148" t="str">
            <v>Стеклотекстолит фольг. СТФ-2-35-0.2 1кл.</v>
          </cell>
          <cell r="E148">
            <v>1.462</v>
          </cell>
          <cell r="F148">
            <v>2000</v>
          </cell>
          <cell r="G148" t="str">
            <v>1041 от 02.12.2013 (1460)</v>
          </cell>
          <cell r="H148" t="str">
            <v>ООО "БАЛТИЗОЛИТ СПб"</v>
          </cell>
          <cell r="I148">
            <v>0</v>
          </cell>
        </row>
        <row r="149">
          <cell r="A149" t="str">
            <v>Стеклотекстолит фольг. СТФ-2-35-0.2 1кл. "ОС"</v>
          </cell>
          <cell r="B149">
            <v>147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 "ОС"</v>
          </cell>
          <cell r="E149">
            <v>1.462</v>
          </cell>
          <cell r="F149">
            <v>1114</v>
          </cell>
          <cell r="G149" t="str">
            <v>738 от 11.05.2011 (738)</v>
          </cell>
          <cell r="H149" t="str">
            <v>ООО "Торговый дом МолдавИзолит""</v>
          </cell>
          <cell r="I149">
            <v>0</v>
          </cell>
        </row>
        <row r="150">
          <cell r="A150" t="str">
            <v>Стеклотекстолит фольг. СТФ-2-35-2.5 1кл.</v>
          </cell>
          <cell r="B150">
            <v>148</v>
          </cell>
          <cell r="C150" t="str">
            <v>Стеклотекстолит фольгированный СТФ-2-35-2.5 1кл.</v>
          </cell>
          <cell r="D150" t="str">
            <v>Стеклотекстолит фольг. СТФ-2-35-2.5 1кл.</v>
          </cell>
          <cell r="E150">
            <v>0.187</v>
          </cell>
          <cell r="F150">
            <v>435</v>
          </cell>
          <cell r="G150" t="str">
            <v>46 от 07.02.2008 (46)</v>
          </cell>
          <cell r="H150" t="str">
            <v>ООО "Вектор-электроника"</v>
          </cell>
          <cell r="I150">
            <v>0</v>
          </cell>
        </row>
        <row r="151">
          <cell r="A151" t="str">
            <v>Стеклотекстолит фольг. СТФ-2-35-3.0 1кл.</v>
          </cell>
          <cell r="B151">
            <v>149</v>
          </cell>
          <cell r="C151" t="str">
            <v>Стеклотекстолит фольгированный СТФ-2-35-3.0 1кл.</v>
          </cell>
          <cell r="D151" t="str">
            <v>Стеклотекстолит фольг. СТФ-2-35-3.0 1кл.</v>
          </cell>
          <cell r="E151">
            <v>0.158</v>
          </cell>
          <cell r="F151">
            <v>398</v>
          </cell>
          <cell r="G151" t="str">
            <v>108 от 25.06.2007 (108)</v>
          </cell>
          <cell r="H151" t="str">
            <v>ООО "Гравит"</v>
          </cell>
          <cell r="I151">
            <v>0</v>
          </cell>
        </row>
        <row r="152">
          <cell r="A152" t="str">
            <v>Стеклотекстолит фольг. СТФ-2-50-2.0 1кл.</v>
          </cell>
          <cell r="B152">
            <v>150</v>
          </cell>
          <cell r="C152" t="str">
            <v>Стеклотекстолит фольгированный СТФ-2-50-2.0 1кл.</v>
          </cell>
          <cell r="D152" t="str">
            <v>Стеклотекстолит фольг. СТФ-2-50-2.0 1кл.</v>
          </cell>
          <cell r="E152">
            <v>0.214</v>
          </cell>
          <cell r="F152">
            <v>413</v>
          </cell>
          <cell r="I152">
            <v>0</v>
          </cell>
        </row>
        <row r="153">
          <cell r="A153" t="str">
            <v>Стеклотекстолит электротехн. СТЭФ-1 вс 3.0</v>
          </cell>
          <cell r="B153">
            <v>151</v>
          </cell>
          <cell r="C153" t="str">
            <v>Стеклотекстолит электротехнический СТЭФ-1 вс 3.0</v>
          </cell>
          <cell r="D153" t="str">
            <v>Стеклотекстолит электротехн. СТЭФ-1 вс 3.0</v>
          </cell>
          <cell r="E153">
            <v>1</v>
          </cell>
          <cell r="F153">
            <v>449</v>
          </cell>
          <cell r="G153" t="str">
            <v>1068 от 06.10.2015 (1068)</v>
          </cell>
          <cell r="H153" t="str">
            <v>ООО "БАЛТИЗОЛИТ"</v>
          </cell>
          <cell r="I153">
            <v>429</v>
          </cell>
        </row>
        <row r="154">
          <cell r="A154" t="str">
            <v>Стеклоткань прокладочная DE 104ML 1080 AT01</v>
          </cell>
          <cell r="B154">
            <v>152</v>
          </cell>
          <cell r="C154" t="str">
            <v>Стеклоткань прокладочная DE104ML 1080 AT01</v>
          </cell>
          <cell r="D154" t="str">
            <v>Стеклоткань прокладочная DE 104ML 1080 AT01</v>
          </cell>
          <cell r="E154" t="str">
            <v>м2</v>
          </cell>
          <cell r="F154">
            <v>343.23</v>
          </cell>
          <cell r="G154" t="str">
            <v>232 от 14.12.2017 (261)</v>
          </cell>
          <cell r="H154" t="str">
            <v>ООО "ПЕТРОИЗОЛИТ "</v>
          </cell>
          <cell r="I154">
            <v>355.61</v>
          </cell>
        </row>
        <row r="155">
          <cell r="A155" t="str">
            <v>Стеклоткань прокладочная RO4450B 0.091</v>
          </cell>
          <cell r="B155">
            <v>153</v>
          </cell>
          <cell r="C155" t="str">
            <v>Стеклоткань прокладочная RO4450B 0.091</v>
          </cell>
          <cell r="D155" t="str">
            <v>Стеклоткань прокладочная RO4450B 0.091</v>
          </cell>
          <cell r="E155" t="str">
            <v>м2</v>
          </cell>
          <cell r="F155">
            <v>4370.46</v>
          </cell>
          <cell r="G155" t="str">
            <v>254 от 08.06.2016 (482)</v>
          </cell>
          <cell r="H155" t="str">
            <v>ООО "ЭлекТрейд-М"</v>
          </cell>
          <cell r="I155">
            <v>0</v>
          </cell>
        </row>
        <row r="156">
          <cell r="A156" t="str">
            <v>Стеклоткань прокладочная СТП-4 0,062</v>
          </cell>
          <cell r="B156">
            <v>154</v>
          </cell>
          <cell r="C156" t="str">
            <v>Стеклоткань прокладочная СТП-4 0,062</v>
          </cell>
          <cell r="D156" t="str">
            <v>Стеклоткань прокладочная СТП-4 0,062</v>
          </cell>
          <cell r="E156" t="str">
            <v>м2</v>
          </cell>
          <cell r="F156">
            <v>304.20999999999998</v>
          </cell>
          <cell r="G156" t="str">
            <v>500 от 21.04.2016 (500)</v>
          </cell>
          <cell r="H156" t="str">
            <v>ООО "БАЛТИЗОЛИТ"</v>
          </cell>
          <cell r="I156">
            <v>0</v>
          </cell>
        </row>
        <row r="157">
          <cell r="A157" t="str">
            <v>СТФ2-18-0,18 1 кл</v>
          </cell>
          <cell r="B157">
            <v>155</v>
          </cell>
          <cell r="C157" t="str">
            <v>Стеклотекстолит фольгированный СТФ2-18-0.18 1кл</v>
          </cell>
          <cell r="D157" t="str">
            <v>СТФ2-18-0,18 1 кл</v>
          </cell>
          <cell r="E157" t="str">
            <v>м2</v>
          </cell>
          <cell r="F157">
            <v>1526.67</v>
          </cell>
          <cell r="I157">
            <v>0</v>
          </cell>
        </row>
        <row r="158">
          <cell r="A158" t="str">
            <v>СТФ2-18-0,2 1 кл</v>
          </cell>
          <cell r="B158">
            <v>156</v>
          </cell>
          <cell r="C158" t="str">
            <v>СТФ2-18-0.2 1 кл</v>
          </cell>
          <cell r="D158" t="str">
            <v>СТФ2-18-0,2 1 кл</v>
          </cell>
          <cell r="E158" t="str">
            <v>м2</v>
          </cell>
          <cell r="F158">
            <v>1498.3739999999998</v>
          </cell>
          <cell r="I158">
            <v>0</v>
          </cell>
        </row>
        <row r="159">
          <cell r="A159" t="str">
            <v>СТФ2-35-0,1 1 кл</v>
          </cell>
          <cell r="B159">
            <v>157</v>
          </cell>
          <cell r="C159" t="str">
            <v xml:space="preserve">Стеклотекстолит фольгированный СТФ2-35-0.1 1кл </v>
          </cell>
          <cell r="D159" t="str">
            <v>СТФ2-35-0,1 1 кл</v>
          </cell>
          <cell r="E159" t="str">
            <v>м2</v>
          </cell>
          <cell r="F159">
            <v>1866.3119999999999</v>
          </cell>
          <cell r="I159">
            <v>0</v>
          </cell>
        </row>
        <row r="160">
          <cell r="A160" t="str">
            <v>СТФ2-35-0,2 1 кл</v>
          </cell>
          <cell r="B160">
            <v>158</v>
          </cell>
          <cell r="C160" t="str">
            <v>Стеклотекстолит фольгированный СТФ2-35-0.2 1кл</v>
          </cell>
          <cell r="D160" t="str">
            <v>СТФ2-35-0,2 1 кл</v>
          </cell>
          <cell r="E160" t="str">
            <v>м2</v>
          </cell>
          <cell r="F160">
            <v>2209.6799999999998</v>
          </cell>
          <cell r="I160">
            <v>0</v>
          </cell>
        </row>
        <row r="161">
          <cell r="A161" t="str">
            <v>СТФ2-35-0,25 1 кл</v>
          </cell>
          <cell r="B161">
            <v>159</v>
          </cell>
          <cell r="C161" t="str">
            <v>СТФ2-35-0,25 1 кл</v>
          </cell>
          <cell r="D161" t="str">
            <v>СТФ2-35-0,25 1 кл</v>
          </cell>
          <cell r="E161" t="str">
            <v>м2</v>
          </cell>
          <cell r="F161">
            <v>2016</v>
          </cell>
          <cell r="I161">
            <v>0</v>
          </cell>
        </row>
        <row r="162">
          <cell r="A162" t="str">
            <v>Сумка ПНД</v>
          </cell>
          <cell r="B162">
            <v>160</v>
          </cell>
          <cell r="C162" t="str">
            <v>Сумка ПНД</v>
          </cell>
          <cell r="D162" t="str">
            <v>Сумка ПНД</v>
          </cell>
          <cell r="E162" t="str">
            <v>шт</v>
          </cell>
          <cell r="F162">
            <v>3.38</v>
          </cell>
          <cell r="G162" t="str">
            <v>236 от 30.11.2015</v>
          </cell>
          <cell r="H162" t="str">
            <v>ООО "Расма"</v>
          </cell>
          <cell r="I162">
            <v>1.63</v>
          </cell>
        </row>
        <row r="163">
          <cell r="A163" t="str">
            <v>Тринатрийфосфат</v>
          </cell>
          <cell r="B163">
            <v>161</v>
          </cell>
          <cell r="C163" t="str">
            <v>Тринатрийфосфат</v>
          </cell>
          <cell r="D163" t="str">
            <v>Тринатрийфосфат</v>
          </cell>
          <cell r="E163" t="str">
            <v>кг</v>
          </cell>
          <cell r="F163">
            <v>70</v>
          </cell>
          <cell r="G163" t="str">
            <v>664 от 09.11.2017 (664)</v>
          </cell>
          <cell r="H163" t="str">
            <v>ООО "БАЛТПРОМИЗОЛИТ "</v>
          </cell>
          <cell r="I163">
            <v>62.21</v>
          </cell>
        </row>
        <row r="164">
          <cell r="A164" t="str">
            <v>Фиксаж KODAK 3000</v>
          </cell>
          <cell r="B164">
            <v>162</v>
          </cell>
          <cell r="C164" t="str">
            <v>Фиксаж KODAK</v>
          </cell>
          <cell r="D164" t="str">
            <v>Фиксаж KODAK 3000</v>
          </cell>
          <cell r="E164" t="str">
            <v>кг</v>
          </cell>
          <cell r="F164">
            <v>271.97000000000003</v>
          </cell>
          <cell r="G164" t="str">
            <v>1015 от 08.08.2016 (1015)</v>
          </cell>
          <cell r="H164" t="str">
            <v>ООО "БАЛТИЗОЛИТ"</v>
          </cell>
          <cell r="I164">
            <v>226.72</v>
          </cell>
        </row>
        <row r="165">
          <cell r="A165" t="str">
            <v>Флюс</v>
          </cell>
          <cell r="B165">
            <v>163</v>
          </cell>
          <cell r="C165" t="str">
            <v>Флюс</v>
          </cell>
          <cell r="D165" t="str">
            <v>Флюс</v>
          </cell>
          <cell r="E165" t="str">
            <v>кг</v>
          </cell>
          <cell r="F165">
            <v>510</v>
          </cell>
          <cell r="G165" t="str">
            <v>4990047602 от 01.11.2017 (500015622)</v>
          </cell>
          <cell r="H165" t="str">
            <v>ООО "Омиа Алгол Рус"</v>
          </cell>
          <cell r="I165">
            <v>729.09</v>
          </cell>
        </row>
        <row r="166">
          <cell r="A166" t="str">
            <v>Фольга медная 70 мкм</v>
          </cell>
          <cell r="B166">
            <v>164</v>
          </cell>
          <cell r="C166" t="str">
            <v>Фольга медная 70 мкм</v>
          </cell>
          <cell r="D166" t="str">
            <v>Фольга медная 70 мкм</v>
          </cell>
          <cell r="E166" t="str">
            <v>м2</v>
          </cell>
          <cell r="F166">
            <v>1461.48</v>
          </cell>
          <cell r="G166" t="str">
            <v>spb14112503 от 25.11.2014 (spb141125003)</v>
          </cell>
          <cell r="H166" t="str">
            <v>ООО "Петрокоммерц"</v>
          </cell>
          <cell r="I166">
            <v>0</v>
          </cell>
        </row>
        <row r="167">
          <cell r="A167" t="str">
            <v>Фотоплёнка KODAK ARD-7</v>
          </cell>
          <cell r="B167">
            <v>165</v>
          </cell>
          <cell r="C167" t="str">
            <v>Фотопленка KODAK APR-7</v>
          </cell>
          <cell r="D167" t="str">
            <v>Фотоплёнка KODAK ARD-7</v>
          </cell>
          <cell r="E167" t="str">
            <v>м2</v>
          </cell>
          <cell r="F167">
            <v>946.67</v>
          </cell>
          <cell r="G167" t="str">
            <v>540 от 11.07.2017 (540)</v>
          </cell>
          <cell r="H167" t="str">
            <v>ООО "БАЛТИЗОЛИТ"</v>
          </cell>
          <cell r="I167">
            <v>1018.19</v>
          </cell>
        </row>
        <row r="168">
          <cell r="A168" t="str">
            <v>Фоторезист Riston 40мкм</v>
          </cell>
          <cell r="B168">
            <v>166</v>
          </cell>
          <cell r="C168" t="str">
            <v>Фоторезист сухой пленочный 40 мкм</v>
          </cell>
          <cell r="D168" t="str">
            <v>Фоторезист Riston 40мкм</v>
          </cell>
          <cell r="E168" t="str">
            <v>м2</v>
          </cell>
          <cell r="F168" t="str">
            <v>126.00</v>
          </cell>
          <cell r="G168" t="str">
            <v>spb017082302 от 23.08.2017 (spb0170823002)</v>
          </cell>
          <cell r="H168" t="str">
            <v>ООО "Петрокоммерц"</v>
          </cell>
          <cell r="I168">
            <v>140.52000000000001</v>
          </cell>
        </row>
        <row r="169">
          <cell r="A169" t="str">
            <v>Фоторезист Riston 50мкм</v>
          </cell>
          <cell r="B169">
            <v>167</v>
          </cell>
          <cell r="C169" t="str">
            <v>Фоторезист сухой пленочный 50 мкм</v>
          </cell>
          <cell r="D169" t="str">
            <v>Фоторезист Riston 50мкм</v>
          </cell>
          <cell r="E169" t="str">
            <v>м2</v>
          </cell>
          <cell r="F169">
            <v>179.45</v>
          </cell>
          <cell r="G169" t="str">
            <v>975 от 05.12.2017 (975)</v>
          </cell>
          <cell r="H169" t="str">
            <v>ООО "Торговый дом Абсолют"</v>
          </cell>
          <cell r="I169">
            <v>209.03</v>
          </cell>
        </row>
        <row r="170">
          <cell r="A170" t="str">
            <v>Фреза твердосплавная</v>
          </cell>
          <cell r="B170">
            <v>168</v>
          </cell>
          <cell r="C170" t="str">
            <v>Фреза твердосплавная, м/шт</v>
          </cell>
          <cell r="D170" t="str">
            <v>Фреза твердосплавная</v>
          </cell>
          <cell r="E170" t="str">
            <v>шт</v>
          </cell>
          <cell r="F170">
            <v>160</v>
          </cell>
          <cell r="G170" t="str">
            <v>1304 от 1.12.2015</v>
          </cell>
          <cell r="H170" t="str">
            <v>ООО "БАЛТИЗОЛИТ"</v>
          </cell>
          <cell r="I170">
            <v>0</v>
          </cell>
        </row>
        <row r="171">
          <cell r="A171">
            <v>0</v>
          </cell>
          <cell r="B171">
            <v>169</v>
          </cell>
        </row>
        <row r="172">
          <cell r="A172">
            <v>0</v>
          </cell>
          <cell r="B172">
            <v>170</v>
          </cell>
        </row>
        <row r="173">
          <cell r="A173">
            <v>0</v>
          </cell>
          <cell r="B173">
            <v>171</v>
          </cell>
        </row>
        <row r="174">
          <cell r="A174">
            <v>0</v>
          </cell>
          <cell r="B174">
            <v>172</v>
          </cell>
        </row>
        <row r="175">
          <cell r="A175">
            <v>0</v>
          </cell>
          <cell r="B175">
            <v>173</v>
          </cell>
        </row>
        <row r="176">
          <cell r="A176">
            <v>0</v>
          </cell>
          <cell r="B176">
            <v>174</v>
          </cell>
        </row>
        <row r="177">
          <cell r="A177">
            <v>0</v>
          </cell>
          <cell r="B177">
            <v>175</v>
          </cell>
        </row>
        <row r="178">
          <cell r="A178">
            <v>0</v>
          </cell>
          <cell r="B178">
            <v>176</v>
          </cell>
        </row>
        <row r="179">
          <cell r="A179">
            <v>0</v>
          </cell>
          <cell r="B179">
            <v>177</v>
          </cell>
        </row>
        <row r="180">
          <cell r="A180">
            <v>0</v>
          </cell>
          <cell r="B180">
            <v>178</v>
          </cell>
        </row>
        <row r="181">
          <cell r="A181">
            <v>0</v>
          </cell>
          <cell r="B181">
            <v>179</v>
          </cell>
        </row>
        <row r="182">
          <cell r="A182">
            <v>0</v>
          </cell>
          <cell r="B182">
            <v>180</v>
          </cell>
        </row>
        <row r="183">
          <cell r="A183">
            <v>0</v>
          </cell>
          <cell r="B183">
            <v>181</v>
          </cell>
        </row>
        <row r="184">
          <cell r="A184">
            <v>0</v>
          </cell>
          <cell r="B184">
            <v>182</v>
          </cell>
        </row>
        <row r="185">
          <cell r="A185">
            <v>0</v>
          </cell>
          <cell r="B185">
            <v>183</v>
          </cell>
        </row>
        <row r="186">
          <cell r="A186">
            <v>0</v>
          </cell>
          <cell r="B186">
            <v>184</v>
          </cell>
        </row>
        <row r="187">
          <cell r="A187">
            <v>0</v>
          </cell>
          <cell r="B187">
            <v>185</v>
          </cell>
        </row>
        <row r="188">
          <cell r="A188">
            <v>0</v>
          </cell>
          <cell r="B188">
            <v>186</v>
          </cell>
        </row>
        <row r="189">
          <cell r="A189">
            <v>0</v>
          </cell>
          <cell r="B189">
            <v>187</v>
          </cell>
        </row>
        <row r="190">
          <cell r="A190">
            <v>0</v>
          </cell>
          <cell r="B190">
            <v>188</v>
          </cell>
        </row>
        <row r="191">
          <cell r="A191">
            <v>0</v>
          </cell>
          <cell r="B191">
            <v>189</v>
          </cell>
        </row>
        <row r="192">
          <cell r="A192">
            <v>0</v>
          </cell>
          <cell r="B192">
            <v>190</v>
          </cell>
        </row>
        <row r="193">
          <cell r="A193">
            <v>0</v>
          </cell>
          <cell r="B193">
            <v>191</v>
          </cell>
        </row>
        <row r="194">
          <cell r="A194">
            <v>0</v>
          </cell>
          <cell r="B194">
            <v>192</v>
          </cell>
        </row>
        <row r="195">
          <cell r="A195">
            <v>0</v>
          </cell>
          <cell r="B195">
            <v>193</v>
          </cell>
        </row>
        <row r="196">
          <cell r="A196">
            <v>0</v>
          </cell>
          <cell r="B196">
            <v>194</v>
          </cell>
        </row>
        <row r="197">
          <cell r="A197">
            <v>0</v>
          </cell>
          <cell r="B197">
            <v>195</v>
          </cell>
        </row>
        <row r="198">
          <cell r="A198">
            <v>0</v>
          </cell>
          <cell r="B198">
            <v>196</v>
          </cell>
        </row>
        <row r="199">
          <cell r="A199">
            <v>0</v>
          </cell>
          <cell r="B199">
            <v>197</v>
          </cell>
        </row>
        <row r="200">
          <cell r="A200">
            <v>0</v>
          </cell>
          <cell r="B200">
            <v>198</v>
          </cell>
        </row>
        <row r="201">
          <cell r="A201">
            <v>0</v>
          </cell>
          <cell r="B201">
            <v>199</v>
          </cell>
        </row>
        <row r="202">
          <cell r="A202">
            <v>0</v>
          </cell>
          <cell r="B202">
            <v>200</v>
          </cell>
        </row>
        <row r="203">
          <cell r="A203">
            <v>0</v>
          </cell>
          <cell r="B203">
            <v>201</v>
          </cell>
        </row>
        <row r="204">
          <cell r="A204">
            <v>0</v>
          </cell>
          <cell r="B204">
            <v>202</v>
          </cell>
        </row>
        <row r="205">
          <cell r="A205">
            <v>0</v>
          </cell>
          <cell r="B205">
            <v>203</v>
          </cell>
        </row>
        <row r="206">
          <cell r="A206">
            <v>0</v>
          </cell>
          <cell r="B206">
            <v>204</v>
          </cell>
        </row>
        <row r="207">
          <cell r="A207">
            <v>0</v>
          </cell>
          <cell r="B207">
            <v>205</v>
          </cell>
        </row>
        <row r="208">
          <cell r="A208">
            <v>0</v>
          </cell>
          <cell r="B208">
            <v>206</v>
          </cell>
        </row>
        <row r="209">
          <cell r="A209">
            <v>0</v>
          </cell>
          <cell r="B209">
            <v>207</v>
          </cell>
        </row>
        <row r="210">
          <cell r="A210">
            <v>0</v>
          </cell>
          <cell r="B210">
            <v>208</v>
          </cell>
        </row>
        <row r="211">
          <cell r="A211">
            <v>0</v>
          </cell>
          <cell r="B211">
            <v>209</v>
          </cell>
        </row>
        <row r="212">
          <cell r="A212">
            <v>0</v>
          </cell>
          <cell r="B212">
            <v>210</v>
          </cell>
        </row>
        <row r="213">
          <cell r="A213">
            <v>0</v>
          </cell>
          <cell r="B213">
            <v>211</v>
          </cell>
        </row>
        <row r="214">
          <cell r="A214">
            <v>0</v>
          </cell>
          <cell r="B214">
            <v>212</v>
          </cell>
        </row>
        <row r="215">
          <cell r="A215">
            <v>0</v>
          </cell>
          <cell r="B215">
            <v>213</v>
          </cell>
        </row>
        <row r="216">
          <cell r="A216">
            <v>0</v>
          </cell>
          <cell r="B216">
            <v>214</v>
          </cell>
        </row>
        <row r="217">
          <cell r="A217">
            <v>0</v>
          </cell>
          <cell r="B217">
            <v>215</v>
          </cell>
        </row>
        <row r="218">
          <cell r="A218">
            <v>0</v>
          </cell>
          <cell r="B218">
            <v>216</v>
          </cell>
        </row>
        <row r="219">
          <cell r="A219">
            <v>0</v>
          </cell>
          <cell r="B219">
            <v>217</v>
          </cell>
        </row>
        <row r="220">
          <cell r="A220">
            <v>0</v>
          </cell>
          <cell r="B220">
            <v>218</v>
          </cell>
        </row>
        <row r="221">
          <cell r="A221">
            <v>0</v>
          </cell>
          <cell r="B221">
            <v>219</v>
          </cell>
        </row>
        <row r="222">
          <cell r="A222">
            <v>0</v>
          </cell>
          <cell r="B222">
            <v>220</v>
          </cell>
        </row>
        <row r="223">
          <cell r="A223">
            <v>0</v>
          </cell>
          <cell r="B223">
            <v>221</v>
          </cell>
        </row>
        <row r="224">
          <cell r="A224">
            <v>0</v>
          </cell>
          <cell r="B224">
            <v>222</v>
          </cell>
        </row>
        <row r="225">
          <cell r="A225">
            <v>0</v>
          </cell>
          <cell r="B225">
            <v>223</v>
          </cell>
        </row>
        <row r="226">
          <cell r="A226">
            <v>0</v>
          </cell>
          <cell r="B226">
            <v>224</v>
          </cell>
        </row>
        <row r="227">
          <cell r="A227">
            <v>0</v>
          </cell>
          <cell r="B227">
            <v>225</v>
          </cell>
        </row>
        <row r="228">
          <cell r="A228">
            <v>0</v>
          </cell>
          <cell r="B228">
            <v>226</v>
          </cell>
        </row>
        <row r="229">
          <cell r="A229">
            <v>0</v>
          </cell>
          <cell r="B229">
            <v>227</v>
          </cell>
        </row>
        <row r="230">
          <cell r="A230">
            <v>0</v>
          </cell>
          <cell r="B230">
            <v>228</v>
          </cell>
        </row>
        <row r="231">
          <cell r="A231">
            <v>0</v>
          </cell>
          <cell r="B231">
            <v>229</v>
          </cell>
        </row>
        <row r="232">
          <cell r="A232">
            <v>0</v>
          </cell>
          <cell r="B232">
            <v>230</v>
          </cell>
        </row>
        <row r="233">
          <cell r="A233">
            <v>0</v>
          </cell>
          <cell r="B233">
            <v>231</v>
          </cell>
        </row>
        <row r="234">
          <cell r="A234">
            <v>0</v>
          </cell>
          <cell r="B234">
            <v>232</v>
          </cell>
        </row>
        <row r="235">
          <cell r="A235">
            <v>0</v>
          </cell>
          <cell r="B235">
            <v>233</v>
          </cell>
        </row>
        <row r="236">
          <cell r="A236">
            <v>0</v>
          </cell>
          <cell r="B236">
            <v>234</v>
          </cell>
        </row>
        <row r="237">
          <cell r="A237">
            <v>0</v>
          </cell>
          <cell r="B237">
            <v>235</v>
          </cell>
        </row>
        <row r="238">
          <cell r="A238">
            <v>0</v>
          </cell>
          <cell r="B238">
            <v>236</v>
          </cell>
        </row>
        <row r="239">
          <cell r="A239">
            <v>0</v>
          </cell>
          <cell r="B239">
            <v>237</v>
          </cell>
        </row>
        <row r="240">
          <cell r="A240">
            <v>0</v>
          </cell>
          <cell r="B240">
            <v>238</v>
          </cell>
        </row>
        <row r="241">
          <cell r="A241">
            <v>0</v>
          </cell>
          <cell r="B241">
            <v>239</v>
          </cell>
        </row>
        <row r="242">
          <cell r="A242">
            <v>0</v>
          </cell>
          <cell r="B242">
            <v>240</v>
          </cell>
        </row>
        <row r="243">
          <cell r="A243">
            <v>0</v>
          </cell>
          <cell r="B243">
            <v>241</v>
          </cell>
        </row>
        <row r="244">
          <cell r="A244">
            <v>0</v>
          </cell>
          <cell r="B244">
            <v>242</v>
          </cell>
        </row>
        <row r="245">
          <cell r="A245">
            <v>0</v>
          </cell>
          <cell r="B245">
            <v>243</v>
          </cell>
        </row>
        <row r="246">
          <cell r="A246">
            <v>0</v>
          </cell>
          <cell r="B246">
            <v>244</v>
          </cell>
        </row>
        <row r="247">
          <cell r="A247">
            <v>0</v>
          </cell>
          <cell r="B247">
            <v>245</v>
          </cell>
        </row>
        <row r="248">
          <cell r="A248">
            <v>0</v>
          </cell>
          <cell r="B248">
            <v>246</v>
          </cell>
        </row>
        <row r="249">
          <cell r="A249">
            <v>0</v>
          </cell>
          <cell r="B249">
            <v>247</v>
          </cell>
        </row>
        <row r="250">
          <cell r="A250">
            <v>0</v>
          </cell>
          <cell r="B250">
            <v>248</v>
          </cell>
        </row>
        <row r="251">
          <cell r="A251">
            <v>0</v>
          </cell>
          <cell r="B251">
            <v>249</v>
          </cell>
        </row>
        <row r="252">
          <cell r="A252">
            <v>0</v>
          </cell>
          <cell r="B252">
            <v>250</v>
          </cell>
        </row>
        <row r="253">
          <cell r="A253">
            <v>0</v>
          </cell>
          <cell r="B253">
            <v>251</v>
          </cell>
        </row>
        <row r="254">
          <cell r="A254">
            <v>0</v>
          </cell>
          <cell r="B254">
            <v>252</v>
          </cell>
        </row>
        <row r="255">
          <cell r="A255">
            <v>0</v>
          </cell>
          <cell r="B255">
            <v>253</v>
          </cell>
        </row>
        <row r="256">
          <cell r="A256">
            <v>0</v>
          </cell>
          <cell r="B256">
            <v>254</v>
          </cell>
        </row>
        <row r="257">
          <cell r="A257">
            <v>0</v>
          </cell>
          <cell r="B257">
            <v>255</v>
          </cell>
        </row>
        <row r="258">
          <cell r="A258">
            <v>0</v>
          </cell>
          <cell r="B258">
            <v>256</v>
          </cell>
        </row>
        <row r="259">
          <cell r="A259">
            <v>0</v>
          </cell>
          <cell r="B259">
            <v>257</v>
          </cell>
        </row>
        <row r="260">
          <cell r="A260">
            <v>0</v>
          </cell>
          <cell r="B260">
            <v>258</v>
          </cell>
        </row>
        <row r="261">
          <cell r="A261">
            <v>0</v>
          </cell>
          <cell r="B261">
            <v>259</v>
          </cell>
        </row>
        <row r="262">
          <cell r="A262">
            <v>0</v>
          </cell>
          <cell r="B262">
            <v>260</v>
          </cell>
        </row>
        <row r="263">
          <cell r="A263">
            <v>0</v>
          </cell>
          <cell r="B263">
            <v>261</v>
          </cell>
        </row>
        <row r="264">
          <cell r="A264">
            <v>0</v>
          </cell>
          <cell r="B264">
            <v>262</v>
          </cell>
        </row>
        <row r="265">
          <cell r="A265">
            <v>0</v>
          </cell>
          <cell r="B265">
            <v>263</v>
          </cell>
        </row>
        <row r="266">
          <cell r="A266">
            <v>0</v>
          </cell>
          <cell r="B266">
            <v>264</v>
          </cell>
        </row>
        <row r="267">
          <cell r="A267">
            <v>0</v>
          </cell>
          <cell r="B267">
            <v>265</v>
          </cell>
        </row>
        <row r="268">
          <cell r="A268">
            <v>0</v>
          </cell>
          <cell r="B268">
            <v>266</v>
          </cell>
        </row>
        <row r="269">
          <cell r="A269">
            <v>0</v>
          </cell>
          <cell r="B269">
            <v>267</v>
          </cell>
        </row>
        <row r="270">
          <cell r="A270">
            <v>0</v>
          </cell>
          <cell r="B270">
            <v>268</v>
          </cell>
        </row>
        <row r="271">
          <cell r="A271">
            <v>0</v>
          </cell>
          <cell r="B271">
            <v>269</v>
          </cell>
        </row>
        <row r="272">
          <cell r="A272">
            <v>0</v>
          </cell>
          <cell r="B272">
            <v>270</v>
          </cell>
        </row>
        <row r="273">
          <cell r="A273">
            <v>0</v>
          </cell>
          <cell r="B273">
            <v>271</v>
          </cell>
        </row>
        <row r="274">
          <cell r="A274">
            <v>0</v>
          </cell>
          <cell r="B274">
            <v>272</v>
          </cell>
        </row>
        <row r="275">
          <cell r="A275">
            <v>0</v>
          </cell>
          <cell r="B275">
            <v>273</v>
          </cell>
        </row>
        <row r="276">
          <cell r="A276">
            <v>0</v>
          </cell>
          <cell r="B276">
            <v>274</v>
          </cell>
        </row>
        <row r="277">
          <cell r="A277">
            <v>0</v>
          </cell>
          <cell r="B277">
            <v>275</v>
          </cell>
        </row>
        <row r="278">
          <cell r="A278">
            <v>0</v>
          </cell>
          <cell r="B278">
            <v>276</v>
          </cell>
        </row>
        <row r="279">
          <cell r="A279">
            <v>0</v>
          </cell>
          <cell r="B279">
            <v>277</v>
          </cell>
        </row>
        <row r="280">
          <cell r="A280">
            <v>0</v>
          </cell>
          <cell r="B280">
            <v>278</v>
          </cell>
        </row>
        <row r="281">
          <cell r="A281">
            <v>0</v>
          </cell>
          <cell r="B281">
            <v>279</v>
          </cell>
        </row>
        <row r="282">
          <cell r="A282">
            <v>0</v>
          </cell>
          <cell r="B282">
            <v>280</v>
          </cell>
        </row>
        <row r="283">
          <cell r="A283">
            <v>0</v>
          </cell>
          <cell r="B283">
            <v>281</v>
          </cell>
        </row>
        <row r="284">
          <cell r="A284">
            <v>0</v>
          </cell>
          <cell r="B284">
            <v>282</v>
          </cell>
        </row>
        <row r="285">
          <cell r="A285">
            <v>0</v>
          </cell>
          <cell r="B285">
            <v>283</v>
          </cell>
        </row>
        <row r="286">
          <cell r="A286">
            <v>0</v>
          </cell>
          <cell r="B286">
            <v>284</v>
          </cell>
        </row>
        <row r="287">
          <cell r="A287">
            <v>0</v>
          </cell>
          <cell r="B287">
            <v>285</v>
          </cell>
        </row>
        <row r="288">
          <cell r="A288">
            <v>0</v>
          </cell>
          <cell r="B288">
            <v>286</v>
          </cell>
        </row>
        <row r="289">
          <cell r="A289">
            <v>0</v>
          </cell>
          <cell r="B289">
            <v>287</v>
          </cell>
        </row>
        <row r="290">
          <cell r="A290">
            <v>0</v>
          </cell>
          <cell r="B290">
            <v>288</v>
          </cell>
        </row>
        <row r="291">
          <cell r="A291">
            <v>0</v>
          </cell>
          <cell r="B291">
            <v>289</v>
          </cell>
        </row>
        <row r="292">
          <cell r="A292">
            <v>0</v>
          </cell>
          <cell r="B292">
            <v>290</v>
          </cell>
        </row>
        <row r="293">
          <cell r="A293">
            <v>0</v>
          </cell>
          <cell r="B293">
            <v>291</v>
          </cell>
        </row>
        <row r="294">
          <cell r="A294">
            <v>0</v>
          </cell>
          <cell r="B294">
            <v>292</v>
          </cell>
        </row>
        <row r="295">
          <cell r="A295">
            <v>0</v>
          </cell>
          <cell r="B295">
            <v>293</v>
          </cell>
        </row>
        <row r="296">
          <cell r="A296">
            <v>0</v>
          </cell>
          <cell r="B296">
            <v>294</v>
          </cell>
        </row>
        <row r="297">
          <cell r="A297">
            <v>0</v>
          </cell>
          <cell r="B297">
            <v>295</v>
          </cell>
        </row>
        <row r="298">
          <cell r="A298">
            <v>0</v>
          </cell>
          <cell r="B298">
            <v>296</v>
          </cell>
        </row>
        <row r="299">
          <cell r="A299">
            <v>0</v>
          </cell>
          <cell r="B299">
            <v>297</v>
          </cell>
        </row>
        <row r="300">
          <cell r="A300">
            <v>0</v>
          </cell>
          <cell r="B300">
            <v>298</v>
          </cell>
        </row>
        <row r="301">
          <cell r="A301">
            <v>0</v>
          </cell>
          <cell r="B301">
            <v>299</v>
          </cell>
        </row>
        <row r="302">
          <cell r="A302">
            <v>0</v>
          </cell>
          <cell r="B302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C6" sqref="C6:F6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611" t="s">
        <v>540</v>
      </c>
      <c r="C2" s="611"/>
      <c r="D2" s="611"/>
      <c r="E2" s="611"/>
      <c r="F2" s="611"/>
      <c r="G2" s="611"/>
    </row>
    <row r="3" spans="2:16" ht="12" customHeight="1" thickBot="1" x14ac:dyDescent="0.25">
      <c r="B3" s="611"/>
      <c r="C3" s="611"/>
      <c r="D3" s="611"/>
      <c r="E3" s="611"/>
      <c r="F3" s="611"/>
      <c r="G3" s="611"/>
    </row>
    <row r="4" spans="2:16" ht="15.75" customHeight="1" thickBot="1" x14ac:dyDescent="0.25">
      <c r="B4" s="101" t="s">
        <v>6</v>
      </c>
      <c r="C4" s="614" t="s">
        <v>6</v>
      </c>
      <c r="D4" s="614"/>
      <c r="E4" s="614"/>
      <c r="F4" s="614"/>
      <c r="G4" s="615"/>
    </row>
    <row r="5" spans="2:16" ht="13.5" thickBot="1" x14ac:dyDescent="0.25">
      <c r="B5" s="101" t="s">
        <v>7</v>
      </c>
      <c r="C5" s="616" t="s">
        <v>429</v>
      </c>
      <c r="D5" s="617"/>
      <c r="E5" s="618"/>
      <c r="F5" s="56" t="s">
        <v>558</v>
      </c>
      <c r="G5" s="44"/>
    </row>
    <row r="6" spans="2:16" ht="13.5" thickBot="1" x14ac:dyDescent="0.25">
      <c r="B6" s="12" t="s">
        <v>8</v>
      </c>
      <c r="C6" s="619" t="s">
        <v>430</v>
      </c>
      <c r="D6" s="620"/>
      <c r="E6" s="620"/>
      <c r="F6" s="621"/>
      <c r="G6" s="13"/>
    </row>
    <row r="7" spans="2:16" ht="16.5" thickBot="1" x14ac:dyDescent="0.3">
      <c r="B7" s="12" t="s">
        <v>9</v>
      </c>
      <c r="C7" s="9">
        <v>145</v>
      </c>
      <c r="E7" s="609" t="s">
        <v>402</v>
      </c>
      <c r="F7" s="610"/>
      <c r="G7" s="15">
        <v>9</v>
      </c>
      <c r="I7" s="172">
        <f ca="1">Цена_одной_без_НДС</f>
        <v>2071</v>
      </c>
    </row>
    <row r="8" spans="2:16" ht="13.5" thickBot="1" x14ac:dyDescent="0.25">
      <c r="B8" s="12" t="s">
        <v>33</v>
      </c>
      <c r="C8" s="15">
        <v>1</v>
      </c>
      <c r="D8" s="8"/>
      <c r="E8" s="622" t="s">
        <v>401</v>
      </c>
      <c r="F8" s="623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2" t="s">
        <v>375</v>
      </c>
      <c r="F9" s="573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3" t="s">
        <v>505</v>
      </c>
      <c r="F10" s="580"/>
      <c r="G10" s="60" t="s">
        <v>506</v>
      </c>
      <c r="I10" s="573" t="s">
        <v>151</v>
      </c>
      <c r="J10" s="608"/>
      <c r="K10" s="608"/>
      <c r="L10" s="608"/>
      <c r="M10" s="608"/>
      <c r="N10" s="608"/>
      <c r="O10" s="608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612" t="s">
        <v>507</v>
      </c>
      <c r="F11" s="613"/>
      <c r="G11" s="60" t="s">
        <v>508</v>
      </c>
      <c r="I11" s="573" t="s">
        <v>152</v>
      </c>
      <c r="J11" s="608"/>
      <c r="K11" s="608"/>
      <c r="L11" s="608"/>
      <c r="M11" s="608"/>
      <c r="N11" s="608"/>
      <c r="O11" s="608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2" t="s">
        <v>509</v>
      </c>
      <c r="F12" s="573"/>
      <c r="G12" s="60" t="s">
        <v>513</v>
      </c>
      <c r="I12" s="591" t="s">
        <v>510</v>
      </c>
      <c r="J12" s="592"/>
      <c r="K12" s="592"/>
      <c r="L12" s="592"/>
      <c r="M12" s="592"/>
      <c r="N12" s="592"/>
      <c r="O12" s="592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0" t="s">
        <v>511</v>
      </c>
      <c r="J13" s="581"/>
      <c r="K13" s="581"/>
      <c r="L13" s="581"/>
      <c r="M13" s="581"/>
      <c r="N13" s="581"/>
      <c r="O13" s="594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2" t="s">
        <v>550</v>
      </c>
      <c r="F14" s="573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2" t="s">
        <v>524</v>
      </c>
      <c r="F15" s="573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2" t="s">
        <v>149</v>
      </c>
      <c r="F16" s="573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2" t="s">
        <v>546</v>
      </c>
      <c r="F17" s="603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2" t="s">
        <v>153</v>
      </c>
      <c r="F18" s="573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4" t="s">
        <v>26</v>
      </c>
      <c r="F19" s="605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06" t="s">
        <v>471</v>
      </c>
      <c r="F20" s="607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0" t="s">
        <v>472</v>
      </c>
      <c r="F21" s="591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587" t="s">
        <v>404</v>
      </c>
      <c r="F22" s="601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0" t="s">
        <v>57</v>
      </c>
      <c r="F23" s="591"/>
      <c r="G23" s="17">
        <v>1.05</v>
      </c>
    </row>
    <row r="24" spans="2:16" ht="13.5" thickBot="1" x14ac:dyDescent="0.25">
      <c r="B24" s="443"/>
      <c r="C24" s="477">
        <v>6</v>
      </c>
      <c r="D24" s="478">
        <v>1</v>
      </c>
      <c r="E24" s="596" t="s">
        <v>380</v>
      </c>
      <c r="F24" s="597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574" t="s">
        <v>626</v>
      </c>
      <c r="F44" s="574"/>
      <c r="G44" s="575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576"/>
      <c r="F45" s="576"/>
      <c r="G45" s="577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585" t="s">
        <v>609</v>
      </c>
      <c r="F50" s="586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584" t="s">
        <v>608</v>
      </c>
      <c r="F51" s="584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2951.1627156484992</v>
      </c>
      <c r="K57" s="437">
        <f ca="1">I57+J57</f>
        <v>9338.457639648499</v>
      </c>
    </row>
    <row r="58" spans="1:11" x14ac:dyDescent="0.2">
      <c r="A58" s="588">
        <v>2</v>
      </c>
      <c r="B58" s="598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89"/>
      <c r="B59" s="599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1559.2492696724994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88">
        <v>4</v>
      </c>
      <c r="B61" s="598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5"/>
      <c r="B62" s="599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1391.9134459759998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9338.457639648499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89449.511009433161</v>
      </c>
      <c r="H68" s="62"/>
      <c r="I68" s="438">
        <f ca="1">G69+G70+G71+G72+G73+G75+G77+G80+G81+G83+G85+G87</f>
        <v>189491.87798705511</v>
      </c>
      <c r="J68" s="438">
        <f>G68+G76+G78+G82+G84+G86</f>
        <v>101382.79777035002</v>
      </c>
      <c r="K68" s="438">
        <f ca="1">I68+J68</f>
        <v>290874.67575740512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104661.23727066776</v>
      </c>
      <c r="H69" s="62">
        <f t="shared" ref="H69:H75" ca="1" si="0">G69/Цнч</f>
        <v>151.1004493845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23520.655620000001</v>
      </c>
      <c r="H70" s="62">
        <f t="shared" ca="1" si="0"/>
        <v>33.957000000000001</v>
      </c>
      <c r="I70"/>
      <c r="J70"/>
      <c r="K70"/>
      <c r="L70"/>
      <c r="M70"/>
    </row>
    <row r="71" spans="1:13" s="185" customFormat="1" x14ac:dyDescent="0.2">
      <c r="A71" s="578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579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4116.1147335000005</v>
      </c>
      <c r="H73" s="62">
        <f t="shared" ca="1" si="0"/>
        <v>5.9424750000000008</v>
      </c>
      <c r="I73"/>
      <c r="J73"/>
      <c r="K73"/>
      <c r="L73"/>
      <c r="M73"/>
    </row>
    <row r="74" spans="1:13" s="185" customFormat="1" x14ac:dyDescent="0.2">
      <c r="A74" s="578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590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590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8212.5999278399995</v>
      </c>
      <c r="H76" s="62"/>
    </row>
    <row r="77" spans="1:13" s="185" customFormat="1" x14ac:dyDescent="0.2">
      <c r="A77" s="590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579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780.72562026659205</v>
      </c>
      <c r="H78" s="62"/>
    </row>
    <row r="79" spans="1:13" s="185" customFormat="1" x14ac:dyDescent="0.2">
      <c r="A79" s="578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590"/>
      <c r="B80" s="580" t="s">
        <v>516</v>
      </c>
      <c r="C80" s="581"/>
      <c r="D80" s="582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590"/>
      <c r="B81" s="583" t="s">
        <v>515</v>
      </c>
      <c r="C81" s="583"/>
      <c r="D81" s="583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579"/>
      <c r="B82" s="583" t="s">
        <v>514</v>
      </c>
      <c r="C82" s="583"/>
      <c r="D82" s="583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578">
        <v>8</v>
      </c>
      <c r="B83" s="580" t="s">
        <v>387</v>
      </c>
      <c r="C83" s="581"/>
      <c r="D83" s="582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2798.4288040285496</v>
      </c>
      <c r="H83" s="62">
        <f ca="1">G83/Цнч</f>
        <v>4.0401189674999998</v>
      </c>
    </row>
    <row r="84" spans="1:11" s="185" customFormat="1" x14ac:dyDescent="0.2">
      <c r="A84" s="579"/>
      <c r="B84" s="580" t="s">
        <v>415</v>
      </c>
      <c r="C84" s="581"/>
      <c r="D84" s="582"/>
      <c r="E84" s="570" t="s">
        <v>164</v>
      </c>
      <c r="F84" s="319"/>
      <c r="G84" s="324">
        <f>IF(Sи&gt;0,0,Материалы_ГорПОС)*(1+Плановые_накопления/100)</f>
        <v>768.60377557424988</v>
      </c>
      <c r="H84" s="62"/>
    </row>
    <row r="85" spans="1:11" x14ac:dyDescent="0.2">
      <c r="A85" s="588">
        <v>9</v>
      </c>
      <c r="B85" s="580" t="s">
        <v>547</v>
      </c>
      <c r="C85" s="581"/>
      <c r="D85" s="582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89"/>
      <c r="B86" s="591" t="s">
        <v>170</v>
      </c>
      <c r="C86" s="592"/>
      <c r="D86" s="593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587" t="s">
        <v>26</v>
      </c>
      <c r="C87" s="587"/>
      <c r="D87" s="587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290874.67575740512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300214</v>
      </c>
      <c r="I90" s="438">
        <f ca="1">I57+I68</f>
        <v>195879.1729110551</v>
      </c>
      <c r="J90" s="438">
        <f>J57+J68</f>
        <v>104333.96048599853</v>
      </c>
      <c r="K90" s="438">
        <f ca="1">I90+J90</f>
        <v>300213.13339705364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300214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2071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282.79267304457471</v>
      </c>
      <c r="I98">
        <f ca="1">I90/Цнч</f>
        <v>282.79267304457471</v>
      </c>
    </row>
    <row r="99" spans="8:9" x14ac:dyDescent="0.2">
      <c r="I99">
        <f ca="1">I98*ФОТнч</f>
        <v>68625.297967726947</v>
      </c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43" t="s">
        <v>222</v>
      </c>
      <c r="C4" s="643"/>
      <c r="D4" s="643"/>
      <c r="E4" s="643"/>
      <c r="F4" s="643"/>
      <c r="G4" s="643"/>
      <c r="H4" s="643"/>
      <c r="J4" s="654" t="s">
        <v>223</v>
      </c>
      <c r="K4" s="654"/>
      <c r="L4" s="654"/>
    </row>
    <row r="5" spans="2:12" s="186" customFormat="1" ht="13.5" thickBot="1" x14ac:dyDescent="0.25"/>
    <row r="6" spans="2:12" s="186" customFormat="1" x14ac:dyDescent="0.2">
      <c r="B6" s="659" t="s">
        <v>226</v>
      </c>
      <c r="C6" s="660"/>
      <c r="D6" s="660"/>
      <c r="E6" s="660"/>
      <c r="F6" s="661"/>
      <c r="G6" s="657" t="str">
        <f>Наименование_платы</f>
        <v>Децимальный номер платы</v>
      </c>
      <c r="H6" s="658"/>
      <c r="J6" s="644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62" t="s">
        <v>336</v>
      </c>
      <c r="C7" s="663"/>
      <c r="D7" s="663"/>
      <c r="E7" s="663"/>
      <c r="F7" s="188" t="s">
        <v>39</v>
      </c>
      <c r="G7" s="650">
        <f>П</f>
        <v>145</v>
      </c>
      <c r="H7" s="651"/>
      <c r="J7" s="645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64" t="s">
        <v>337</v>
      </c>
      <c r="C8" s="665"/>
      <c r="D8" s="665"/>
      <c r="E8" s="665"/>
      <c r="F8" s="188" t="s">
        <v>338</v>
      </c>
      <c r="G8" s="652">
        <v>1</v>
      </c>
      <c r="H8" s="653"/>
      <c r="J8" s="645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62" t="s">
        <v>339</v>
      </c>
      <c r="C9" s="663"/>
      <c r="D9" s="663"/>
      <c r="E9" s="663"/>
      <c r="F9" s="188" t="s">
        <v>340</v>
      </c>
      <c r="G9" s="650">
        <f>G7/G8</f>
        <v>145</v>
      </c>
      <c r="H9" s="651"/>
      <c r="J9" s="645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62" t="s">
        <v>341</v>
      </c>
      <c r="C10" s="663"/>
      <c r="D10" s="663"/>
      <c r="E10" s="663"/>
      <c r="F10" s="188" t="s">
        <v>342</v>
      </c>
      <c r="G10" s="648">
        <f>G15+H15</f>
        <v>1</v>
      </c>
      <c r="H10" s="649"/>
      <c r="J10" s="655" t="s">
        <v>240</v>
      </c>
      <c r="K10" s="666" t="s">
        <v>343</v>
      </c>
      <c r="L10" s="646">
        <f>SUM(L6:L9)</f>
        <v>417.40776399999999</v>
      </c>
    </row>
    <row r="11" spans="2:12" s="186" customFormat="1" x14ac:dyDescent="0.2">
      <c r="B11" s="662" t="s">
        <v>232</v>
      </c>
      <c r="C11" s="663"/>
      <c r="D11" s="663"/>
      <c r="E11" s="663"/>
      <c r="F11" s="675"/>
      <c r="G11" s="191" t="s">
        <v>237</v>
      </c>
      <c r="H11" s="187" t="s">
        <v>238</v>
      </c>
      <c r="J11" s="656"/>
      <c r="K11" s="667"/>
      <c r="L11" s="647"/>
    </row>
    <row r="12" spans="2:12" s="186" customFormat="1" ht="13.15" customHeight="1" x14ac:dyDescent="0.2">
      <c r="B12" s="662" t="s">
        <v>344</v>
      </c>
      <c r="C12" s="663"/>
      <c r="D12" s="663"/>
      <c r="E12" s="663"/>
      <c r="F12" s="188" t="s">
        <v>345</v>
      </c>
      <c r="G12" s="269"/>
      <c r="H12" s="269"/>
      <c r="J12" s="655" t="s">
        <v>346</v>
      </c>
      <c r="K12" s="671" t="s">
        <v>347</v>
      </c>
      <c r="L12" s="671">
        <f>G14*_NO1+H14*_NO2</f>
        <v>1</v>
      </c>
    </row>
    <row r="13" spans="2:12" s="186" customFormat="1" x14ac:dyDescent="0.2">
      <c r="B13" s="662" t="s">
        <v>348</v>
      </c>
      <c r="C13" s="663"/>
      <c r="D13" s="663"/>
      <c r="E13" s="663"/>
      <c r="F13" s="188" t="s">
        <v>338</v>
      </c>
      <c r="G13" s="269">
        <v>1000</v>
      </c>
      <c r="H13" s="269">
        <v>1000</v>
      </c>
      <c r="J13" s="656"/>
      <c r="K13" s="672"/>
      <c r="L13" s="672"/>
    </row>
    <row r="14" spans="2:12" s="186" customFormat="1" ht="26.45" customHeight="1" x14ac:dyDescent="0.2">
      <c r="B14" s="679" t="s">
        <v>329</v>
      </c>
      <c r="C14" s="680"/>
      <c r="D14" s="680"/>
      <c r="E14" s="680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82" t="s">
        <v>352</v>
      </c>
      <c r="C15" s="683"/>
      <c r="D15" s="683"/>
      <c r="E15" s="684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79" t="s">
        <v>355</v>
      </c>
      <c r="C16" s="680"/>
      <c r="D16" s="680"/>
      <c r="E16" s="681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62" t="s">
        <v>233</v>
      </c>
      <c r="C17" s="663"/>
      <c r="D17" s="663"/>
      <c r="E17" s="663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62"/>
      <c r="C18" s="663"/>
      <c r="D18" s="663"/>
      <c r="E18" s="663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73" t="s">
        <v>360</v>
      </c>
      <c r="C19" s="674"/>
      <c r="D19" s="674"/>
      <c r="E19" s="674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4" t="s">
        <v>234</v>
      </c>
      <c r="C21" s="654"/>
      <c r="D21" s="654"/>
      <c r="E21" s="654"/>
      <c r="F21" s="654"/>
      <c r="G21" s="654"/>
      <c r="H21" s="654"/>
    </row>
    <row r="22" spans="2:13" s="186" customFormat="1" ht="39" thickBot="1" x14ac:dyDescent="0.25">
      <c r="B22" s="669" t="s">
        <v>362</v>
      </c>
      <c r="C22" s="670"/>
      <c r="D22" s="670"/>
      <c r="E22" s="670"/>
      <c r="F22" s="670"/>
      <c r="G22" s="670"/>
      <c r="H22" s="192" t="s">
        <v>363</v>
      </c>
      <c r="J22" s="668" t="s">
        <v>417</v>
      </c>
      <c r="K22" s="668"/>
      <c r="L22" s="668"/>
    </row>
    <row r="23" spans="2:13" s="186" customFormat="1" ht="26.45" customHeight="1" thickBot="1" x14ac:dyDescent="0.25">
      <c r="B23" s="685" t="s">
        <v>245</v>
      </c>
      <c r="C23" s="686"/>
      <c r="D23" s="686"/>
      <c r="E23" s="686"/>
      <c r="F23" s="686"/>
      <c r="G23" s="687"/>
      <c r="H23" s="416">
        <f>М</f>
        <v>417.40776399999999</v>
      </c>
      <c r="J23" s="668"/>
      <c r="K23" s="668"/>
      <c r="L23" s="668"/>
    </row>
    <row r="24" spans="2:13" s="186" customFormat="1" ht="13.5" thickBot="1" x14ac:dyDescent="0.25">
      <c r="J24" s="668"/>
      <c r="K24" s="668"/>
      <c r="L24" s="668"/>
    </row>
    <row r="25" spans="2:13" s="186" customFormat="1" ht="39" thickBot="1" x14ac:dyDescent="0.25">
      <c r="B25" s="669" t="s">
        <v>364</v>
      </c>
      <c r="C25" s="670"/>
      <c r="D25" s="670"/>
      <c r="E25" s="670"/>
      <c r="F25" s="670"/>
      <c r="G25" s="670"/>
      <c r="H25" s="192" t="s">
        <v>363</v>
      </c>
    </row>
    <row r="26" spans="2:13" s="186" customFormat="1" ht="27" customHeight="1" thickBot="1" x14ac:dyDescent="0.25">
      <c r="B26" s="685" t="s">
        <v>247</v>
      </c>
      <c r="C26" s="686"/>
      <c r="D26" s="686"/>
      <c r="E26" s="686"/>
      <c r="F26" s="686"/>
      <c r="G26" s="686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69" t="s">
        <v>235</v>
      </c>
      <c r="C28" s="670"/>
      <c r="D28" s="670"/>
      <c r="E28" s="670"/>
      <c r="F28" s="670"/>
      <c r="G28" s="670"/>
      <c r="H28" s="192" t="s">
        <v>363</v>
      </c>
    </row>
    <row r="29" spans="2:13" s="186" customFormat="1" ht="27.6" customHeight="1" thickBot="1" x14ac:dyDescent="0.25">
      <c r="B29" s="676" t="s">
        <v>246</v>
      </c>
      <c r="C29" s="677"/>
      <c r="D29" s="677"/>
      <c r="E29" s="677"/>
      <c r="F29" s="677"/>
      <c r="G29" s="67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07" t="s">
        <v>188</v>
      </c>
      <c r="I7" s="707" t="s">
        <v>189</v>
      </c>
      <c r="J7" s="131"/>
      <c r="K7" s="696" t="s">
        <v>190</v>
      </c>
      <c r="L7" s="697"/>
    </row>
    <row r="8" spans="1:15" ht="13.15" customHeight="1" x14ac:dyDescent="0.2">
      <c r="A8" s="131"/>
      <c r="C8" s="698" t="s">
        <v>324</v>
      </c>
      <c r="D8" s="699"/>
      <c r="E8" s="704" t="s">
        <v>325</v>
      </c>
      <c r="F8" s="131"/>
      <c r="G8" s="131"/>
      <c r="H8" s="708"/>
      <c r="I8" s="708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00"/>
      <c r="D9" s="701"/>
      <c r="E9" s="705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02"/>
      <c r="D10" s="703"/>
      <c r="E10" s="706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94" t="s">
        <v>197</v>
      </c>
      <c r="D11" s="695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688" t="str">
        <f>CONCATENATE("Отчисления на социальное страхование, ",Социальный_налог,"%")</f>
        <v>Отчисления на социальное страхование, 30.6%</v>
      </c>
      <c r="D12" s="689"/>
      <c r="E12" s="692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690"/>
      <c r="D13" s="691"/>
      <c r="E13" s="693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94" t="str">
        <f>CONCATENATE("Накладные расходы (",Накладные_расходы,"%)")</f>
        <v>Накладные расходы (117.6%)</v>
      </c>
      <c r="D14" s="695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94" t="s">
        <v>198</v>
      </c>
      <c r="D15" s="695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94" t="str">
        <f>CONCATENATE("Плановые накопления (",Плановые_накопления,"%)")</f>
        <v>Плановые накопления (15%)</v>
      </c>
      <c r="D16" s="695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12" t="s">
        <v>326</v>
      </c>
      <c r="D17" s="713"/>
      <c r="E17" s="692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14"/>
      <c r="D18" s="715"/>
      <c r="E18" s="693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16" t="s">
        <v>327</v>
      </c>
      <c r="D21" s="716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17"/>
      <c r="D22" s="717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18"/>
      <c r="D23" s="718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696" t="s">
        <v>203</v>
      </c>
      <c r="H47" s="697"/>
      <c r="I47" s="134" t="s">
        <v>204</v>
      </c>
      <c r="J47" s="41"/>
      <c r="K47" s="707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19"/>
      <c r="H48" s="720"/>
      <c r="I48" s="155" t="s">
        <v>207</v>
      </c>
      <c r="J48" s="40"/>
      <c r="K48" s="709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10" t="s">
        <v>211</v>
      </c>
      <c r="H49" s="711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10" t="s">
        <v>211</v>
      </c>
      <c r="H50" s="711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25" t="s">
        <v>225</v>
      </c>
      <c r="C2" s="725"/>
      <c r="D2" s="725"/>
      <c r="E2" s="725"/>
      <c r="F2" s="725"/>
      <c r="G2" s="725"/>
      <c r="H2" s="725"/>
      <c r="I2" s="725"/>
      <c r="J2" s="725"/>
      <c r="K2" s="725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32" t="s">
        <v>222</v>
      </c>
      <c r="C4" s="732"/>
      <c r="D4" s="732"/>
      <c r="E4" s="732"/>
      <c r="F4" s="732"/>
      <c r="G4" s="732"/>
      <c r="H4" s="732"/>
      <c r="I4" s="732"/>
      <c r="J4" s="732"/>
      <c r="K4" s="732"/>
    </row>
    <row r="5" spans="2:11" x14ac:dyDescent="0.2">
      <c r="B5" s="52" t="s">
        <v>8</v>
      </c>
      <c r="C5" s="18"/>
      <c r="D5" s="18"/>
      <c r="E5" s="18"/>
      <c r="F5" s="729" t="str">
        <f>Наименование_платы</f>
        <v>Децимальный номер платы</v>
      </c>
      <c r="G5" s="730"/>
      <c r="H5" s="730"/>
      <c r="I5" s="731"/>
      <c r="J5" s="47"/>
      <c r="K5" s="47"/>
    </row>
    <row r="6" spans="2:11" x14ac:dyDescent="0.2">
      <c r="B6" s="52" t="s">
        <v>35</v>
      </c>
      <c r="C6" s="18"/>
      <c r="D6" s="18"/>
      <c r="E6" s="18"/>
      <c r="F6" s="726">
        <f>П</f>
        <v>145</v>
      </c>
      <c r="G6" s="727"/>
      <c r="H6" s="727"/>
      <c r="I6" s="728"/>
      <c r="J6" s="8"/>
      <c r="K6" s="2"/>
    </row>
    <row r="7" spans="2:11" x14ac:dyDescent="0.2">
      <c r="B7" s="733" t="s">
        <v>489</v>
      </c>
      <c r="C7" s="734"/>
      <c r="D7" s="734"/>
      <c r="E7" s="735"/>
      <c r="F7" s="726">
        <f>БЛэк</f>
        <v>1</v>
      </c>
      <c r="G7" s="727"/>
      <c r="H7" s="727"/>
      <c r="I7" s="728"/>
      <c r="J7" s="8"/>
      <c r="K7" s="2"/>
    </row>
    <row r="8" spans="2:11" x14ac:dyDescent="0.2">
      <c r="B8" s="733" t="s">
        <v>330</v>
      </c>
      <c r="C8" s="734"/>
      <c r="D8" s="734"/>
      <c r="E8" s="735"/>
      <c r="F8" s="726">
        <f>1-INT(Электроконтроль/4)</f>
        <v>1</v>
      </c>
      <c r="G8" s="727"/>
      <c r="H8" s="727"/>
      <c r="I8" s="728"/>
      <c r="J8" s="8"/>
      <c r="K8" s="2"/>
    </row>
    <row r="9" spans="2:11" x14ac:dyDescent="0.2">
      <c r="B9" s="494" t="s">
        <v>490</v>
      </c>
      <c r="C9" s="495"/>
      <c r="D9" s="495"/>
      <c r="E9" s="496"/>
      <c r="F9" s="726">
        <f>ROUNDUP(П/БЛэк,0)</f>
        <v>145</v>
      </c>
      <c r="G9" s="727"/>
      <c r="H9" s="727"/>
      <c r="I9" s="728"/>
      <c r="J9" s="8"/>
      <c r="K9" s="2"/>
    </row>
    <row r="10" spans="2:11" x14ac:dyDescent="0.2">
      <c r="B10" s="733" t="s">
        <v>487</v>
      </c>
      <c r="C10" s="734"/>
      <c r="D10" s="734"/>
      <c r="E10" s="735"/>
      <c r="F10" s="726">
        <f>Расчет!G22</f>
        <v>1</v>
      </c>
      <c r="G10" s="727"/>
      <c r="H10" s="727"/>
      <c r="I10" s="728"/>
      <c r="J10" s="8"/>
      <c r="K10" s="2"/>
    </row>
    <row r="11" spans="2:11" x14ac:dyDescent="0.2">
      <c r="B11" s="52" t="s">
        <v>488</v>
      </c>
      <c r="C11" s="18"/>
      <c r="D11" s="18"/>
      <c r="E11" s="18"/>
      <c r="F11" s="726">
        <f>Расчет!G21</f>
        <v>600</v>
      </c>
      <c r="G11" s="727"/>
      <c r="H11" s="727"/>
      <c r="I11" s="728"/>
      <c r="J11" s="47"/>
      <c r="K11" s="47"/>
    </row>
    <row r="13" spans="2:11" ht="22.9" customHeight="1" x14ac:dyDescent="0.2">
      <c r="B13" s="721" t="s">
        <v>223</v>
      </c>
      <c r="C13" s="722"/>
      <c r="D13" s="722"/>
      <c r="E13" s="722"/>
      <c r="F13" s="722"/>
      <c r="G13" s="722"/>
      <c r="H13" s="722"/>
      <c r="I13" s="722"/>
      <c r="J13" s="722"/>
      <c r="K13" s="722"/>
    </row>
    <row r="14" spans="2:11" ht="18.75" x14ac:dyDescent="0.35">
      <c r="B14" s="63" t="s">
        <v>37</v>
      </c>
      <c r="C14" s="600" t="s">
        <v>331</v>
      </c>
      <c r="D14" s="600"/>
      <c r="E14" s="600"/>
      <c r="F14" s="600"/>
      <c r="G14" s="600"/>
      <c r="H14" s="600"/>
      <c r="I14" s="600"/>
      <c r="J14" s="600"/>
      <c r="K14" s="273">
        <v>270.61</v>
      </c>
    </row>
    <row r="15" spans="2:11" ht="15.75" x14ac:dyDescent="0.25">
      <c r="B15" s="63" t="s">
        <v>332</v>
      </c>
      <c r="C15" s="738" t="s">
        <v>333</v>
      </c>
      <c r="D15" s="739"/>
      <c r="E15" s="739"/>
      <c r="F15" s="739"/>
      <c r="G15" s="739"/>
      <c r="H15" s="739"/>
      <c r="I15" s="739"/>
      <c r="J15" s="740"/>
      <c r="K15" s="273">
        <f>Цнч</f>
        <v>692.66</v>
      </c>
    </row>
    <row r="16" spans="2:11" ht="15.75" x14ac:dyDescent="0.25">
      <c r="B16" s="63" t="s">
        <v>38</v>
      </c>
      <c r="C16" s="591" t="s">
        <v>45</v>
      </c>
      <c r="D16" s="592"/>
      <c r="E16" s="592"/>
      <c r="F16" s="592"/>
      <c r="G16" s="592"/>
      <c r="H16" s="592"/>
      <c r="I16" s="592"/>
      <c r="J16" s="593"/>
      <c r="K16" s="6">
        <v>1.2</v>
      </c>
    </row>
    <row r="17" spans="2:13" ht="15.75" x14ac:dyDescent="0.25">
      <c r="B17" s="63" t="s">
        <v>39</v>
      </c>
      <c r="C17" s="600" t="s">
        <v>486</v>
      </c>
      <c r="D17" s="600"/>
      <c r="E17" s="600"/>
      <c r="F17" s="600"/>
      <c r="G17" s="600"/>
      <c r="H17" s="600"/>
      <c r="I17" s="600"/>
      <c r="J17" s="600"/>
      <c r="K17" s="6">
        <f>$F$6</f>
        <v>145</v>
      </c>
    </row>
    <row r="18" spans="2:13" ht="15.75" hidden="1" x14ac:dyDescent="0.25">
      <c r="B18" s="63" t="s">
        <v>485</v>
      </c>
      <c r="C18" s="601" t="s">
        <v>486</v>
      </c>
      <c r="D18" s="723"/>
      <c r="E18" s="723"/>
      <c r="F18" s="723"/>
      <c r="G18" s="723"/>
      <c r="H18" s="723"/>
      <c r="I18" s="723"/>
      <c r="J18" s="724"/>
      <c r="K18" s="6"/>
    </row>
    <row r="19" spans="2:13" ht="15.75" x14ac:dyDescent="0.25">
      <c r="B19" s="63" t="s">
        <v>40</v>
      </c>
      <c r="C19" s="745" t="s">
        <v>46</v>
      </c>
      <c r="D19" s="745"/>
      <c r="E19" s="745"/>
      <c r="F19" s="745"/>
      <c r="G19" s="745"/>
      <c r="H19" s="745"/>
      <c r="I19" s="745"/>
      <c r="J19" s="745"/>
      <c r="K19" s="7">
        <f>$F$10</f>
        <v>1</v>
      </c>
    </row>
    <row r="20" spans="2:13" ht="34.9" customHeight="1" x14ac:dyDescent="0.25">
      <c r="B20" s="63" t="s">
        <v>41</v>
      </c>
      <c r="C20" s="737" t="s">
        <v>48</v>
      </c>
      <c r="D20" s="737"/>
      <c r="E20" s="737"/>
      <c r="F20" s="737"/>
      <c r="G20" s="737"/>
      <c r="H20" s="737"/>
      <c r="I20" s="737"/>
      <c r="J20" s="737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37" t="s">
        <v>334</v>
      </c>
      <c r="D21" s="737"/>
      <c r="E21" s="737"/>
      <c r="F21" s="737"/>
      <c r="G21" s="737"/>
      <c r="H21" s="737"/>
      <c r="I21" s="737"/>
      <c r="J21" s="737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52" t="s">
        <v>224</v>
      </c>
      <c r="C24" s="752"/>
      <c r="D24" s="752"/>
      <c r="E24" s="752"/>
      <c r="F24" s="752"/>
      <c r="G24" s="752"/>
      <c r="H24" s="752"/>
      <c r="I24" s="752"/>
      <c r="J24" s="752"/>
      <c r="K24" s="752"/>
    </row>
    <row r="25" spans="2:13" x14ac:dyDescent="0.2">
      <c r="B25" s="749" t="s">
        <v>43</v>
      </c>
      <c r="C25" s="750"/>
      <c r="D25" s="750"/>
      <c r="E25" s="750"/>
      <c r="F25" s="750"/>
      <c r="G25" s="750"/>
      <c r="H25" s="750"/>
      <c r="I25" s="750"/>
      <c r="J25" s="750"/>
      <c r="K25" s="751"/>
    </row>
    <row r="26" spans="2:13" ht="36.6" customHeight="1" x14ac:dyDescent="0.25">
      <c r="B26" s="736" t="s">
        <v>335</v>
      </c>
      <c r="C26" s="737"/>
      <c r="D26" s="737"/>
      <c r="E26" s="737"/>
      <c r="F26" s="737"/>
      <c r="G26" s="737"/>
      <c r="H26" s="737"/>
      <c r="I26" s="737"/>
      <c r="J26" s="737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42" t="s">
        <v>44</v>
      </c>
      <c r="C27" s="743"/>
      <c r="D27" s="743"/>
      <c r="E27" s="743"/>
      <c r="F27" s="743"/>
      <c r="G27" s="743"/>
      <c r="H27" s="743"/>
      <c r="I27" s="743"/>
      <c r="J27" s="743"/>
      <c r="K27" s="744"/>
    </row>
    <row r="28" spans="2:13" ht="16.149999999999999" customHeight="1" thickBot="1" x14ac:dyDescent="0.25">
      <c r="B28" s="746" t="s">
        <v>491</v>
      </c>
      <c r="C28" s="747"/>
      <c r="D28" s="747"/>
      <c r="E28" s="747"/>
      <c r="F28" s="747"/>
      <c r="G28" s="747"/>
      <c r="H28" s="747"/>
      <c r="I28" s="747"/>
      <c r="J28" s="748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41" t="s">
        <v>484</v>
      </c>
      <c r="C31" s="741"/>
      <c r="D31" s="741"/>
      <c r="E31" s="741"/>
      <c r="F31" s="741"/>
      <c r="G31" s="741"/>
      <c r="H31" s="741"/>
      <c r="I31" s="741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78" zoomScale="130" zoomScaleNormal="130" workbookViewId="0">
      <selection activeCell="J87" sqref="J87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62" t="s">
        <v>433</v>
      </c>
      <c r="C3" s="762"/>
      <c r="D3" s="762"/>
      <c r="E3" s="762"/>
      <c r="F3" s="762"/>
      <c r="G3" s="762"/>
      <c r="H3" s="762"/>
      <c r="I3" s="762"/>
      <c r="J3" s="762"/>
    </row>
    <row r="4" spans="2:13" ht="12.75" x14ac:dyDescent="0.2">
      <c r="B4" s="76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62"/>
      <c r="D4" s="762"/>
      <c r="E4" s="762"/>
      <c r="F4" s="762"/>
      <c r="G4" s="762"/>
      <c r="H4" s="762"/>
      <c r="I4" s="762"/>
      <c r="J4" s="762"/>
    </row>
    <row r="5" spans="2:13" ht="12.75" x14ac:dyDescent="0.2">
      <c r="B5" s="762" t="str">
        <f>Номер_письма</f>
        <v>Номер заказа от дата</v>
      </c>
      <c r="C5" s="762"/>
      <c r="D5" s="762"/>
      <c r="E5" s="762"/>
      <c r="F5" s="762"/>
      <c r="G5" s="762"/>
      <c r="H5" s="762"/>
      <c r="I5" s="762"/>
      <c r="J5" s="76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6" t="s">
        <v>50</v>
      </c>
      <c r="C9" s="763" t="s">
        <v>70</v>
      </c>
      <c r="D9" s="756" t="s">
        <v>70</v>
      </c>
      <c r="E9" s="756" t="s">
        <v>440</v>
      </c>
      <c r="F9" s="756"/>
      <c r="G9" s="756" t="s">
        <v>71</v>
      </c>
      <c r="H9" s="756" t="s">
        <v>261</v>
      </c>
      <c r="I9" s="756" t="s">
        <v>437</v>
      </c>
      <c r="J9" s="756" t="s">
        <v>436</v>
      </c>
    </row>
    <row r="10" spans="2:13" ht="24" customHeight="1" x14ac:dyDescent="0.2">
      <c r="B10" s="756"/>
      <c r="C10" s="764"/>
      <c r="D10" s="756"/>
      <c r="E10" s="448" t="s">
        <v>441</v>
      </c>
      <c r="F10" s="448" t="s">
        <v>442</v>
      </c>
      <c r="G10" s="756"/>
      <c r="H10" s="756"/>
      <c r="I10" s="756"/>
      <c r="J10" s="75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150</v>
      </c>
      <c r="J13" s="194">
        <f t="shared" si="1"/>
        <v>293.80889999999999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150</v>
      </c>
      <c r="J14" s="194">
        <f t="shared" si="1"/>
        <v>587.61779999999999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257</v>
      </c>
      <c r="J16" s="194">
        <f t="shared" si="1"/>
        <v>906.10664760000009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275</v>
      </c>
      <c r="J20" s="194">
        <f t="shared" si="1"/>
        <v>457.85220250000003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142</v>
      </c>
      <c r="J21" s="194">
        <f t="shared" si="1"/>
        <v>375.48777420000005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935.52</v>
      </c>
      <c r="J25" s="194">
        <f t="shared" si="1"/>
        <v>274.86410212799996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78</v>
      </c>
      <c r="J26" s="194">
        <f t="shared" si="1"/>
        <v>916.6837680000001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210.46</v>
      </c>
      <c r="J27" s="194">
        <f t="shared" si="1"/>
        <v>1277.9237692760005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36</v>
      </c>
      <c r="J28" s="194">
        <f t="shared" si="1"/>
        <v>141.02827199999999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70</v>
      </c>
      <c r="J29" s="194">
        <f t="shared" si="1"/>
        <v>111.0597642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425.61</v>
      </c>
      <c r="J30" s="194">
        <f t="shared" si="1"/>
        <v>250.096011858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369.38</v>
      </c>
      <c r="J32" s="194">
        <f t="shared" si="1"/>
        <v>614.98707839799999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465.67</v>
      </c>
      <c r="J34" s="194">
        <f t="shared" si="1"/>
        <v>684.08995231500012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1012.31</v>
      </c>
      <c r="J35" s="194">
        <f t="shared" si="1"/>
        <v>1784.5541253540002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1331</v>
      </c>
      <c r="J37" s="194">
        <f t="shared" si="1"/>
        <v>2281.1812677499997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999.81</v>
      </c>
      <c r="J38" s="194">
        <f t="shared" si="1"/>
        <v>440.62961446350005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230.51</v>
      </c>
      <c r="J39" s="194">
        <f t="shared" si="1"/>
        <v>428.93063374700006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160</v>
      </c>
      <c r="J45" s="194">
        <f t="shared" si="1"/>
        <v>12.535846399999999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6435.75</v>
      </c>
      <c r="J46" s="194">
        <f t="shared" si="1"/>
        <v>1449.6751482675002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19585.157147379596</v>
      </c>
    </row>
    <row r="50" spans="2:14" x14ac:dyDescent="0.2">
      <c r="B50" s="756" t="s">
        <v>50</v>
      </c>
      <c r="C50" s="756" t="s">
        <v>70</v>
      </c>
      <c r="D50" s="756" t="s">
        <v>70</v>
      </c>
      <c r="E50" s="756" t="s">
        <v>440</v>
      </c>
      <c r="F50" s="756"/>
      <c r="G50" s="756" t="s">
        <v>71</v>
      </c>
      <c r="H50" s="756" t="s">
        <v>261</v>
      </c>
      <c r="I50" s="756" t="s">
        <v>437</v>
      </c>
      <c r="J50" s="756" t="s">
        <v>436</v>
      </c>
      <c r="M50" s="320"/>
    </row>
    <row r="51" spans="2:14" ht="33.75" x14ac:dyDescent="0.2">
      <c r="B51" s="756"/>
      <c r="C51" s="756"/>
      <c r="D51" s="756"/>
      <c r="E51" s="448" t="s">
        <v>434</v>
      </c>
      <c r="F51" s="448" t="s">
        <v>435</v>
      </c>
      <c r="G51" s="756"/>
      <c r="H51" s="756"/>
      <c r="I51" s="756"/>
      <c r="J51" s="75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320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298</v>
      </c>
      <c r="J54" s="194">
        <f>I54*G54</f>
        <v>2017.2684026879999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504.69</v>
      </c>
      <c r="J55" s="194">
        <f t="shared" si="2"/>
        <v>2471.3735623500002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208.98</v>
      </c>
      <c r="J56" s="194">
        <f t="shared" si="2"/>
        <v>1486.1300065919997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Текстолит!C41</f>
        <v>1.28</v>
      </c>
      <c r="F57" s="379">
        <f>Текстолит!D41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1747.8</v>
      </c>
      <c r="J57" s="194">
        <f t="shared" si="2"/>
        <v>21910.152337920001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18/18-0.2</v>
      </c>
      <c r="D58" s="377" t="str">
        <f>VLOOKUP(Текстолит!J41,Текстолит!A3:B39,2)</f>
        <v xml:space="preserve">DE 104 ML 18/18-0,2 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1747.8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18/18-0.2</v>
      </c>
      <c r="D59" s="377" t="str">
        <f>VLOOKUP(Текстолит!K41,Текстолит!A3:B39,2)</f>
        <v xml:space="preserve">DE 104 ML 18/18-0,2 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1747.8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126.00</v>
      </c>
      <c r="J61" s="194">
        <f>I61*G61</f>
        <v>1542.4967249999997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179.45</v>
      </c>
      <c r="J62" s="194">
        <f t="shared" si="2"/>
        <v>2196.8336293749994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31624.254663924999</v>
      </c>
    </row>
    <row r="64" spans="2:14" x14ac:dyDescent="0.2">
      <c r="B64" s="756" t="s">
        <v>50</v>
      </c>
      <c r="C64" s="756" t="s">
        <v>70</v>
      </c>
      <c r="D64" s="756" t="s">
        <v>70</v>
      </c>
      <c r="E64" s="756" t="s">
        <v>440</v>
      </c>
      <c r="F64" s="756"/>
      <c r="G64" s="756" t="s">
        <v>71</v>
      </c>
      <c r="H64" s="756" t="s">
        <v>261</v>
      </c>
      <c r="I64" s="756" t="s">
        <v>437</v>
      </c>
      <c r="J64" s="756" t="s">
        <v>436</v>
      </c>
    </row>
    <row r="65" spans="2:24" ht="10.15" customHeight="1" x14ac:dyDescent="0.2">
      <c r="B65" s="756"/>
      <c r="C65" s="756"/>
      <c r="D65" s="756"/>
      <c r="E65" s="448" t="s">
        <v>434</v>
      </c>
      <c r="F65" s="448" t="s">
        <v>435</v>
      </c>
      <c r="G65" s="756"/>
      <c r="H65" s="756"/>
      <c r="I65" s="756"/>
      <c r="J65" s="75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343.23</v>
      </c>
      <c r="J68" s="194">
        <f>I68*G68*IF(INDEX(тип_ст_таблица,FR)=B68,1,0)</f>
        <v>19362.053519424</v>
      </c>
      <c r="N68" s="761" t="s">
        <v>537</v>
      </c>
      <c r="O68" s="761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4370.46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19362.053519424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6" t="s">
        <v>50</v>
      </c>
      <c r="C71" s="756" t="s">
        <v>70</v>
      </c>
      <c r="D71" s="756" t="s">
        <v>70</v>
      </c>
      <c r="E71" s="757" t="s">
        <v>440</v>
      </c>
      <c r="F71" s="758"/>
      <c r="G71" s="756" t="s">
        <v>71</v>
      </c>
      <c r="H71" s="756" t="s">
        <v>261</v>
      </c>
      <c r="I71" s="756" t="s">
        <v>437</v>
      </c>
      <c r="J71" s="756" t="s">
        <v>436</v>
      </c>
      <c r="N71" s="516" t="s">
        <v>536</v>
      </c>
      <c r="O71" s="516">
        <f>0.665*0.57</f>
        <v>0.37905</v>
      </c>
    </row>
    <row r="72" spans="2:24" x14ac:dyDescent="0.2">
      <c r="B72" s="756"/>
      <c r="C72" s="756"/>
      <c r="D72" s="756"/>
      <c r="E72" s="759"/>
      <c r="F72" s="760"/>
      <c r="G72" s="756"/>
      <c r="H72" s="756"/>
      <c r="I72" s="756"/>
      <c r="J72" s="756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328.92</v>
      </c>
      <c r="J80" s="194">
        <f t="shared" si="4"/>
        <v>64.426415592000012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3" t="s">
        <v>47</v>
      </c>
      <c r="E87" s="754"/>
      <c r="F87" s="754"/>
      <c r="G87" s="754"/>
      <c r="H87" s="754"/>
      <c r="I87" s="755"/>
      <c r="J87" s="91">
        <f>масс_мат_всего+лист_мат_всего+ст_всего+доп_мат_всего</f>
        <v>71517.524112550585</v>
      </c>
    </row>
    <row r="88" spans="2:24" x14ac:dyDescent="0.2">
      <c r="L88" s="489">
        <f>SUM(J74:J85)</f>
        <v>946.0587818219999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70"/>
      <c r="H2" s="770"/>
      <c r="I2" s="195"/>
    </row>
    <row r="3" spans="1:10" x14ac:dyDescent="0.2">
      <c r="A3" s="771" t="s">
        <v>96</v>
      </c>
      <c r="B3" s="771"/>
      <c r="C3" s="771"/>
      <c r="D3" s="771"/>
      <c r="E3" s="771"/>
      <c r="F3" s="771"/>
      <c r="G3" s="771"/>
      <c r="H3" s="771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63" t="s">
        <v>50</v>
      </c>
      <c r="B5" s="763" t="s">
        <v>70</v>
      </c>
      <c r="C5" s="763" t="s">
        <v>70</v>
      </c>
      <c r="D5" s="763" t="s">
        <v>262</v>
      </c>
      <c r="E5" s="763" t="s">
        <v>71</v>
      </c>
      <c r="F5" s="763" t="s">
        <v>261</v>
      </c>
      <c r="G5" s="763" t="s">
        <v>438</v>
      </c>
      <c r="H5" s="763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64"/>
      <c r="B9" s="764"/>
      <c r="C9" s="764"/>
      <c r="D9" s="764"/>
      <c r="E9" s="764"/>
      <c r="F9" s="764"/>
      <c r="G9" s="764"/>
      <c r="H9" s="764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946.67</v>
      </c>
      <c r="H11" s="203">
        <f>E11*G11</f>
        <v>1083.6626156999998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418.87</v>
      </c>
      <c r="H12" s="203">
        <f>E12*G12</f>
        <v>205.49343329999999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1355.8689301499996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9" t="s">
        <v>231</v>
      </c>
      <c r="B17" s="769"/>
      <c r="C17" s="769"/>
      <c r="D17" s="769"/>
      <c r="E17" s="769"/>
      <c r="F17" s="769"/>
      <c r="G17" s="769"/>
      <c r="H17" s="769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63" t="s">
        <v>50</v>
      </c>
      <c r="B19" s="763" t="s">
        <v>70</v>
      </c>
      <c r="C19" s="763" t="s">
        <v>70</v>
      </c>
      <c r="D19" s="763" t="s">
        <v>403</v>
      </c>
      <c r="E19" s="763" t="s">
        <v>71</v>
      </c>
      <c r="F19" s="763" t="s">
        <v>261</v>
      </c>
      <c r="G19" s="763" t="s">
        <v>438</v>
      </c>
      <c r="H19" s="763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64"/>
      <c r="B23" s="764"/>
      <c r="C23" s="764"/>
      <c r="D23" s="764"/>
      <c r="E23" s="764"/>
      <c r="F23" s="764"/>
      <c r="G23" s="764"/>
      <c r="H23" s="764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320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298</v>
      </c>
      <c r="H26" s="203">
        <f t="shared" si="0"/>
        <v>74.852259839999988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504.69</v>
      </c>
      <c r="H27" s="203">
        <f t="shared" si="0"/>
        <v>91.702172999999988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946.67</v>
      </c>
      <c r="H29" s="203">
        <f t="shared" si="0"/>
        <v>481.62782919999995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418.87</v>
      </c>
      <c r="H30" s="203">
        <f t="shared" si="0"/>
        <v>91.3304148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1210.3595182399999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9" t="s">
        <v>100</v>
      </c>
      <c r="B35" s="769"/>
      <c r="C35" s="769"/>
      <c r="D35" s="769"/>
      <c r="E35" s="769"/>
      <c r="F35" s="769"/>
      <c r="G35" s="769"/>
      <c r="H35" s="769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63" t="s">
        <v>50</v>
      </c>
      <c r="B37" s="763" t="s">
        <v>70</v>
      </c>
      <c r="C37" s="763" t="s">
        <v>70</v>
      </c>
      <c r="D37" s="763" t="s">
        <v>262</v>
      </c>
      <c r="E37" s="763" t="s">
        <v>71</v>
      </c>
      <c r="F37" s="763" t="s">
        <v>261</v>
      </c>
      <c r="G37" s="763" t="s">
        <v>438</v>
      </c>
      <c r="H37" s="763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64"/>
      <c r="B41" s="764"/>
      <c r="C41" s="764"/>
      <c r="D41" s="764"/>
      <c r="E41" s="764"/>
      <c r="F41" s="764"/>
      <c r="G41" s="764"/>
      <c r="H41" s="764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1160</v>
      </c>
      <c r="H43" s="203">
        <f>E43*G43</f>
        <v>7141.3912416000003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7141.3912416000003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2035.84</v>
      </c>
      <c r="H46" s="203">
        <f>E46*G46</f>
        <v>678.89184371008014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678.89184371008014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2095.91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9" t="s">
        <v>391</v>
      </c>
      <c r="B55" s="769"/>
      <c r="C55" s="769"/>
      <c r="D55" s="769"/>
      <c r="E55" s="769"/>
      <c r="F55" s="769"/>
      <c r="G55" s="769"/>
      <c r="H55" s="769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63" t="s">
        <v>50</v>
      </c>
      <c r="B57" s="763" t="s">
        <v>70</v>
      </c>
      <c r="C57" s="763" t="s">
        <v>70</v>
      </c>
      <c r="D57" s="763" t="s">
        <v>365</v>
      </c>
      <c r="E57" s="763" t="s">
        <v>71</v>
      </c>
      <c r="F57" s="763" t="s">
        <v>261</v>
      </c>
      <c r="G57" s="763" t="s">
        <v>438</v>
      </c>
      <c r="H57" s="763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64"/>
      <c r="B61" s="764"/>
      <c r="C61" s="764"/>
      <c r="D61" s="764"/>
      <c r="E61" s="764"/>
      <c r="F61" s="764"/>
      <c r="G61" s="764"/>
      <c r="H61" s="764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510</v>
      </c>
      <c r="H63" s="207">
        <f>E63*G63</f>
        <v>130.82289989999998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668.35110919499994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68" t="s">
        <v>623</v>
      </c>
      <c r="B67" s="768"/>
      <c r="C67" s="768"/>
      <c r="D67" s="768"/>
      <c r="E67" s="768"/>
      <c r="F67" s="768"/>
      <c r="G67" s="768"/>
      <c r="H67" s="768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9" t="s">
        <v>102</v>
      </c>
      <c r="B79" s="769"/>
      <c r="C79" s="769"/>
      <c r="D79" s="769"/>
      <c r="E79" s="769"/>
      <c r="F79" s="769"/>
      <c r="G79" s="769"/>
      <c r="H79" s="769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63" t="s">
        <v>50</v>
      </c>
      <c r="B81" s="763" t="s">
        <v>70</v>
      </c>
      <c r="C81" s="763" t="s">
        <v>70</v>
      </c>
      <c r="D81" s="763" t="s">
        <v>365</v>
      </c>
      <c r="E81" s="763" t="s">
        <v>71</v>
      </c>
      <c r="F81" s="763" t="s">
        <v>261</v>
      </c>
      <c r="G81" s="763" t="s">
        <v>438</v>
      </c>
      <c r="H81" s="763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64"/>
      <c r="B85" s="764"/>
      <c r="C85" s="764"/>
      <c r="D85" s="764"/>
      <c r="E85" s="764"/>
      <c r="F85" s="764"/>
      <c r="G85" s="764"/>
      <c r="H85" s="764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590.16999999999996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5" t="s">
        <v>47</v>
      </c>
      <c r="D97" s="765"/>
      <c r="E97" s="765"/>
      <c r="F97" s="765"/>
      <c r="G97" s="766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91593.551657390039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12942.999544839451</v>
      </c>
      <c r="K100" s="53">
        <f>Материалы_всего-J100</f>
        <v>78650.552112550591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6" t="s">
        <v>570</v>
      </c>
      <c r="B3" s="776"/>
      <c r="C3" s="776"/>
      <c r="D3" s="776"/>
      <c r="E3" s="776"/>
      <c r="G3" s="518" t="s">
        <v>545</v>
      </c>
    </row>
    <row r="4" spans="1:7" ht="15.75" x14ac:dyDescent="0.25">
      <c r="A4" s="776" t="s">
        <v>571</v>
      </c>
      <c r="B4" s="776"/>
      <c r="C4" s="776"/>
      <c r="D4" s="776"/>
      <c r="E4" s="776"/>
      <c r="G4" s="518">
        <v>1.1000000000000001</v>
      </c>
    </row>
    <row r="6" spans="1:7" x14ac:dyDescent="0.2">
      <c r="A6" s="772" t="s">
        <v>112</v>
      </c>
      <c r="B6" s="774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3"/>
      <c r="B7" s="775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8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8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8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8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8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8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8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8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8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8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8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8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7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7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7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7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7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7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7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7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7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7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7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7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7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7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7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G20:G31"/>
    <mergeCell ref="F77:F79"/>
    <mergeCell ref="F81:F83"/>
    <mergeCell ref="F84:F86"/>
    <mergeCell ref="F88:F90"/>
    <mergeCell ref="A6:A7"/>
    <mergeCell ref="B6:B7"/>
    <mergeCell ref="A3:E3"/>
    <mergeCell ref="A4:E4"/>
    <mergeCell ref="F92:F94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62" t="s">
        <v>67</v>
      </c>
      <c r="D2" s="762"/>
      <c r="E2" s="762"/>
      <c r="F2" s="762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2.3702031276</v>
      </c>
      <c r="F14" s="374">
        <f t="shared" ref="F14:F46" ca="1" si="0">E14*ФОТнч</f>
        <v>575.17719297469193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3.5553046914000004</v>
      </c>
      <c r="F15" s="374">
        <f t="shared" ca="1" si="0"/>
        <v>862.76578946203801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4.7404062551999999</v>
      </c>
      <c r="F16" s="374">
        <f t="shared" ca="1" si="0"/>
        <v>1150.3543859493839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1.7776523457000002</v>
      </c>
      <c r="F17" s="374">
        <f t="shared" ca="1" si="0"/>
        <v>431.38289473101901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5.9255078190000008</v>
      </c>
      <c r="F18" s="374">
        <f t="shared" ca="1" si="0"/>
        <v>1437.9429824367301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5.9255078190000008</v>
      </c>
      <c r="F19" s="374">
        <f t="shared" ca="1" si="0"/>
        <v>1437.9429824367301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4.7404062551999999</v>
      </c>
      <c r="F20" s="374">
        <f t="shared" ca="1" si="0"/>
        <v>1150.3543859493839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5.9255078190000008</v>
      </c>
      <c r="F21" s="374">
        <f t="shared" ca="1" si="0"/>
        <v>1437.9429824367301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2.9627539095000004</v>
      </c>
      <c r="F22" s="374">
        <f t="shared" ca="1" si="0"/>
        <v>718.97149121836503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5.9255078190000008</v>
      </c>
      <c r="F23" s="374">
        <f t="shared" ca="1" si="0"/>
        <v>1437.9429824367301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5.9255078190000008</v>
      </c>
      <c r="F24" s="374">
        <f t="shared" ca="1" si="0"/>
        <v>1437.9429824367301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2.9627539095000004</v>
      </c>
      <c r="F25" s="374">
        <f t="shared" ca="1" si="0"/>
        <v>718.97149121836503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20.739277366500001</v>
      </c>
      <c r="F26" s="374">
        <f t="shared" ca="1" si="0"/>
        <v>5032.8004385285549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1.4813769547500002</v>
      </c>
      <c r="F27" s="374">
        <f t="shared" ca="1" si="0"/>
        <v>359.48574560918252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1.4813769547500002</v>
      </c>
      <c r="F28" s="374">
        <f t="shared" ca="1" si="0"/>
        <v>359.48574560918252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1.4813769547500002</v>
      </c>
      <c r="F29" s="374">
        <f t="shared" ca="1" si="0"/>
        <v>359.48574560918252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11.851015638</v>
      </c>
      <c r="F30" s="374">
        <f t="shared" ca="1" si="0"/>
        <v>2875.8859648734597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2.07392773665</v>
      </c>
      <c r="F31" s="374">
        <f t="shared" ca="1" si="0"/>
        <v>503.28004385285544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8.8882617284999998</v>
      </c>
      <c r="F32" s="374">
        <f t="shared" ca="1" si="0"/>
        <v>2156.9144736550948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2.3702031276</v>
      </c>
      <c r="F33" s="374">
        <f t="shared" ca="1" si="0"/>
        <v>575.17719297469193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14.813769547500002</v>
      </c>
      <c r="F34" s="374">
        <f t="shared" ca="1" si="0"/>
        <v>3594.857456091825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2.9627539095000004</v>
      </c>
      <c r="F35" s="374">
        <f t="shared" ca="1" si="0"/>
        <v>718.97149121836503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2.3702031276</v>
      </c>
      <c r="F36" s="374">
        <f t="shared" ca="1" si="0"/>
        <v>575.17719297469193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5.9255078190000008</v>
      </c>
      <c r="F37" s="374">
        <f t="shared" ca="1" si="0"/>
        <v>1437.9429824367301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1.4813769547500002</v>
      </c>
      <c r="F38" s="374">
        <f t="shared" ca="1" si="0"/>
        <v>359.48574560918252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1.4813769547500002</v>
      </c>
      <c r="F39" s="374">
        <f t="shared" ca="1" si="0"/>
        <v>359.48574560918252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1.4813769547500002</v>
      </c>
      <c r="F40" s="374">
        <f t="shared" ca="1" si="0"/>
        <v>359.48574560918252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1.7776523457000002</v>
      </c>
      <c r="F41" s="374">
        <f t="shared" ca="1" si="0"/>
        <v>431.38289473101901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2.3702031276</v>
      </c>
      <c r="F42" s="374">
        <f t="shared" ca="1" si="0"/>
        <v>575.17719297469193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4.4441308642499999</v>
      </c>
      <c r="F43" s="374">
        <f t="shared" ca="1" si="0"/>
        <v>1078.4572368275474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1.4813769547500002</v>
      </c>
      <c r="F44" s="374">
        <f t="shared" ca="1" si="0"/>
        <v>359.48574560918252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5.9255078190000008</v>
      </c>
      <c r="F45" s="374">
        <f t="shared" ca="1" si="0"/>
        <v>1437.9429824367301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1.4813769547500002</v>
      </c>
      <c r="F46" s="374">
        <f t="shared" ca="1" si="0"/>
        <v>359.48574560918252</v>
      </c>
    </row>
    <row r="47" spans="2:10" x14ac:dyDescent="0.2">
      <c r="B47" s="351"/>
      <c r="C47" s="356" t="s">
        <v>47</v>
      </c>
      <c r="D47" s="344"/>
      <c r="E47" s="332">
        <f ca="1">SUM(E14:E46)</f>
        <v>151.10044938450008</v>
      </c>
      <c r="F47" s="333">
        <f ca="1">SUM(F14:F46)</f>
        <v>36667.546052136611</v>
      </c>
      <c r="H47" s="179">
        <f ca="1">E47*Цнч</f>
        <v>104661.23727066781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33.957000000000001</v>
      </c>
      <c r="F49" s="374">
        <f t="shared" ref="F49:F57" ca="1" si="1">E49*ФОТнч</f>
        <v>8240.34519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5.9424750000000008</v>
      </c>
      <c r="F51" s="374">
        <f t="shared" ca="1" si="1"/>
        <v>1442.0604082500001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4.0401189674999998</v>
      </c>
      <c r="F56" s="374">
        <f t="shared" ca="1" si="1"/>
        <v>980.41566984322492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122.4708236600747</v>
      </c>
      <c r="F58" s="333">
        <f ca="1">SUM(F49:F57)</f>
        <v>29719.99477759032</v>
      </c>
      <c r="H58" s="179">
        <f ca="1">E58*Цнч</f>
        <v>84830.640716387337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281.09267304457478</v>
      </c>
      <c r="F60" s="333">
        <f ca="1">F58+F47+F12</f>
        <v>68212.758967726928</v>
      </c>
      <c r="H60" s="179">
        <f ca="1">E60*Цнч</f>
        <v>194701.65091105516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62" t="s">
        <v>560</v>
      </c>
      <c r="B4" s="762"/>
      <c r="C4" s="762"/>
      <c r="D4" s="399"/>
    </row>
    <row r="5" spans="1:8" x14ac:dyDescent="0.2">
      <c r="A5" s="76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62"/>
      <c r="C5" s="762"/>
      <c r="D5" s="49"/>
    </row>
    <row r="6" spans="1:8" x14ac:dyDescent="0.2">
      <c r="A6" s="762" t="str">
        <f>Номер_письма</f>
        <v>Номер заказа от дата</v>
      </c>
      <c r="B6" s="762"/>
      <c r="C6" s="76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68304.808742599387</v>
      </c>
      <c r="F11" s="491">
        <f ca="1">H11-C11</f>
        <v>-92.049774872459238</v>
      </c>
      <c r="H11" s="507">
        <f ca="1">ФОТ</f>
        <v>68212.758967726928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20901.271475235411</v>
      </c>
      <c r="F12" s="491">
        <f t="shared" ref="F12:F17" ca="1" si="0">H12-C12</f>
        <v>-28.167231110972352</v>
      </c>
      <c r="H12" s="400">
        <f ca="1">H11*Социальный_налог/100</f>
        <v>20873.104244124439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80326.455081296881</v>
      </c>
      <c r="F13" s="491">
        <f t="shared" ca="1" si="0"/>
        <v>-108.25053525001567</v>
      </c>
      <c r="G13" s="62"/>
      <c r="H13" s="400">
        <f ca="1">H11*Накладные_расходы/100</f>
        <v>80218.204546046865</v>
      </c>
    </row>
    <row r="14" spans="1:8" x14ac:dyDescent="0.2">
      <c r="A14" s="65">
        <v>4</v>
      </c>
      <c r="B14" s="46" t="s">
        <v>170</v>
      </c>
      <c r="C14" s="524">
        <f>Материалы_всего</f>
        <v>91593.551657390039</v>
      </c>
      <c r="D14" s="491"/>
      <c r="F14" s="491">
        <f t="shared" si="0"/>
        <v>0</v>
      </c>
      <c r="H14" s="400">
        <f>Материалы_всего</f>
        <v>91593.551657390039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261126.08695652173</v>
      </c>
      <c r="F15" s="491">
        <f t="shared" ca="1" si="0"/>
        <v>-228.46754123346182</v>
      </c>
      <c r="H15" s="400">
        <f ca="1">SUM(H11:H14)</f>
        <v>260897.61941528827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39168.913043478264</v>
      </c>
      <c r="F16" s="491">
        <f t="shared" ca="1" si="0"/>
        <v>0</v>
      </c>
      <c r="H16" s="400">
        <f ca="1">Себестоимость*(Плановые_накопления/100)</f>
        <v>39168.913043478256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300295</v>
      </c>
      <c r="E17" s="62"/>
      <c r="F17" s="491">
        <f t="shared" ca="1" si="0"/>
        <v>-228.46754123346182</v>
      </c>
      <c r="H17" s="508">
        <f ca="1">H16+H15</f>
        <v>300066.53245876654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2071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9">
        <f>Дата_расчета</f>
        <v>0</v>
      </c>
      <c r="J9" s="789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7" t="s">
        <v>281</v>
      </c>
      <c r="B12" s="787"/>
      <c r="C12" s="787"/>
      <c r="D12" s="787"/>
      <c r="E12" s="787"/>
      <c r="F12" s="787"/>
      <c r="G12" s="787"/>
      <c r="H12" s="787"/>
      <c r="I12" s="787"/>
      <c r="J12" s="787"/>
      <c r="L12">
        <v>11</v>
      </c>
      <c r="M12" t="s">
        <v>322</v>
      </c>
    </row>
    <row r="13" spans="1:13" ht="18.75" x14ac:dyDescent="0.3">
      <c r="A13" s="787" t="s">
        <v>496</v>
      </c>
      <c r="B13" s="787"/>
      <c r="C13" s="787"/>
      <c r="D13" s="787"/>
      <c r="E13" s="787"/>
      <c r="F13" s="787"/>
      <c r="G13" s="787"/>
      <c r="H13" s="787"/>
      <c r="I13" s="787"/>
      <c r="J13" s="787"/>
      <c r="L13">
        <v>12</v>
      </c>
      <c r="M13" t="s">
        <v>323</v>
      </c>
    </row>
    <row r="14" spans="1:13" ht="18.75" x14ac:dyDescent="0.3">
      <c r="A14" s="787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7"/>
      <c r="C14" s="787"/>
      <c r="D14" s="787"/>
      <c r="E14" s="787"/>
      <c r="F14" s="787"/>
      <c r="G14" s="787"/>
      <c r="H14" s="787"/>
      <c r="I14" s="787"/>
      <c r="J14" s="787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91" t="str">
        <f>CONCATENATE("Составлено «",DAY(I9),"» ",M14," ",YEAR(I9)," года.")</f>
        <v>Составлено «0» января 1900 года.</v>
      </c>
      <c r="B16" s="791"/>
      <c r="C16" s="791"/>
      <c r="D16" s="791"/>
      <c r="E16" s="791"/>
      <c r="F16" s="791"/>
      <c r="G16" s="791"/>
      <c r="H16" s="791"/>
      <c r="I16" s="791"/>
      <c r="J16" s="791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7" t="s">
        <v>282</v>
      </c>
      <c r="B19" s="787"/>
      <c r="C19" s="787"/>
      <c r="D19" s="787"/>
      <c r="E19" s="787"/>
      <c r="F19" s="787"/>
      <c r="G19" s="787"/>
      <c r="H19" s="787"/>
      <c r="I19" s="787"/>
      <c r="J19" s="787"/>
    </row>
    <row r="20" spans="1:11" ht="35.450000000000003" customHeight="1" x14ac:dyDescent="0.3">
      <c r="A20" s="792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92"/>
      <c r="C20" s="792"/>
      <c r="D20" s="792"/>
      <c r="E20" s="792"/>
      <c r="F20" s="792"/>
      <c r="G20" s="792"/>
      <c r="H20" s="792"/>
      <c r="I20" s="792"/>
      <c r="J20" s="792"/>
    </row>
    <row r="21" spans="1:11" ht="18.75" x14ac:dyDescent="0.3">
      <c r="A21" s="788" t="str">
        <f>CONCATENATE("1.2. Заказчик работы: ",Заказчик)</f>
        <v>1.2. Заказчик работы: Заказчик</v>
      </c>
      <c r="B21" s="788"/>
      <c r="C21" s="788"/>
      <c r="D21" s="788"/>
      <c r="E21" s="788"/>
      <c r="F21" s="788"/>
      <c r="G21" s="788"/>
      <c r="H21" s="788"/>
      <c r="I21" s="788"/>
      <c r="J21" s="788"/>
    </row>
    <row r="22" spans="1:11" ht="18.75" x14ac:dyDescent="0.3">
      <c r="A22" s="788" t="s">
        <v>283</v>
      </c>
      <c r="B22" s="788"/>
      <c r="C22" s="788"/>
      <c r="D22" s="788"/>
      <c r="E22" s="788"/>
      <c r="F22" s="788"/>
      <c r="G22" s="788"/>
      <c r="H22" s="788"/>
      <c r="I22" s="788"/>
      <c r="J22" s="788"/>
    </row>
    <row r="23" spans="1:11" s="266" customFormat="1" ht="19.899999999999999" customHeight="1" x14ac:dyDescent="0.2">
      <c r="A23" s="790" t="s">
        <v>284</v>
      </c>
      <c r="B23" s="790"/>
      <c r="C23" s="790"/>
      <c r="D23" s="790"/>
      <c r="E23" s="790"/>
      <c r="F23" s="790"/>
      <c r="G23" s="790"/>
      <c r="H23" s="790"/>
      <c r="I23" s="790"/>
      <c r="J23" s="790"/>
      <c r="K23" s="409"/>
    </row>
    <row r="24" spans="1:11" s="266" customFormat="1" ht="19.899999999999999" customHeight="1" x14ac:dyDescent="0.2">
      <c r="A24" s="793" t="s">
        <v>285</v>
      </c>
      <c r="B24" s="793"/>
      <c r="C24" s="793"/>
      <c r="D24" s="793"/>
      <c r="E24" s="793"/>
      <c r="F24" s="793"/>
      <c r="G24" s="793"/>
      <c r="H24" s="793"/>
      <c r="I24" s="793"/>
      <c r="J24" s="793"/>
      <c r="K24" s="409"/>
    </row>
    <row r="25" spans="1:11" s="266" customFormat="1" ht="19.899999999999999" customHeight="1" x14ac:dyDescent="0.2">
      <c r="A25" s="793" t="s">
        <v>286</v>
      </c>
      <c r="B25" s="793"/>
      <c r="C25" s="793"/>
      <c r="D25" s="793"/>
      <c r="E25" s="793"/>
      <c r="F25" s="793"/>
      <c r="G25" s="793"/>
      <c r="H25" s="793"/>
      <c r="I25" s="793"/>
      <c r="J25" s="793"/>
      <c r="K25" s="409"/>
    </row>
    <row r="26" spans="1:11" ht="18.75" x14ac:dyDescent="0.3">
      <c r="A26" s="788" t="s">
        <v>287</v>
      </c>
      <c r="B26" s="788"/>
      <c r="C26" s="788"/>
      <c r="D26" s="788"/>
      <c r="E26" s="788"/>
      <c r="F26" s="788"/>
      <c r="G26" s="788"/>
      <c r="H26" s="788"/>
      <c r="I26" s="788"/>
      <c r="J26" s="788"/>
    </row>
    <row r="27" spans="1:11" ht="35.450000000000003" customHeight="1" x14ac:dyDescent="0.3">
      <c r="A27" s="792" t="s">
        <v>288</v>
      </c>
      <c r="B27" s="792"/>
      <c r="C27" s="792"/>
      <c r="D27" s="792"/>
      <c r="E27" s="792"/>
      <c r="F27" s="792"/>
      <c r="G27" s="792"/>
      <c r="H27" s="792"/>
      <c r="I27" s="792"/>
      <c r="J27" s="792"/>
    </row>
    <row r="28" spans="1:11" ht="18.75" x14ac:dyDescent="0.3">
      <c r="A28" s="781" t="s">
        <v>289</v>
      </c>
      <c r="B28" s="781"/>
      <c r="C28" s="781"/>
      <c r="D28" s="781"/>
      <c r="E28" s="781"/>
      <c r="F28" s="781"/>
      <c r="G28" s="781"/>
      <c r="H28" s="781"/>
      <c r="I28" s="781"/>
      <c r="J28" s="781"/>
    </row>
    <row r="29" spans="1:11" ht="18.75" x14ac:dyDescent="0.3">
      <c r="A29" s="781" t="str">
        <f>CONCATENATE("1.6.2. Гарантийное письмо (заявка) ",Номер_письма)</f>
        <v>1.6.2. Гарантийное письмо (заявка) Номер заказа от дата</v>
      </c>
      <c r="B29" s="781"/>
      <c r="C29" s="781"/>
      <c r="D29" s="781"/>
      <c r="E29" s="781"/>
      <c r="F29" s="781"/>
      <c r="G29" s="781"/>
      <c r="H29" s="781"/>
      <c r="I29" s="781"/>
      <c r="J29" s="781"/>
    </row>
    <row r="30" spans="1:11" ht="36.6" customHeight="1" x14ac:dyDescent="0.2">
      <c r="A30" s="786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6"/>
      <c r="C30" s="786"/>
      <c r="D30" s="786"/>
      <c r="E30" s="786"/>
      <c r="F30" s="786"/>
      <c r="G30" s="786"/>
      <c r="H30" s="786"/>
      <c r="I30" s="786"/>
      <c r="J30" s="786"/>
    </row>
    <row r="31" spans="1:11" ht="18.75" x14ac:dyDescent="0.3">
      <c r="A31" s="410"/>
    </row>
    <row r="32" spans="1:11" ht="18.75" x14ac:dyDescent="0.3">
      <c r="A32" s="787" t="s">
        <v>290</v>
      </c>
      <c r="B32" s="787"/>
      <c r="C32" s="787"/>
      <c r="D32" s="787"/>
      <c r="E32" s="787"/>
      <c r="F32" s="787"/>
      <c r="G32" s="787"/>
      <c r="H32" s="787"/>
      <c r="I32" s="787"/>
      <c r="J32" s="787"/>
    </row>
    <row r="33" spans="1:10" ht="18.75" x14ac:dyDescent="0.3">
      <c r="A33" s="788" t="s">
        <v>291</v>
      </c>
      <c r="B33" s="788"/>
      <c r="C33" s="788"/>
      <c r="D33" s="788"/>
      <c r="E33" s="788"/>
      <c r="F33" s="788"/>
      <c r="G33" s="788"/>
      <c r="H33" s="788"/>
      <c r="I33" s="788"/>
      <c r="J33" s="788"/>
    </row>
    <row r="34" spans="1:10" ht="18.75" x14ac:dyDescent="0.3">
      <c r="A34" s="788" t="s">
        <v>292</v>
      </c>
      <c r="B34" s="788"/>
      <c r="C34" s="788"/>
      <c r="D34" s="788"/>
      <c r="E34" s="788"/>
      <c r="F34" s="788"/>
      <c r="G34" s="788"/>
      <c r="H34" s="788"/>
      <c r="I34" s="788"/>
      <c r="J34" s="788"/>
    </row>
    <row r="35" spans="1:10" ht="18.75" x14ac:dyDescent="0.3">
      <c r="A35" s="781" t="s">
        <v>293</v>
      </c>
      <c r="B35" s="781"/>
      <c r="C35" s="781"/>
      <c r="D35" s="781"/>
      <c r="E35" s="781"/>
      <c r="F35" s="781"/>
      <c r="G35" s="781"/>
      <c r="H35" s="781"/>
      <c r="I35" s="781"/>
      <c r="J35" s="781"/>
    </row>
    <row r="36" spans="1:10" ht="43.15" customHeight="1" x14ac:dyDescent="0.2">
      <c r="A36" s="784" t="s">
        <v>294</v>
      </c>
      <c r="B36" s="784"/>
      <c r="C36" s="784"/>
      <c r="D36" s="784"/>
      <c r="E36" s="784"/>
      <c r="F36" s="784"/>
      <c r="G36" s="784"/>
      <c r="H36" s="784"/>
      <c r="I36" s="784"/>
      <c r="J36" s="784"/>
    </row>
    <row r="37" spans="1:10" ht="85.15" customHeight="1" x14ac:dyDescent="0.2">
      <c r="A37" s="786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6"/>
      <c r="C37" s="786"/>
      <c r="D37" s="786"/>
      <c r="E37" s="786"/>
      <c r="F37" s="786"/>
      <c r="G37" s="786"/>
      <c r="H37" s="786"/>
      <c r="I37" s="786"/>
      <c r="J37" s="786"/>
    </row>
    <row r="38" spans="1:10" ht="42" customHeight="1" x14ac:dyDescent="0.2">
      <c r="A38" s="784" t="s">
        <v>295</v>
      </c>
      <c r="B38" s="784"/>
      <c r="C38" s="784"/>
      <c r="D38" s="784"/>
      <c r="E38" s="784"/>
      <c r="F38" s="784"/>
      <c r="G38" s="784"/>
      <c r="H38" s="784"/>
      <c r="I38" s="784"/>
      <c r="J38" s="784"/>
    </row>
    <row r="39" spans="1:10" ht="64.900000000000006" customHeight="1" x14ac:dyDescent="0.2">
      <c r="A39" s="786" t="s">
        <v>526</v>
      </c>
      <c r="B39" s="786"/>
      <c r="C39" s="786"/>
      <c r="D39" s="786"/>
      <c r="E39" s="786"/>
      <c r="F39" s="786"/>
      <c r="G39" s="786"/>
      <c r="H39" s="786"/>
      <c r="I39" s="786"/>
      <c r="J39" s="786"/>
    </row>
    <row r="40" spans="1:10" ht="73.150000000000006" customHeight="1" x14ac:dyDescent="0.2">
      <c r="A40" s="786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6"/>
      <c r="C40" s="786"/>
      <c r="D40" s="786"/>
      <c r="E40" s="786"/>
      <c r="F40" s="786"/>
      <c r="G40" s="786"/>
      <c r="H40" s="786"/>
      <c r="I40" s="786"/>
      <c r="J40" s="786"/>
    </row>
    <row r="41" spans="1:10" ht="60" customHeight="1" x14ac:dyDescent="0.2">
      <c r="A41" s="784" t="s">
        <v>296</v>
      </c>
      <c r="B41" s="784"/>
      <c r="C41" s="784"/>
      <c r="D41" s="784"/>
      <c r="E41" s="784"/>
      <c r="F41" s="784"/>
      <c r="G41" s="784"/>
      <c r="H41" s="784"/>
      <c r="I41" s="784"/>
      <c r="J41" s="784"/>
    </row>
    <row r="42" spans="1:10" ht="78" customHeight="1" x14ac:dyDescent="0.2">
      <c r="A42" s="786" t="s">
        <v>297</v>
      </c>
      <c r="B42" s="786"/>
      <c r="C42" s="786"/>
      <c r="D42" s="786"/>
      <c r="E42" s="786"/>
      <c r="F42" s="786"/>
      <c r="G42" s="786"/>
      <c r="H42" s="786"/>
      <c r="I42" s="786"/>
      <c r="J42" s="786"/>
    </row>
    <row r="43" spans="1:10" ht="60.6" customHeight="1" x14ac:dyDescent="0.2">
      <c r="A43" s="784" t="s">
        <v>298</v>
      </c>
      <c r="B43" s="784"/>
      <c r="C43" s="784"/>
      <c r="D43" s="784"/>
      <c r="E43" s="784"/>
      <c r="F43" s="784"/>
      <c r="G43" s="784"/>
      <c r="H43" s="784"/>
      <c r="I43" s="784"/>
      <c r="J43" s="784"/>
    </row>
    <row r="44" spans="1:10" ht="57.6" customHeight="1" x14ac:dyDescent="0.3">
      <c r="A44" s="785" t="s">
        <v>299</v>
      </c>
      <c r="B44" s="785"/>
      <c r="C44" s="785"/>
      <c r="D44" s="785"/>
      <c r="E44" s="785"/>
      <c r="F44" s="785"/>
      <c r="G44" s="785"/>
      <c r="H44" s="785"/>
      <c r="I44" s="785"/>
      <c r="J44" s="785"/>
    </row>
    <row r="45" spans="1:10" ht="42.6" customHeight="1" x14ac:dyDescent="0.2">
      <c r="A45" s="784" t="s">
        <v>300</v>
      </c>
      <c r="B45" s="784"/>
      <c r="C45" s="784"/>
      <c r="D45" s="784"/>
      <c r="E45" s="784"/>
      <c r="F45" s="784"/>
      <c r="G45" s="784"/>
      <c r="H45" s="784"/>
      <c r="I45" s="784"/>
      <c r="J45" s="784"/>
    </row>
    <row r="46" spans="1:10" ht="44.45" customHeight="1" x14ac:dyDescent="0.2">
      <c r="A46" s="786" t="s">
        <v>301</v>
      </c>
      <c r="B46" s="786"/>
      <c r="C46" s="786"/>
      <c r="D46" s="786"/>
      <c r="E46" s="786"/>
      <c r="F46" s="786"/>
      <c r="G46" s="786"/>
      <c r="H46" s="786"/>
      <c r="I46" s="786"/>
      <c r="J46" s="786"/>
    </row>
    <row r="47" spans="1:10" ht="39" customHeight="1" x14ac:dyDescent="0.2">
      <c r="A47" s="786" t="s">
        <v>302</v>
      </c>
      <c r="B47" s="786"/>
      <c r="C47" s="786"/>
      <c r="D47" s="786"/>
      <c r="E47" s="786"/>
      <c r="F47" s="786"/>
      <c r="G47" s="786"/>
      <c r="H47" s="786"/>
      <c r="I47" s="786"/>
      <c r="J47" s="786"/>
    </row>
    <row r="48" spans="1:10" ht="18.75" x14ac:dyDescent="0.3">
      <c r="A48" s="787" t="s">
        <v>303</v>
      </c>
      <c r="B48" s="787"/>
      <c r="C48" s="787"/>
      <c r="D48" s="787"/>
      <c r="E48" s="787"/>
      <c r="F48" s="787"/>
      <c r="G48" s="787"/>
      <c r="H48" s="787"/>
      <c r="I48" s="787"/>
      <c r="J48" s="787"/>
    </row>
    <row r="49" spans="1:10" ht="66" customHeight="1" x14ac:dyDescent="0.2">
      <c r="A49" s="786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6"/>
      <c r="C49" s="786"/>
      <c r="D49" s="786"/>
      <c r="E49" s="786"/>
      <c r="F49" s="786"/>
      <c r="G49" s="786"/>
      <c r="H49" s="786"/>
      <c r="I49" s="786"/>
      <c r="J49" s="786"/>
    </row>
    <row r="50" spans="1:10" ht="18.75" x14ac:dyDescent="0.3">
      <c r="A50" s="411"/>
    </row>
    <row r="51" spans="1:10" ht="35.450000000000003" customHeight="1" x14ac:dyDescent="0.2">
      <c r="A51" s="780" t="s">
        <v>50</v>
      </c>
      <c r="B51" s="780"/>
      <c r="C51" s="780" t="s">
        <v>304</v>
      </c>
      <c r="D51" s="780"/>
      <c r="E51" s="780" t="s">
        <v>305</v>
      </c>
      <c r="F51" s="780"/>
      <c r="G51" s="780" t="s">
        <v>306</v>
      </c>
      <c r="H51" s="780"/>
      <c r="I51" s="780" t="s">
        <v>307</v>
      </c>
      <c r="J51" s="780"/>
    </row>
    <row r="52" spans="1:10" ht="18.75" x14ac:dyDescent="0.2">
      <c r="A52" s="780">
        <v>1</v>
      </c>
      <c r="B52" s="780"/>
      <c r="C52" s="780" t="str">
        <f>Наименование_платы</f>
        <v>Децимальный номер платы</v>
      </c>
      <c r="D52" s="780"/>
      <c r="E52" s="780">
        <f>П</f>
        <v>145</v>
      </c>
      <c r="F52" s="780"/>
      <c r="G52" s="783">
        <f ca="1">Цена_одной_без_НДС</f>
        <v>2071</v>
      </c>
      <c r="H52" s="783"/>
      <c r="I52" s="782">
        <f ca="1">Итого_сумма</f>
        <v>300214</v>
      </c>
      <c r="J52" s="78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1" t="s">
        <v>525</v>
      </c>
      <c r="B56" s="781"/>
      <c r="C56" s="781"/>
      <c r="D56" s="781"/>
      <c r="E56" s="781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1"/>
  <sheetViews>
    <sheetView topLeftCell="A4" workbookViewId="0">
      <selection activeCell="K8" sqref="K8"/>
    </sheetView>
  </sheetViews>
  <sheetFormatPr defaultRowHeight="12.75" x14ac:dyDescent="0.2"/>
  <cols>
    <col min="1" max="1" width="2.28515625" bestFit="1" customWidth="1"/>
    <col min="2" max="2" width="18.28515625" bestFit="1" customWidth="1"/>
  </cols>
  <sheetData>
    <row r="1" spans="1:11" x14ac:dyDescent="0.2">
      <c r="A1" s="53"/>
      <c r="B1" s="763" t="s">
        <v>70</v>
      </c>
      <c r="C1" s="796" t="s">
        <v>440</v>
      </c>
      <c r="D1" s="797"/>
      <c r="E1" s="763" t="s">
        <v>71</v>
      </c>
      <c r="F1" s="763" t="s">
        <v>261</v>
      </c>
      <c r="G1" s="763" t="s">
        <v>437</v>
      </c>
      <c r="H1" s="763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64"/>
      <c r="C2" s="448" t="s">
        <v>434</v>
      </c>
      <c r="D2" s="448" t="s">
        <v>435</v>
      </c>
      <c r="E2" s="764"/>
      <c r="F2" s="764"/>
      <c r="G2" s="764"/>
      <c r="H2" s="764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0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3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3" si="2">IF(FRINT=1,IF(FR=A4,1.28,0),IF(FRINT=A4,1.28,0))</f>
        <v>0</v>
      </c>
      <c r="D4" s="470">
        <f t="shared" si="0"/>
        <v>0</v>
      </c>
      <c r="E4" s="467">
        <f t="shared" ref="E4:E23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0" si="4">IF(C4&gt;0,A4,"")</f>
        <v/>
      </c>
      <c r="K4" s="53" t="str">
        <f t="shared" ref="K4:K40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1709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1.28</v>
      </c>
      <c r="D8" s="461">
        <f t="shared" si="0"/>
        <v>1.28</v>
      </c>
      <c r="E8" s="467">
        <f t="shared" ref="E8" si="7">(2*IF(ISNUMBER(D8),D8,0)+(Листов_материала-2)*IF(ISNUMBER(C8),C8,0))*(Площадь_заготовок/100)*Квг</f>
        <v>12.535846400000001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21910.152337920001</v>
      </c>
      <c r="I8" s="474">
        <v>2</v>
      </c>
      <c r="J8" s="53">
        <f t="shared" si="4"/>
        <v>6</v>
      </c>
      <c r="K8" s="53">
        <f t="shared" si="5"/>
        <v>6</v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1926.3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0</v>
      </c>
      <c r="D11" s="461">
        <f t="shared" si="0"/>
        <v>0</v>
      </c>
      <c r="E11" s="467">
        <f t="shared" si="3"/>
        <v>0</v>
      </c>
      <c r="F11" s="462" t="s">
        <v>68</v>
      </c>
      <c r="G11" s="472">
        <f>VLOOKUP(B11,[1]!ПрайсНаМатериалы,3)</f>
        <v>2213.2399999999998</v>
      </c>
      <c r="H11" s="486">
        <f t="shared" si="1"/>
        <v>0</v>
      </c>
      <c r="I11" s="474">
        <v>2</v>
      </c>
      <c r="J11" s="53" t="str">
        <f t="shared" si="4"/>
        <v/>
      </c>
      <c r="K11" s="53" t="str">
        <f t="shared" si="5"/>
        <v/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2903.48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1490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2220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461</v>
      </c>
      <c r="C23" s="461">
        <f t="shared" si="2"/>
        <v>0</v>
      </c>
      <c r="D23" s="461">
        <f t="shared" si="0"/>
        <v>0</v>
      </c>
      <c r="E23" s="467">
        <f t="shared" si="3"/>
        <v>0</v>
      </c>
      <c r="F23" s="462" t="s">
        <v>68</v>
      </c>
      <c r="G23" s="472">
        <f>VLOOKUP(B23,[1]!ПрайсНаМатериалы,3)</f>
        <v>1969.89</v>
      </c>
      <c r="H23" s="486">
        <f t="shared" si="1"/>
        <v>0</v>
      </c>
      <c r="I23" s="474">
        <v>2</v>
      </c>
      <c r="J23" s="53" t="str">
        <f t="shared" si="4"/>
        <v/>
      </c>
      <c r="K23" s="53" t="str">
        <f t="shared" si="5"/>
        <v/>
      </c>
    </row>
    <row r="24" spans="1:11" x14ac:dyDescent="0.2">
      <c r="A24" s="490">
        <v>22</v>
      </c>
      <c r="B24" s="460" t="s">
        <v>607</v>
      </c>
      <c r="C24" s="461">
        <f t="shared" ref="C24:C40" si="9">IF(FRINT=1,IF(FR=A24,1.28,0),IF(FRINT=A24,1.28,0))</f>
        <v>0</v>
      </c>
      <c r="D24" s="461">
        <f t="shared" si="0"/>
        <v>0</v>
      </c>
      <c r="E24" s="467">
        <f t="shared" ref="E24:E40" si="10">(2*IF(ISNUMBER(D24),D24,0)+(Листов_материала-2)*IF(ISNUMBER(C24),C24,0))*(Площадь_заготовок/100)*Квг</f>
        <v>0</v>
      </c>
      <c r="F24" s="462" t="s">
        <v>68</v>
      </c>
      <c r="G24" s="472">
        <f>VLOOKUP(B24,[1]!ПрайсНаМатериалы,3)</f>
        <v>2807.56</v>
      </c>
      <c r="H24" s="486">
        <f t="shared" ref="H24:H40" si="11">E24*G24</f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495</v>
      </c>
      <c r="C25" s="461">
        <f t="shared" si="9"/>
        <v>0</v>
      </c>
      <c r="D25" s="461">
        <f t="shared" si="0"/>
        <v>0</v>
      </c>
      <c r="E25" s="467">
        <f t="shared" si="10"/>
        <v>0</v>
      </c>
      <c r="F25" s="462" t="s">
        <v>68</v>
      </c>
      <c r="G25" s="472">
        <f>VLOOKUP(B25,[1]!ПрайсНаМатериалы,3)</f>
        <v>2903.48</v>
      </c>
      <c r="H25" s="486">
        <f t="shared" si="11"/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3" t="s">
        <v>399</v>
      </c>
      <c r="C26" s="464">
        <f t="shared" si="9"/>
        <v>0</v>
      </c>
      <c r="D26" s="464">
        <f t="shared" si="0"/>
        <v>0</v>
      </c>
      <c r="E26" s="467">
        <f t="shared" si="10"/>
        <v>0</v>
      </c>
      <c r="F26" s="465" t="s">
        <v>68</v>
      </c>
      <c r="G26" s="464">
        <f>VLOOKUP(B26,[1]!ПрайсНаМатериалы,3)</f>
        <v>304.20999999999998</v>
      </c>
      <c r="H26" s="487">
        <f t="shared" si="11"/>
        <v>0</v>
      </c>
      <c r="I26" s="475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398</v>
      </c>
      <c r="C27" s="464">
        <f t="shared" si="9"/>
        <v>0</v>
      </c>
      <c r="D27" s="464">
        <f t="shared" si="0"/>
        <v>0</v>
      </c>
      <c r="E27" s="467">
        <f t="shared" si="10"/>
        <v>0</v>
      </c>
      <c r="F27" s="465" t="s">
        <v>68</v>
      </c>
      <c r="G27" s="464">
        <f>VLOOKUP(B27,[1]!ПрайсНаМатериалы,3)</f>
        <v>1526.67</v>
      </c>
      <c r="H27" s="487">
        <f t="shared" si="11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397</v>
      </c>
      <c r="C28" s="464">
        <f t="shared" si="9"/>
        <v>0</v>
      </c>
      <c r="D28" s="464">
        <f t="shared" si="0"/>
        <v>0</v>
      </c>
      <c r="E28" s="467">
        <f t="shared" si="10"/>
        <v>0</v>
      </c>
      <c r="F28" s="465" t="s">
        <v>68</v>
      </c>
      <c r="G28" s="464">
        <f>VLOOKUP(B28,[1]!ПрайсНаМатериалы,3)</f>
        <v>1498.3739999999998</v>
      </c>
      <c r="H28" s="487">
        <f t="shared" si="11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396</v>
      </c>
      <c r="C29" s="464">
        <f t="shared" si="9"/>
        <v>0</v>
      </c>
      <c r="D29" s="464">
        <f t="shared" si="0"/>
        <v>0</v>
      </c>
      <c r="E29" s="467">
        <f t="shared" si="10"/>
        <v>0</v>
      </c>
      <c r="F29" s="465" t="s">
        <v>68</v>
      </c>
      <c r="G29" s="464">
        <f>VLOOKUP(B29,[1]!ПрайсНаМатериалы,3)</f>
        <v>1866.3119999999999</v>
      </c>
      <c r="H29" s="487">
        <f t="shared" si="11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395</v>
      </c>
      <c r="C30" s="464">
        <f t="shared" si="9"/>
        <v>0</v>
      </c>
      <c r="D30" s="464">
        <f t="shared" si="0"/>
        <v>0</v>
      </c>
      <c r="E30" s="467">
        <f t="shared" si="10"/>
        <v>0</v>
      </c>
      <c r="F30" s="465" t="s">
        <v>68</v>
      </c>
      <c r="G30" s="464">
        <f>VLOOKUP(B30,[1]!ПрайсНаМатериалы,3)</f>
        <v>2016</v>
      </c>
      <c r="H30" s="487">
        <f t="shared" si="11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393</v>
      </c>
      <c r="C31" s="464">
        <f t="shared" si="9"/>
        <v>0</v>
      </c>
      <c r="D31" s="464">
        <f t="shared" si="0"/>
        <v>0</v>
      </c>
      <c r="E31" s="467">
        <f t="shared" si="10"/>
        <v>0</v>
      </c>
      <c r="F31" s="465" t="s">
        <v>68</v>
      </c>
      <c r="G31" s="464">
        <f>VLOOKUP(B31,[1]!ПрайсНаМатериалы,3)</f>
        <v>2209.6799999999998</v>
      </c>
      <c r="H31" s="487">
        <f t="shared" si="11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394</v>
      </c>
      <c r="C32" s="464">
        <f t="shared" si="9"/>
        <v>0</v>
      </c>
      <c r="D32" s="464">
        <f t="shared" si="0"/>
        <v>0</v>
      </c>
      <c r="E32" s="467">
        <f t="shared" si="10"/>
        <v>0</v>
      </c>
      <c r="F32" s="465" t="s">
        <v>68</v>
      </c>
      <c r="G32" s="464">
        <f>VLOOKUP(B32,[1]!ПрайсНаМатериалы,3)</f>
        <v>1866.3119999999999</v>
      </c>
      <c r="H32" s="487">
        <f t="shared" si="11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6" t="s">
        <v>456</v>
      </c>
      <c r="C33" s="467">
        <f t="shared" si="9"/>
        <v>0</v>
      </c>
      <c r="D33" s="467">
        <f t="shared" si="0"/>
        <v>0</v>
      </c>
      <c r="E33" s="467">
        <f t="shared" si="10"/>
        <v>0</v>
      </c>
      <c r="F33" s="468" t="s">
        <v>68</v>
      </c>
      <c r="G33" s="488">
        <f>VLOOKUP(B33,[1]!ПрайсНаМатериалы,3)</f>
        <v>31713.08</v>
      </c>
      <c r="H33" s="488">
        <f t="shared" si="11"/>
        <v>0</v>
      </c>
      <c r="I33" s="476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532</v>
      </c>
      <c r="C34" s="467">
        <f t="shared" si="9"/>
        <v>0</v>
      </c>
      <c r="D34" s="467">
        <f t="shared" si="0"/>
        <v>0</v>
      </c>
      <c r="E34" s="467">
        <f t="shared" si="10"/>
        <v>0</v>
      </c>
      <c r="F34" s="468" t="s">
        <v>68</v>
      </c>
      <c r="G34" s="488">
        <f>VLOOKUP(B34,[1]!ПрайсНаМатериалы,3)</f>
        <v>29963.68</v>
      </c>
      <c r="H34" s="488">
        <f t="shared" si="11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533</v>
      </c>
      <c r="C35" s="467">
        <f t="shared" si="9"/>
        <v>0</v>
      </c>
      <c r="D35" s="467">
        <f t="shared" si="0"/>
        <v>0</v>
      </c>
      <c r="E35" s="467">
        <f t="shared" si="10"/>
        <v>0</v>
      </c>
      <c r="F35" s="468" t="s">
        <v>68</v>
      </c>
      <c r="G35" s="488">
        <f>VLOOKUP(B35,[1]!ПрайсНаМатериалы,3)</f>
        <v>32384.99</v>
      </c>
      <c r="H35" s="488">
        <f t="shared" si="11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ht="33.75" x14ac:dyDescent="0.2">
      <c r="A36" s="490">
        <v>34</v>
      </c>
      <c r="B36" s="466" t="s">
        <v>582</v>
      </c>
      <c r="C36" s="467">
        <f t="shared" si="9"/>
        <v>0</v>
      </c>
      <c r="D36" s="467">
        <f t="shared" si="0"/>
        <v>0</v>
      </c>
      <c r="E36" s="467">
        <f t="shared" si="10"/>
        <v>0</v>
      </c>
      <c r="F36" s="468" t="s">
        <v>68</v>
      </c>
      <c r="G36" s="488">
        <f>VLOOKUP(B36,[1]!ПрайсНаМатериалы,3)</f>
        <v>40534.379999999997</v>
      </c>
      <c r="H36" s="488">
        <f t="shared" si="11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583</v>
      </c>
      <c r="C37" s="467">
        <f t="shared" si="9"/>
        <v>0</v>
      </c>
      <c r="D37" s="467">
        <f t="shared" si="0"/>
        <v>0</v>
      </c>
      <c r="E37" s="467">
        <f t="shared" si="10"/>
        <v>0</v>
      </c>
      <c r="F37" s="468" t="s">
        <v>68</v>
      </c>
      <c r="G37" s="488">
        <f>VLOOKUP(B37,[1]!ПрайсНаМатериалы,3)</f>
        <v>81858.36</v>
      </c>
      <c r="H37" s="488">
        <f t="shared" si="11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x14ac:dyDescent="0.2">
      <c r="A38" s="490">
        <v>36</v>
      </c>
      <c r="B38" s="466" t="s">
        <v>455</v>
      </c>
      <c r="C38" s="467">
        <f t="shared" si="9"/>
        <v>0</v>
      </c>
      <c r="D38" s="467">
        <f t="shared" si="0"/>
        <v>0</v>
      </c>
      <c r="E38" s="467">
        <f t="shared" si="10"/>
        <v>0</v>
      </c>
      <c r="F38" s="468" t="s">
        <v>68</v>
      </c>
      <c r="G38" s="488">
        <f>VLOOKUP(B38,[1]!ПрайсНаМатериалы,3)</f>
        <v>29963.71</v>
      </c>
      <c r="H38" s="488">
        <f t="shared" si="11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459</v>
      </c>
      <c r="C39" s="467">
        <f t="shared" si="9"/>
        <v>0</v>
      </c>
      <c r="D39" s="467">
        <f t="shared" si="0"/>
        <v>0</v>
      </c>
      <c r="E39" s="467">
        <f t="shared" si="10"/>
        <v>0</v>
      </c>
      <c r="F39" s="468" t="s">
        <v>68</v>
      </c>
      <c r="G39" s="488">
        <f>VLOOKUP(B39,[1]!ПрайсНаМатериалы,3)</f>
        <v>36016.959999999999</v>
      </c>
      <c r="H39" s="488">
        <f t="shared" si="11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602</v>
      </c>
      <c r="C40" s="467">
        <f t="shared" si="9"/>
        <v>0</v>
      </c>
      <c r="D40" s="467">
        <f t="shared" si="0"/>
        <v>0</v>
      </c>
      <c r="E40" s="467">
        <f t="shared" si="10"/>
        <v>0</v>
      </c>
      <c r="F40" s="468" t="s">
        <v>68</v>
      </c>
      <c r="G40" s="488">
        <f>VLOOKUP(B40,[1]!ПрайсНаМатериалы,3)</f>
        <v>36955.21</v>
      </c>
      <c r="H40" s="488">
        <f t="shared" si="11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B41" s="74" t="s">
        <v>47</v>
      </c>
      <c r="C41" s="453">
        <f>SUM(C3:C40)</f>
        <v>1.28</v>
      </c>
      <c r="D41" s="453">
        <f>SUM(D3:D40)</f>
        <v>1.28</v>
      </c>
      <c r="E41" s="453">
        <f>SUM(E3:E40)</f>
        <v>12.535846400000001</v>
      </c>
      <c r="F41" s="53"/>
      <c r="G41" s="453">
        <f>H41/E41</f>
        <v>1747.8</v>
      </c>
      <c r="H41" s="453">
        <f>SUM(H3:H40)</f>
        <v>21910.152337920001</v>
      </c>
      <c r="I41" s="53"/>
      <c r="J41" s="53">
        <f>SUM(J3:J40)</f>
        <v>6</v>
      </c>
      <c r="K41" s="53">
        <f>SUM(K3:K40)</f>
        <v>6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2018-01-16T11:15:32Z</dcterms:modified>
</cp:coreProperties>
</file>