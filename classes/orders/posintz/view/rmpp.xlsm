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G23" i="12" l="1"/>
  <c r="D23" i="12"/>
  <c r="K23" i="12" s="1"/>
  <c r="C23" i="12"/>
  <c r="J23" i="12" s="1"/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 s="1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H31" i="10" s="1"/>
  <c r="G30" i="10"/>
  <c r="H30" i="10" s="1"/>
  <c r="G29" i="10"/>
  <c r="G28" i="10"/>
  <c r="H28" i="10" s="1"/>
  <c r="G27" i="10"/>
  <c r="G25" i="10"/>
  <c r="G13" i="10"/>
  <c r="G12" i="10"/>
  <c r="H12" i="10" s="1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F16" i="7" s="1"/>
  <c r="D15" i="7"/>
  <c r="C15" i="7"/>
  <c r="E14" i="7"/>
  <c r="D14" i="7"/>
  <c r="C14" i="7"/>
  <c r="F14" i="7" s="1"/>
  <c r="E13" i="7"/>
  <c r="F13" i="7"/>
  <c r="E63" i="1" s="1"/>
  <c r="G63" i="1" s="1"/>
  <c r="H63" i="1" s="1"/>
  <c r="D13" i="7"/>
  <c r="C13" i="7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5" i="7"/>
  <c r="F9" i="7"/>
  <c r="E58" i="1" s="1"/>
  <c r="G58" i="1" s="1"/>
  <c r="H58" i="1" s="1"/>
  <c r="O71" i="6"/>
  <c r="O70" i="6"/>
  <c r="O69" i="6"/>
  <c r="O72" i="6"/>
  <c r="G24" i="1"/>
  <c r="A40" i="11"/>
  <c r="A49" i="11"/>
  <c r="P11" i="1"/>
  <c r="P13" i="1"/>
  <c r="C18" i="1"/>
  <c r="E76" i="10" s="1"/>
  <c r="P12" i="1"/>
  <c r="P10" i="1"/>
  <c r="K17" i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L16" i="3" s="1"/>
  <c r="A6" i="5"/>
  <c r="C47" i="1"/>
  <c r="E29" i="12" s="1"/>
  <c r="H29" i="12" s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L28" i="4" s="1"/>
  <c r="F10" i="4"/>
  <c r="K19" i="4" s="1"/>
  <c r="F6" i="4"/>
  <c r="K17" i="4" s="1"/>
  <c r="F5" i="4"/>
  <c r="L51" i="9"/>
  <c r="L50" i="9"/>
  <c r="L49" i="9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H29" i="10"/>
  <c r="F8" i="8"/>
  <c r="A37" i="11"/>
  <c r="E95" i="10"/>
  <c r="M17" i="1"/>
  <c r="N17" i="1"/>
  <c r="K15" i="4"/>
  <c r="G57" i="1"/>
  <c r="H57" i="1" s="1"/>
  <c r="I8" i="8"/>
  <c r="H74" i="1"/>
  <c r="P17" i="1"/>
  <c r="H13" i="10"/>
  <c r="F26" i="7"/>
  <c r="F20" i="7"/>
  <c r="F23" i="7"/>
  <c r="F27" i="7"/>
  <c r="F30" i="7"/>
  <c r="F24" i="7"/>
  <c r="F28" i="7"/>
  <c r="F31" i="7"/>
  <c r="H26" i="10"/>
  <c r="L26" i="4"/>
  <c r="I48" i="1"/>
  <c r="H71" i="1"/>
  <c r="G84" i="6"/>
  <c r="J84" i="6" s="1"/>
  <c r="F21" i="7"/>
  <c r="F29" i="7"/>
  <c r="F22" i="7"/>
  <c r="F61" i="7"/>
  <c r="E72" i="1"/>
  <c r="G72" i="1" s="1"/>
  <c r="H25" i="10" l="1"/>
  <c r="L7" i="3"/>
  <c r="E23" i="12"/>
  <c r="H23" i="12" s="1"/>
  <c r="G85" i="6"/>
  <c r="J85" i="6" s="1"/>
  <c r="G81" i="6"/>
  <c r="J81" i="6" s="1"/>
  <c r="E35" i="12"/>
  <c r="H35" i="12" s="1"/>
  <c r="E49" i="10"/>
  <c r="H49" i="10" s="1"/>
  <c r="H50" i="10" s="1"/>
  <c r="G21" i="6"/>
  <c r="G60" i="7"/>
  <c r="E71" i="1" s="1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E25" i="8" s="1"/>
  <c r="F25" i="8" s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G25" i="6"/>
  <c r="J25" i="6" s="1"/>
  <c r="G85" i="1"/>
  <c r="F60" i="7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26" i="6"/>
  <c r="J38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22" i="6"/>
  <c r="J30" i="6"/>
  <c r="J34" i="6"/>
  <c r="J41" i="6"/>
  <c r="J47" i="6"/>
  <c r="H14" i="10"/>
  <c r="G59" i="1" s="1"/>
  <c r="E26" i="12"/>
  <c r="H26" i="12" s="1"/>
  <c r="E36" i="12"/>
  <c r="H36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C58" i="6" l="1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<sst xmlns="http://schemas.openxmlformats.org/spreadsheetml/2006/main" count="1037" uniqueCount="630">
  <si>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</si>
  <si>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</si>
  <si>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</si>
  <si>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</si>
  <si>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</si>
  <si>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</si>
  <si>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</si>
  <si>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</si>
  <si>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</si>
  <si>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</si>
  <si>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</si>
  <si>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</si>
  <si>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</si>
  <si>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</si>
  <si>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</si>
  <si>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</si>
  <si>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</si>
  <si>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</si>
  <si>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</si>
  <si>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</si>
  <si>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</si>
  <si>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</si>
  <si>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</si>
  <si>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</si>
  <si>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</si>
  <si>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</si>
  <si>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</si>
  <si>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</si>
  <si>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</si>
  <si>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</si>
  <si>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</si>
  <si>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</si>
  <si>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</si>
  <si>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</si>
  <si>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</si>
  <si>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</si>
  <si>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</si>
  <si>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</si>
  <si>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</si>
  <si>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</si>
  <si>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</si>
  <si>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</si>
  <si>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</si>
  <si>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</si>
  <si>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</si>
  <si>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</si>
  <si>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</si>
  <si>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</si>
  <si>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</si>
  <si>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</si>
  <si>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</si>
  <si>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</si>
  <si>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</si>
  <si>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</si>
  <si>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</si>
  <si>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</si>
  <si>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</si>
  <si>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</si>
  <si>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</si>
  <si>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</si>
  <si>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</si>
  <si>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</si>
  <si>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</si>
  <si>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</si>
  <si>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</si>
  <si>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</si>
  <si>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</si>
  <si>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</si>
  <si>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</si>
  <si>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</si>
  <si>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</si>
  <si>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</si>
  <si>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</si>
  <si>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</si>
  <si>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</si>
  <si>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</si>
  <si>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</si>
  <si>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</si>
  <si>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</si>
  <si>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</si>
  <si>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</si>
  <si>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</si>
  <si>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</si>
  <si>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</si>
  <si>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</si>
  <si>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</si>
  <si>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</si>
  <si>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</si>
  <si>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</si>
  <si>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</si>
  <si>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</si>
  <si>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</si>
  <si>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</si>
  <si>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</si>
  <si>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</si>
  <si>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</si>
  <si>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</si>
  <si>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</si>
  <si>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</si>
  <si>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</si>
  <si>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</si>
  <si>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</si>
  <si>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</si>
  <si>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</si>
  <si>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</si>
  <si>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</si>
  <si>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</si>
  <si>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</si>
  <si>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</si>
  <si>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</si>
  <si>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</si>
  <si>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</si>
  <si>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</si>
  <si>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</si>
  <si>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</si>
  <si>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</si>
  <si>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</si>
  <si>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</si>
  <si>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</si>
  <si>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</si>
  <si>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</si>
  <si>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</si>
  <si>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</si>
  <si>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</si>
  <si>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</si>
  <si>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</si>
  <si>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</si>
  <si>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</si>
  <si>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</si>
  <si>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</si>
  <si>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</si>
  <si>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</si>
  <si>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</si>
  <si>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</si>
  <si>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</si>
  <si>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</si>
  <si>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</si>
  <si>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</si>
  <si>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</si>
  <si>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</si>
  <si>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</si>
  <si>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</si>
  <si>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</si>
  <si>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</si>
  <si>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</si>
  <si>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</si>
  <si>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</si>
  <si>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</si>
  <si>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</si>
  <si>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</si>
  <si>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</si>
  <si>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</si>
  <si>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</si>
  <si>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</si>
  <si>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</si>
  <si>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</si>
  <si>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</si>
  <si>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</si>
  <si>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</si>
  <si>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</si>
  <si>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</si>
  <si>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</si>
  <si>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</si>
  <si>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</si>
  <si>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</si>
  <si>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</si>
  <si>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</si>
  <si>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</si>
  <si>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</si>
  <si>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</si>
  <si>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</si>
  <si>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</si>
  <si>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</si>
  <si>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</si>
  <si>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</si>
  <si>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</si>
  <si>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</si>
  <si>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</si>
  <si>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</si>
  <si>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</si>
  <si>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</si>
  <si>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</si>
  <si>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</si>
  <si>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</si>
  <si>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</si>
  <si>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</si>
  <si>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</si>
  <si>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</si>
  <si>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</si>
  <si>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</si>
  <si>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</si>
  <si>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</si>
  <si>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</si>
  <si>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</si>
  <si>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</si>
  <si>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</si>
  <si>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</si>
  <si>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</si>
  <si>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</si>
  <si>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</si>
  <si>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</si>
  <si>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</si>
  <si>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</si>
  <si>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</si>
  <si>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</si>
  <si>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</si>
  <si>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</si>
  <si>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</si>
  <si>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</si>
  <si>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</si>
  <si>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</si>
  <si>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</si>
  <si>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</si>
  <si>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</si>
  <si>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</si>
  <si>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</si>
  <si>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</si>
  <si>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</si>
  <si>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</si>
  <si>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</si>
  <si>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</si>
  <si>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</si>
  <si>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</si>
  <si>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</si>
  <si>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</si>
  <si>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</si>
  <si>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</si>
  <si>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</si>
  <si>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</si>
  <si>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</si>
  <si>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</si>
  <si>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</si>
  <si>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</si>
  <si>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</si>
  <si>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</si>
  <si>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</si>
  <si>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</si>
  <si>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</si>
  <si>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</si>
  <si>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</si>
  <si>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</si>
  <si>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</si>
  <si>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</si>
  <si>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</si>
  <si>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</si>
  <si>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</si>
  <si>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</si>
  <si>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</si>
  <si>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</si>
  <si>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</si>
  <si>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</si>
  <si>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</si>
  <si>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</si>
  <si>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</si>
  <si>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</si>
  <si>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</si>
  <si>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</si>
  <si>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</si>
  <si>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</si>
  <si>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</si>
  <si>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</si>
  <si>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</si>
  <si>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</si>
  <si>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</si>
  <si>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</si>
  <si>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</si>
  <si>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</si>
  <si>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</si>
  <si>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</si>
  <si>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</si>
  <si>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</si>
  <si>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</si>
  <si>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</si>
  <si>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</si>
  <si>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</si>
  <si>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</si>
  <si>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</si>
  <si>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</si>
  <si>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</si>
  <si>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</si>
  <si>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</si>
  <si>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</si>
  <si>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</si>
  <si>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</si>
  <si>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</si>
  <si>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</si>
  <si>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</si>
  <si>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</si>
  <si>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</si>
  <si>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</si>
  <si>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</si>
  <si>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</si>
  <si>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</si>
  <si>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</si>
  <si>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</si>
  <si>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</si>
  <si>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</si>
  <si>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</si>
  <si>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</si>
  <si>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</si>
  <si>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</si>
  <si>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</si>
  <si>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</si>
  <si>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</si>
  <si>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</si>
  <si>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</si>
  <si>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</si>
  <si>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</si>
  <si>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</si>
  <si>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</si>
  <si>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</si>
  <si>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</si>
  <si>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</si>
  <si>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</si>
  <si>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</si>
  <si>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</si>
  <si>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</si>
  <si>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</si>
  <si>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</si>
  <si>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</si>
  <si>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</si>
  <si>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</si>
  <si>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</si>
  <si>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</si>
  <si>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</si>
  <si>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</si>
  <si>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</si>
  <si>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</si>
  <si>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</si>
  <si>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</si>
  <si>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</si>
  <si>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</si>
  <si>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</si>
  <si>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</si>
  <si>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</si>
  <si>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</si>
  <si>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</si>
  <si>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</si>
  <si>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</si>
  <si>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</si>
  <si>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</si>
  <si>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</si>
  <si>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</si>
  <si>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</si>
  <si>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</si>
  <si>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</si>
  <si>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</si>
  <si>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</si>
  <si>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</si>
  <si>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</si>
  <si>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</si>
  <si>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</si>
  <si>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</si>
  <si>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</si>
  <si>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</si>
  <si>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</si>
  <si>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</si>
  <si>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</si>
  <si>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</si>
  <si>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</si>
  <si>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</si>
  <si>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</si>
  <si>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</si>
  <si>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</si>
  <si>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</si>
  <si>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</si>
  <si>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</si>
  <si>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</si>
  <si>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</si>
  <si>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</si>
  <si>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</si>
  <si>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</si>
  <si>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</si>
  <si>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</si>
  <si>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</si>
  <si>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</si>
  <si>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</si>
  <si>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</si>
  <si>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</si>
  <si>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</si>
  <si>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</si>
  <si>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</si>
  <si>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</si>
  <si>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</si>
  <si>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</si>
  <si>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</si>
  <si>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</si>
  <si>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</si>
  <si>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</si>
  <si>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</si>
  <si>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</si>
  <si>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</si>
  <si>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</si>
  <si>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</si>
  <si>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</si>
  <si>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</si>
  <si>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</si>
  <si>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</si>
  <si>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</si>
  <si>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</si>
  <si>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</si>
  <si>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</si>
  <si>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</si>
  <si>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</si>
  <si>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</si>
  <si>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</si>
  <si>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</si>
  <si>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</si>
  <si>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</si>
  <si>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</si>
  <si>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</si>
  <si>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</si>
  <si>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</si>
  <si>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</si>
  <si>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</si>
  <si>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</si>
  <si>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</si>
  <si>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</si>
  <si>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</si>
  <si>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</si>
  <si>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</si>
  <si>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</si>
  <si>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</si>
  <si>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</si>
  <si>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</si>
  <si>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</si>
  <si>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</si>
  <si>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</si>
  <si>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</si>
  <si>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</si>
  <si>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</si>
  <si>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</si>
  <si>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</si>
  <si>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</si>
  <si>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</si>
  <si>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</si>
  <si>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</si>
  <si>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</si>
  <si>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</si>
  <si>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</si>
  <si>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</si>
  <si>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</si>
  <si>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</si>
  <si>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</si>
  <si>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</si>
  <si>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</si>
  <si>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</si>
  <si>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</si>
  <si>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</si>
  <si>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</si>
  <si>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</si>
  <si>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</si>
  <si>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</si>
  <si>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</si>
  <si>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</si>
  <si>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</si>
  <si>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</si>
  <si>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</si>
  <si>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</si>
  <si>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</si>
  <si>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</si>
  <si>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</si>
  <si>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</si>
  <si>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</si>
  <si>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</si>
  <si>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</si>
  <si>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</si>
  <si>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</si>
  <si>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</si>
  <si>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</si>
  <si>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</si>
  <si>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</si>
  <si>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</si>
  <si>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</si>
  <si>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</si>
  <si>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</si>
  <si>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</si>
  <si>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</si>
  <si>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</si>
  <si>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</si>
  <si>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</si>
  <si>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</si>
  <si>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</si>
  <si>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</si>
  <si>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</si>
  <si>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</si>
  <si>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</si>
  <si>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</si>
  <si>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</si>
  <si>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</si>
  <si>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</si>
  <si>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</si>
  <si>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</si>
  <si>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</si>
  <si>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</si>
  <si>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</si>
  <si>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</si>
  <si>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</si>
  <si>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</si>
  <si>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</si>
  <si>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</si>
  <si>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</si>
  <si>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</si>
  <si>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</si>
  <si>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</si>
  <si>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</si>
  <si>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</si>
  <si>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</si>
  <si>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</si>
  <si>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</si>
  <si>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</si>
  <si>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</si>
  <si>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</si>
  <si>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</si>
  <si>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</si>
  <si>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</si>
  <si>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</si>
  <si>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</si>
  <si>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</si>
  <si>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</si>
  <si>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</si>
  <si>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</si>
  <si>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</si>
  <si>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</si>
  <si>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</si>
  <si>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</si>
  <si>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</si>
  <si>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</si>
  <si>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</si>
  <si>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</si>
  <si>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</si>
  <si>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</si>
  <si>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</si>
  <si>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</si>
  <si>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</si>
  <si>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</si>
  <si>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</si>
  <si>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</si>
  <si>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</si>
  <si>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</si>
  <si>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</si>
  <si>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</si>
  <si>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</si>
  <si>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</si>
  <si>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</si>
  <si>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</si>
  <si>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</si>
  <si>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</si>
  <si>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</si>
  <si>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</si>
  <si>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</si>
  <si>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</si>
  <si>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</si>
  <si>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</si>
  <si>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</si>
  <si>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</si>
  <si>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</si>
  <si>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</si>
  <si>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</si>
  <si>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</si>
  <si>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</si>
  <si>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</si>
  <si>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</si>
  <si>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</si>
  <si>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</si>
  <si>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</si>
  <si>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</si>
  <si>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</si>
  <si>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</si>
  <si>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</si>
  <si>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</si>
  <si>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</si>
  <si>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</si>
  <si>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</si>
  <si>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</si>
  <si>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</si>
  <si>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</si>
  <si>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</si>
  <si>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</si>
  <si>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</si>
  <si>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</si>
  <si>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</si>
  <si>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</si>
  <si>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</si>
  <si>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</si>
  <si>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</si>
  <si>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</si>
  <si>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</si>
  <si>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</si>
  <si>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</si>
  <si>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</si>
  <si>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</si>
  <si>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</si>
  <si>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</si>
  <si>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</si>
  <si>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</si>
  <si>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</si>
  <si>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</si>
  <si>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</si>
  <si>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</si>
  <si>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</si>
  <si>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</si>
  <si>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</si>
  <si>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</si>
  <si>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</si>
  <si>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</si>
  <si>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</si>
  <si>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</si>
  <si>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</si>
  <si>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</si>
  <si>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</si>
  <si>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</si>
  <si>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</si>
  <si>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</si>
  <si>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</si>
  <si>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</si>
  <si>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</si>
  <si>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</si>
  <si>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</si>
  <si>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</si>
  <si>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</si>
  <si>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</si>
  <si>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</si>
  <si>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</si>
  <si>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</si>
  <si>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</si>
  <si>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</si>
  <si>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</si>
  <si>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</si>
  <si>
    <t>DE 104 ML 105/105-0.15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</si>
</sst>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4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7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0" fillId="0" borderId="17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center" vertical="top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3" fillId="0" borderId="0" xfId="0" applyFont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6" xfId="0" applyFont="1" applyBorder="1" applyAlignment="1">
      <alignment horizontal="center" vertical="top" wrapText="1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9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28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0" fillId="0" borderId="0" xfId="0" applyFont="1" applyFill="1" applyAlignment="1">
      <alignment horizontal="left"/>
    </xf>
    <xf numFmtId="0" fontId="33" fillId="0" borderId="0" xfId="0" applyFont="1" applyFill="1" applyAlignment="1">
      <alignment horizontal="center" vertical="center"/>
    </xf>
    <xf numFmtId="0" fontId="3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 wrapText="1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98692224"/>
        <c:axId val="211359616"/>
      </c:lineChart>
      <c:dateAx>
        <c:axId val="198692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11359616"/>
        <c:crosses val="autoZero"/>
        <c:auto val="0"/>
        <c:lblOffset val="100"/>
        <c:baseTimeUnit val="days"/>
        <c:majorUnit val="5"/>
        <c:majorTimeUnit val="days"/>
      </c:dateAx>
      <c:valAx>
        <c:axId val="211359616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98692224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2540</v>
          </cell>
          <cell r="G23" t="str">
            <v>556 от 08.06.2018 (555)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79</v>
          </cell>
          <cell r="G43" t="str">
            <v>8508 от 15.05.2018(Без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160</v>
          </cell>
          <cell r="G46" t="str">
            <v>2024 от 18.02.2016(Без СФ)</v>
          </cell>
          <cell r="H46" t="str">
            <v>ООО "ППФ"Химпроект"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263.22000000000003</v>
          </cell>
          <cell r="G50" t="str">
            <v>ax465 от 14.05.2018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350</v>
          </cell>
          <cell r="G51" t="str">
            <v>3 от 16.01.2018 (3)</v>
          </cell>
          <cell r="H51" t="str">
            <v>ООО "ПЕТРОИЗОЛИТ"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590.16999999999996</v>
          </cell>
          <cell r="G54" t="str">
            <v>ax817 от 11.09.2017 (ax817)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1546.83</v>
          </cell>
          <cell r="G57" t="str">
            <v>ax465 от 14.05.2018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1012.31</v>
          </cell>
          <cell r="G60" t="str">
            <v>ax817 от 11.09.2017 (ax817)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1214.25</v>
          </cell>
          <cell r="G62" t="str">
            <v>spb018053101 от 31.05.2018 (spb0180531001)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2098.38</v>
          </cell>
          <cell r="G63" t="str">
            <v>spb018053101 от 31.05.2018 (spb0180531001)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518.52</v>
          </cell>
          <cell r="G80" t="str">
            <v>ax465 от 14.05.2018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465.67</v>
          </cell>
          <cell r="G81" t="str">
            <v>ax220 от 17.03.2017 (ax220)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425.61</v>
          </cell>
          <cell r="G88" t="str">
            <v>ax817 от 11.09.2017 (ax817)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450.81</v>
          </cell>
          <cell r="G97" t="str">
            <v>16 от 16.01.2018 (16)</v>
          </cell>
          <cell r="H97" t="str">
            <v>ООО "БАЛТПРОМИЗОЛИТ"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39</v>
          </cell>
          <cell r="G103" t="str">
            <v>77 от 16.05.2018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6871.88</v>
          </cell>
          <cell r="G107" t="str">
            <v>4990060273 от 19.06.2018 (500009261)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249.74</v>
          </cell>
          <cell r="G108" t="str">
            <v>ax465 от 14.05.2018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2474.91</v>
          </cell>
          <cell r="G113" t="str">
            <v>108 от 08.06.2018 (116)</v>
          </cell>
          <cell r="H113" t="str">
            <v>ООО "Петроизолит"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2878.81</v>
          </cell>
          <cell r="G117" t="str">
            <v>77 от 25.04.2018 (85)</v>
          </cell>
          <cell r="H117" t="str">
            <v>ООО "Петроизолит"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373.04</v>
          </cell>
          <cell r="G155" t="str">
            <v>spb018042404 от 24.04.2018 (0180424004)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70</v>
          </cell>
          <cell r="G164" t="str">
            <v>664 от 09.11.2017 (664)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494.48</v>
          </cell>
          <cell r="G166" t="str">
            <v>4990059597 от 07.06.2018 (500008594)</v>
          </cell>
          <cell r="H166" t="str">
            <v>ООО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844.15</v>
          </cell>
          <cell r="G168" t="str">
            <v>spb018060701 от 07.06.2018 (spb0180607001)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139.02</v>
          </cell>
          <cell r="G169" t="str">
            <v>spb018042404 от 24.04.2018 (spb0180424004)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174.65</v>
          </cell>
          <cell r="G170" t="str">
            <v>430 от 19.06.2018 (430)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C7" sqref="C7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577" t="s">
        <v>540</v>
      </c>
      <c r="C2" s="577"/>
      <c r="D2" s="577"/>
      <c r="E2" s="577"/>
      <c r="F2" s="577"/>
      <c r="G2" s="577"/>
    </row>
    <row r="3" spans="2:16" ht="12" customHeight="1" thickBot="1" x14ac:dyDescent="0.25">
      <c r="B3" s="577"/>
      <c r="C3" s="577"/>
      <c r="D3" s="577"/>
      <c r="E3" s="577"/>
      <c r="F3" s="577"/>
      <c r="G3" s="577"/>
    </row>
    <row r="4" spans="2:16" ht="15.75" customHeight="1" thickBot="1" x14ac:dyDescent="0.25">
      <c r="B4" s="101" t="s">
        <v>6</v>
      </c>
      <c r="C4" s="582" t="s">
        <v>6</v>
      </c>
      <c r="D4" s="582"/>
      <c r="E4" s="582"/>
      <c r="F4" s="582"/>
      <c r="G4" s="583"/>
    </row>
    <row r="5" spans="2:16" ht="13.5" thickBot="1" x14ac:dyDescent="0.25">
      <c r="B5" s="101" t="s">
        <v>7</v>
      </c>
      <c r="C5" s="584" t="s">
        <v>429</v>
      </c>
      <c r="D5" s="585"/>
      <c r="E5" s="586"/>
      <c r="F5" s="56" t="s">
        <v>558</v>
      </c>
      <c r="G5" s="44"/>
    </row>
    <row r="6" spans="2:16" ht="13.5" thickBot="1" x14ac:dyDescent="0.25">
      <c r="B6" s="12" t="s">
        <v>8</v>
      </c>
      <c r="C6" s="587" t="s">
        <v>430</v>
      </c>
      <c r="D6" s="588"/>
      <c r="E6" s="588"/>
      <c r="F6" s="589"/>
      <c r="G6" s="13"/>
    </row>
    <row r="7" spans="2:16" ht="16.5" thickBot="1" x14ac:dyDescent="0.3">
      <c r="B7" s="12" t="s">
        <v>9</v>
      </c>
      <c r="C7" s="9">
        <v>145</v>
      </c>
      <c r="E7" s="575" t="s">
        <v>402</v>
      </c>
      <c r="F7" s="576"/>
      <c r="G7" s="15">
        <v>9</v>
      </c>
      <c r="I7" s="172">
        <f ca="1">Цена_одной_без_НДС</f>
        <v>3034</v>
      </c>
    </row>
    <row r="8" spans="2:16" ht="13.5" thickBot="1" x14ac:dyDescent="0.25">
      <c r="B8" s="12" t="s">
        <v>33</v>
      </c>
      <c r="C8" s="15">
        <v>1</v>
      </c>
      <c r="D8" s="8"/>
      <c r="E8" s="590" t="s">
        <v>401</v>
      </c>
      <c r="F8" s="591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4" t="s">
        <v>375</v>
      </c>
      <c r="F9" s="572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0" t="s">
        <v>505</v>
      </c>
      <c r="F10" s="581"/>
      <c r="G10" s="60" t="s">
        <v>506</v>
      </c>
      <c r="I10" s="572" t="s">
        <v>151</v>
      </c>
      <c r="J10" s="573"/>
      <c r="K10" s="573"/>
      <c r="L10" s="573"/>
      <c r="M10" s="573"/>
      <c r="N10" s="573"/>
      <c r="O10" s="573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578" t="s">
        <v>507</v>
      </c>
      <c r="F11" s="579"/>
      <c r="G11" s="60" t="s">
        <v>508</v>
      </c>
      <c r="I11" s="572" t="s">
        <v>152</v>
      </c>
      <c r="J11" s="573"/>
      <c r="K11" s="573"/>
      <c r="L11" s="573"/>
      <c r="M11" s="573"/>
      <c r="N11" s="573"/>
      <c r="O11" s="573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4" t="s">
        <v>509</v>
      </c>
      <c r="F12" s="572"/>
      <c r="G12" s="60" t="s">
        <v>513</v>
      </c>
      <c r="I12" s="592" t="s">
        <v>510</v>
      </c>
      <c r="J12" s="593"/>
      <c r="K12" s="593"/>
      <c r="L12" s="593"/>
      <c r="M12" s="593"/>
      <c r="N12" s="593"/>
      <c r="O12" s="593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1" t="s">
        <v>511</v>
      </c>
      <c r="J13" s="594"/>
      <c r="K13" s="594"/>
      <c r="L13" s="594"/>
      <c r="M13" s="594"/>
      <c r="N13" s="594"/>
      <c r="O13" s="595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4" t="s">
        <v>550</v>
      </c>
      <c r="F14" s="572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4" t="s">
        <v>524</v>
      </c>
      <c r="F15" s="572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4" t="s">
        <v>149</v>
      </c>
      <c r="F16" s="572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6" t="s">
        <v>546</v>
      </c>
      <c r="F17" s="607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4" t="s">
        <v>153</v>
      </c>
      <c r="F18" s="572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8" t="s">
        <v>26</v>
      </c>
      <c r="F19" s="609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10" t="s">
        <v>471</v>
      </c>
      <c r="F20" s="611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3" t="s">
        <v>472</v>
      </c>
      <c r="F21" s="592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604" t="s">
        <v>404</v>
      </c>
      <c r="F22" s="605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3" t="s">
        <v>57</v>
      </c>
      <c r="F23" s="592"/>
      <c r="G23" s="17">
        <v>2</v>
      </c>
    </row>
    <row r="24" spans="2:16" ht="13.5" thickBot="1" x14ac:dyDescent="0.25">
      <c r="B24" s="443"/>
      <c r="C24" s="477">
        <v>9</v>
      </c>
      <c r="D24" s="478">
        <v>1</v>
      </c>
      <c r="E24" s="599" t="s">
        <v>380</v>
      </c>
      <c r="F24" s="600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617" t="s">
        <v>626</v>
      </c>
      <c r="F44" s="617"/>
      <c r="G44" s="618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619"/>
      <c r="F45" s="619"/>
      <c r="G45" s="620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622" t="s">
        <v>609</v>
      </c>
      <c r="F50" s="623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621" t="s">
        <v>608</v>
      </c>
      <c r="F51" s="621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2801.6274131784994</v>
      </c>
      <c r="K57" s="437">
        <f ca="1">I57+J57</f>
        <v>9188.9223371784992</v>
      </c>
    </row>
    <row r="58" spans="1:11" x14ac:dyDescent="0.2">
      <c r="A58" s="596">
        <v>2</v>
      </c>
      <c r="B58" s="601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98"/>
      <c r="B59" s="602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1442.3101113824996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96">
        <v>4</v>
      </c>
      <c r="B61" s="601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7"/>
      <c r="B62" s="602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1359.3173017959998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9188.9223371784992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106613.52214784885</v>
      </c>
      <c r="H68" s="62"/>
      <c r="I68" s="438">
        <f ca="1">G69+G70+G71+G72+G73+G75+G77+G80+G81+G83+G85+G87</f>
        <v>311721.98713637557</v>
      </c>
      <c r="J68" s="438">
        <f>G68+G76+G78+G82+G84+G86</f>
        <v>118950.29476920038</v>
      </c>
      <c r="K68" s="438">
        <f ca="1">I68+J68</f>
        <v>430672.28190557595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199354.73765841479</v>
      </c>
      <c r="H69" s="62">
        <f t="shared" ref="H69:H75" ca="1" si="0">G69/Цнч</f>
        <v>287.81037978000001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44801.248800000001</v>
      </c>
      <c r="H70" s="62">
        <f t="shared" ca="1" si="0"/>
        <v>64.680000000000007</v>
      </c>
      <c r="I70"/>
      <c r="J70"/>
      <c r="K70"/>
      <c r="L70"/>
      <c r="M70"/>
    </row>
    <row r="71" spans="1:13" s="185" customFormat="1" x14ac:dyDescent="0.2">
      <c r="A71" s="612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614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7840.2185399999998</v>
      </c>
      <c r="H73" s="62">
        <f t="shared" ca="1" si="0"/>
        <v>11.319000000000001</v>
      </c>
      <c r="I73"/>
      <c r="J73"/>
      <c r="K73"/>
      <c r="L73"/>
      <c r="M73"/>
    </row>
    <row r="74" spans="1:13" s="185" customFormat="1" x14ac:dyDescent="0.2">
      <c r="A74" s="612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613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613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8596.6805710169992</v>
      </c>
      <c r="H76" s="62"/>
    </row>
    <row r="77" spans="1:13" s="185" customFormat="1" x14ac:dyDescent="0.2">
      <c r="A77" s="613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614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804.70912598976906</v>
      </c>
      <c r="H78" s="62"/>
    </row>
    <row r="79" spans="1:13" s="185" customFormat="1" x14ac:dyDescent="0.2">
      <c r="A79" s="612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613"/>
      <c r="B80" s="581" t="s">
        <v>516</v>
      </c>
      <c r="C80" s="594"/>
      <c r="D80" s="616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613"/>
      <c r="B81" s="580" t="s">
        <v>515</v>
      </c>
      <c r="C81" s="580"/>
      <c r="D81" s="580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614"/>
      <c r="B82" s="580" t="s">
        <v>514</v>
      </c>
      <c r="C82" s="580"/>
      <c r="D82" s="580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612">
        <v>8</v>
      </c>
      <c r="B83" s="581" t="s">
        <v>387</v>
      </c>
      <c r="C83" s="594"/>
      <c r="D83" s="616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5330.3405791019995</v>
      </c>
      <c r="H83" s="62">
        <f ca="1">G83/Цнч</f>
        <v>7.6954646999999996</v>
      </c>
    </row>
    <row r="84" spans="1:11" s="185" customFormat="1" x14ac:dyDescent="0.2">
      <c r="A84" s="614"/>
      <c r="B84" s="581" t="s">
        <v>415</v>
      </c>
      <c r="C84" s="594"/>
      <c r="D84" s="616"/>
      <c r="E84" s="570" t="s">
        <v>164</v>
      </c>
      <c r="F84" s="319"/>
      <c r="G84" s="324">
        <f>IF(Sи&gt;0,0,Материалы_ГорПОС)*(1+Плановые_накопления/100)</f>
        <v>764.02548710872986</v>
      </c>
      <c r="H84" s="62"/>
    </row>
    <row r="85" spans="1:11" x14ac:dyDescent="0.2">
      <c r="A85" s="596">
        <v>9</v>
      </c>
      <c r="B85" s="581" t="s">
        <v>547</v>
      </c>
      <c r="C85" s="594"/>
      <c r="D85" s="616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98"/>
      <c r="B86" s="592" t="s">
        <v>170</v>
      </c>
      <c r="C86" s="593"/>
      <c r="D86" s="615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604" t="s">
        <v>26</v>
      </c>
      <c r="C87" s="604"/>
      <c r="D87" s="604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430672.28190557583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439862</v>
      </c>
      <c r="I90" s="438">
        <f ca="1">I57+I68</f>
        <v>318109.28206037555</v>
      </c>
      <c r="J90" s="438">
        <f>J57+J68</f>
        <v>121751.92218237888</v>
      </c>
      <c r="K90" s="438">
        <f ca="1">I90+J90</f>
        <v>439861.20424275444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439862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3034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459.2574741725748</v>
      </c>
      <c r="I98">
        <f ca="1">I90/Цнч</f>
        <v>459.25747417257469</v>
      </c>
    </row>
    <row r="99" spans="8:9" x14ac:dyDescent="0.2">
      <c r="I99">
        <f ca="1">I98*ФОТнч</f>
        <v>111448.0112574587</v>
      </c>
    </row>
  </sheetData>
  <mergeCells count="45"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  <mergeCell ref="B87:D87"/>
    <mergeCell ref="A85:A86"/>
    <mergeCell ref="A79:A82"/>
    <mergeCell ref="A74:A78"/>
    <mergeCell ref="B86:D86"/>
    <mergeCell ref="B85:D85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68" t="s">
        <v>222</v>
      </c>
      <c r="C4" s="668"/>
      <c r="D4" s="668"/>
      <c r="E4" s="668"/>
      <c r="F4" s="668"/>
      <c r="G4" s="668"/>
      <c r="H4" s="668"/>
      <c r="J4" s="653" t="s">
        <v>223</v>
      </c>
      <c r="K4" s="653"/>
      <c r="L4" s="653"/>
    </row>
    <row r="5" spans="2:12" s="186" customFormat="1" ht="13.5" thickBot="1" x14ac:dyDescent="0.25"/>
    <row r="6" spans="2:12" s="186" customFormat="1" x14ac:dyDescent="0.2">
      <c r="B6" s="681" t="s">
        <v>226</v>
      </c>
      <c r="C6" s="682"/>
      <c r="D6" s="682"/>
      <c r="E6" s="682"/>
      <c r="F6" s="683"/>
      <c r="G6" s="679" t="str">
        <f>Наименование_платы</f>
        <v>Децимальный номер платы</v>
      </c>
      <c r="H6" s="680"/>
      <c r="J6" s="669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43" t="s">
        <v>336</v>
      </c>
      <c r="C7" s="644"/>
      <c r="D7" s="644"/>
      <c r="E7" s="644"/>
      <c r="F7" s="188" t="s">
        <v>39</v>
      </c>
      <c r="G7" s="675">
        <f>П</f>
        <v>145</v>
      </c>
      <c r="H7" s="676"/>
      <c r="J7" s="670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84" t="s">
        <v>337</v>
      </c>
      <c r="C8" s="685"/>
      <c r="D8" s="685"/>
      <c r="E8" s="685"/>
      <c r="F8" s="188" t="s">
        <v>338</v>
      </c>
      <c r="G8" s="677">
        <v>1</v>
      </c>
      <c r="H8" s="678"/>
      <c r="J8" s="670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43" t="s">
        <v>339</v>
      </c>
      <c r="C9" s="644"/>
      <c r="D9" s="644"/>
      <c r="E9" s="644"/>
      <c r="F9" s="188" t="s">
        <v>340</v>
      </c>
      <c r="G9" s="675">
        <f>G7/G8</f>
        <v>145</v>
      </c>
      <c r="H9" s="676"/>
      <c r="J9" s="670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43" t="s">
        <v>341</v>
      </c>
      <c r="C10" s="644"/>
      <c r="D10" s="644"/>
      <c r="E10" s="644"/>
      <c r="F10" s="188" t="s">
        <v>342</v>
      </c>
      <c r="G10" s="673">
        <f>G15+H15</f>
        <v>1</v>
      </c>
      <c r="H10" s="674"/>
      <c r="J10" s="666" t="s">
        <v>240</v>
      </c>
      <c r="K10" s="686" t="s">
        <v>343</v>
      </c>
      <c r="L10" s="671">
        <f>SUM(L6:L9)</f>
        <v>417.40776399999999</v>
      </c>
    </row>
    <row r="11" spans="2:12" s="186" customFormat="1" x14ac:dyDescent="0.2">
      <c r="B11" s="643" t="s">
        <v>232</v>
      </c>
      <c r="C11" s="644"/>
      <c r="D11" s="644"/>
      <c r="E11" s="644"/>
      <c r="F11" s="645"/>
      <c r="G11" s="191" t="s">
        <v>237</v>
      </c>
      <c r="H11" s="187" t="s">
        <v>238</v>
      </c>
      <c r="J11" s="667"/>
      <c r="K11" s="687"/>
      <c r="L11" s="672"/>
    </row>
    <row r="12" spans="2:12" s="186" customFormat="1" ht="13.15" customHeight="1" x14ac:dyDescent="0.2">
      <c r="B12" s="643" t="s">
        <v>344</v>
      </c>
      <c r="C12" s="644"/>
      <c r="D12" s="644"/>
      <c r="E12" s="644"/>
      <c r="F12" s="188" t="s">
        <v>345</v>
      </c>
      <c r="G12" s="269"/>
      <c r="H12" s="269"/>
      <c r="J12" s="666" t="s">
        <v>346</v>
      </c>
      <c r="K12" s="662" t="s">
        <v>347</v>
      </c>
      <c r="L12" s="662">
        <f>G14*_NO1+H14*_NO2</f>
        <v>1</v>
      </c>
    </row>
    <row r="13" spans="2:12" s="186" customFormat="1" x14ac:dyDescent="0.2">
      <c r="B13" s="643" t="s">
        <v>348</v>
      </c>
      <c r="C13" s="644"/>
      <c r="D13" s="644"/>
      <c r="E13" s="644"/>
      <c r="F13" s="188" t="s">
        <v>338</v>
      </c>
      <c r="G13" s="269">
        <v>1000</v>
      </c>
      <c r="H13" s="269">
        <v>1000</v>
      </c>
      <c r="J13" s="667"/>
      <c r="K13" s="663"/>
      <c r="L13" s="663"/>
    </row>
    <row r="14" spans="2:12" s="186" customFormat="1" ht="26.45" customHeight="1" x14ac:dyDescent="0.2">
      <c r="B14" s="651" t="s">
        <v>329</v>
      </c>
      <c r="C14" s="652"/>
      <c r="D14" s="652"/>
      <c r="E14" s="652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55" t="s">
        <v>352</v>
      </c>
      <c r="C15" s="656"/>
      <c r="D15" s="656"/>
      <c r="E15" s="657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51" t="s">
        <v>355</v>
      </c>
      <c r="C16" s="652"/>
      <c r="D16" s="652"/>
      <c r="E16" s="654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43" t="s">
        <v>233</v>
      </c>
      <c r="C17" s="644"/>
      <c r="D17" s="644"/>
      <c r="E17" s="644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43"/>
      <c r="C18" s="644"/>
      <c r="D18" s="644"/>
      <c r="E18" s="644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64" t="s">
        <v>360</v>
      </c>
      <c r="C19" s="665"/>
      <c r="D19" s="665"/>
      <c r="E19" s="665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3" t="s">
        <v>234</v>
      </c>
      <c r="C21" s="653"/>
      <c r="D21" s="653"/>
      <c r="E21" s="653"/>
      <c r="F21" s="653"/>
      <c r="G21" s="653"/>
      <c r="H21" s="653"/>
    </row>
    <row r="22" spans="2:13" s="186" customFormat="1" ht="39" thickBot="1" x14ac:dyDescent="0.25">
      <c r="B22" s="649" t="s">
        <v>362</v>
      </c>
      <c r="C22" s="650"/>
      <c r="D22" s="650"/>
      <c r="E22" s="650"/>
      <c r="F22" s="650"/>
      <c r="G22" s="650"/>
      <c r="H22" s="192" t="s">
        <v>363</v>
      </c>
      <c r="J22" s="661" t="s">
        <v>417</v>
      </c>
      <c r="K22" s="661"/>
      <c r="L22" s="661"/>
    </row>
    <row r="23" spans="2:13" s="186" customFormat="1" ht="26.45" customHeight="1" thickBot="1" x14ac:dyDescent="0.25">
      <c r="B23" s="658" t="s">
        <v>245</v>
      </c>
      <c r="C23" s="659"/>
      <c r="D23" s="659"/>
      <c r="E23" s="659"/>
      <c r="F23" s="659"/>
      <c r="G23" s="660"/>
      <c r="H23" s="416">
        <f>М</f>
        <v>417.40776399999999</v>
      </c>
      <c r="J23" s="661"/>
      <c r="K23" s="661"/>
      <c r="L23" s="661"/>
    </row>
    <row r="24" spans="2:13" s="186" customFormat="1" ht="13.5" thickBot="1" x14ac:dyDescent="0.25">
      <c r="J24" s="661"/>
      <c r="K24" s="661"/>
      <c r="L24" s="661"/>
    </row>
    <row r="25" spans="2:13" s="186" customFormat="1" ht="39" thickBot="1" x14ac:dyDescent="0.25">
      <c r="B25" s="649" t="s">
        <v>364</v>
      </c>
      <c r="C25" s="650"/>
      <c r="D25" s="650"/>
      <c r="E25" s="650"/>
      <c r="F25" s="650"/>
      <c r="G25" s="650"/>
      <c r="H25" s="192" t="s">
        <v>363</v>
      </c>
    </row>
    <row r="26" spans="2:13" s="186" customFormat="1" ht="27" customHeight="1" thickBot="1" x14ac:dyDescent="0.25">
      <c r="B26" s="658" t="s">
        <v>247</v>
      </c>
      <c r="C26" s="659"/>
      <c r="D26" s="659"/>
      <c r="E26" s="659"/>
      <c r="F26" s="659"/>
      <c r="G26" s="659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49" t="s">
        <v>235</v>
      </c>
      <c r="C28" s="650"/>
      <c r="D28" s="650"/>
      <c r="E28" s="650"/>
      <c r="F28" s="650"/>
      <c r="G28" s="650"/>
      <c r="H28" s="192" t="s">
        <v>363</v>
      </c>
    </row>
    <row r="29" spans="2:13" s="186" customFormat="1" ht="27.6" customHeight="1" thickBot="1" x14ac:dyDescent="0.25">
      <c r="B29" s="646" t="s">
        <v>246</v>
      </c>
      <c r="C29" s="647"/>
      <c r="D29" s="647"/>
      <c r="E29" s="647"/>
      <c r="F29" s="647"/>
      <c r="G29" s="64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690" t="s">
        <v>188</v>
      </c>
      <c r="I7" s="690" t="s">
        <v>189</v>
      </c>
      <c r="J7" s="131"/>
      <c r="K7" s="703" t="s">
        <v>190</v>
      </c>
      <c r="L7" s="704"/>
    </row>
    <row r="8" spans="1:15" ht="13.15" customHeight="1" x14ac:dyDescent="0.2">
      <c r="A8" s="131"/>
      <c r="C8" s="711" t="s">
        <v>324</v>
      </c>
      <c r="D8" s="712"/>
      <c r="E8" s="717" t="s">
        <v>325</v>
      </c>
      <c r="F8" s="131"/>
      <c r="G8" s="131"/>
      <c r="H8" s="720"/>
      <c r="I8" s="720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13"/>
      <c r="D9" s="714"/>
      <c r="E9" s="718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15"/>
      <c r="D10" s="716"/>
      <c r="E10" s="719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88" t="s">
        <v>197</v>
      </c>
      <c r="D11" s="689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707" t="str">
        <f>CONCATENATE("Отчисления на социальное страхование, ",Социальный_налог,"%")</f>
        <v>Отчисления на социальное страхование, 30.6%</v>
      </c>
      <c r="D12" s="708"/>
      <c r="E12" s="698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709"/>
      <c r="D13" s="710"/>
      <c r="E13" s="699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88" t="str">
        <f>CONCATENATE("Накладные расходы (",Накладные_расходы,"%)")</f>
        <v>Накладные расходы (117.6%)</v>
      </c>
      <c r="D14" s="689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88" t="s">
        <v>198</v>
      </c>
      <c r="D15" s="689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88" t="str">
        <f>CONCATENATE("Плановые накопления (",Плановые_накопления,"%)")</f>
        <v>Плановые накопления (15%)</v>
      </c>
      <c r="D16" s="689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694" t="s">
        <v>326</v>
      </c>
      <c r="D17" s="695"/>
      <c r="E17" s="698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696"/>
      <c r="D18" s="697"/>
      <c r="E18" s="699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00" t="s">
        <v>327</v>
      </c>
      <c r="D21" s="700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01"/>
      <c r="D22" s="701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02"/>
      <c r="D23" s="702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703" t="s">
        <v>203</v>
      </c>
      <c r="H47" s="704"/>
      <c r="I47" s="134" t="s">
        <v>204</v>
      </c>
      <c r="J47" s="41"/>
      <c r="K47" s="690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05"/>
      <c r="H48" s="706"/>
      <c r="I48" s="155" t="s">
        <v>207</v>
      </c>
      <c r="J48" s="40"/>
      <c r="K48" s="691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692" t="s">
        <v>211</v>
      </c>
      <c r="H49" s="693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692" t="s">
        <v>211</v>
      </c>
      <c r="H50" s="693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2:D13"/>
    <mergeCell ref="E12:E13"/>
    <mergeCell ref="C14:D14"/>
    <mergeCell ref="K7:L7"/>
    <mergeCell ref="C8:D10"/>
    <mergeCell ref="E8:E10"/>
    <mergeCell ref="C11:D11"/>
    <mergeCell ref="H7:H8"/>
    <mergeCell ref="I7:I8"/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42" t="s">
        <v>225</v>
      </c>
      <c r="C2" s="742"/>
      <c r="D2" s="742"/>
      <c r="E2" s="742"/>
      <c r="F2" s="742"/>
      <c r="G2" s="742"/>
      <c r="H2" s="742"/>
      <c r="I2" s="742"/>
      <c r="J2" s="742"/>
      <c r="K2" s="742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49" t="s">
        <v>222</v>
      </c>
      <c r="C4" s="749"/>
      <c r="D4" s="749"/>
      <c r="E4" s="749"/>
      <c r="F4" s="749"/>
      <c r="G4" s="749"/>
      <c r="H4" s="749"/>
      <c r="I4" s="749"/>
      <c r="J4" s="749"/>
      <c r="K4" s="749"/>
    </row>
    <row r="5" spans="2:11" x14ac:dyDescent="0.2">
      <c r="B5" s="52" t="s">
        <v>8</v>
      </c>
      <c r="C5" s="18"/>
      <c r="D5" s="18"/>
      <c r="E5" s="18"/>
      <c r="F5" s="746" t="str">
        <f>Наименование_платы</f>
        <v>Децимальный номер платы</v>
      </c>
      <c r="G5" s="747"/>
      <c r="H5" s="747"/>
      <c r="I5" s="748"/>
      <c r="J5" s="47"/>
      <c r="K5" s="47"/>
    </row>
    <row r="6" spans="2:11" x14ac:dyDescent="0.2">
      <c r="B6" s="52" t="s">
        <v>35</v>
      </c>
      <c r="C6" s="18"/>
      <c r="D6" s="18"/>
      <c r="E6" s="18"/>
      <c r="F6" s="743">
        <f>П</f>
        <v>145</v>
      </c>
      <c r="G6" s="744"/>
      <c r="H6" s="744"/>
      <c r="I6" s="745"/>
      <c r="J6" s="8"/>
      <c r="K6" s="2"/>
    </row>
    <row r="7" spans="2:11" x14ac:dyDescent="0.2">
      <c r="B7" s="750" t="s">
        <v>489</v>
      </c>
      <c r="C7" s="751"/>
      <c r="D7" s="751"/>
      <c r="E7" s="752"/>
      <c r="F7" s="743">
        <f>БЛэк</f>
        <v>1</v>
      </c>
      <c r="G7" s="744"/>
      <c r="H7" s="744"/>
      <c r="I7" s="745"/>
      <c r="J7" s="8"/>
      <c r="K7" s="2"/>
    </row>
    <row r="8" spans="2:11" x14ac:dyDescent="0.2">
      <c r="B8" s="750" t="s">
        <v>330</v>
      </c>
      <c r="C8" s="751"/>
      <c r="D8" s="751"/>
      <c r="E8" s="752"/>
      <c r="F8" s="743">
        <f>1-INT(Электроконтроль/4)</f>
        <v>1</v>
      </c>
      <c r="G8" s="744"/>
      <c r="H8" s="744"/>
      <c r="I8" s="745"/>
      <c r="J8" s="8"/>
      <c r="K8" s="2"/>
    </row>
    <row r="9" spans="2:11" x14ac:dyDescent="0.2">
      <c r="B9" s="494" t="s">
        <v>490</v>
      </c>
      <c r="C9" s="495"/>
      <c r="D9" s="495"/>
      <c r="E9" s="496"/>
      <c r="F9" s="743">
        <f>ROUNDUP(П/БЛэк,0)</f>
        <v>145</v>
      </c>
      <c r="G9" s="744"/>
      <c r="H9" s="744"/>
      <c r="I9" s="745"/>
      <c r="J9" s="8"/>
      <c r="K9" s="2"/>
    </row>
    <row r="10" spans="2:11" x14ac:dyDescent="0.2">
      <c r="B10" s="750" t="s">
        <v>487</v>
      </c>
      <c r="C10" s="751"/>
      <c r="D10" s="751"/>
      <c r="E10" s="752"/>
      <c r="F10" s="743">
        <f>Расчет!G22</f>
        <v>1</v>
      </c>
      <c r="G10" s="744"/>
      <c r="H10" s="744"/>
      <c r="I10" s="745"/>
      <c r="J10" s="8"/>
      <c r="K10" s="2"/>
    </row>
    <row r="11" spans="2:11" x14ac:dyDescent="0.2">
      <c r="B11" s="52" t="s">
        <v>488</v>
      </c>
      <c r="C11" s="18"/>
      <c r="D11" s="18"/>
      <c r="E11" s="18"/>
      <c r="F11" s="743">
        <f>Расчет!G21</f>
        <v>600</v>
      </c>
      <c r="G11" s="744"/>
      <c r="H11" s="744"/>
      <c r="I11" s="745"/>
      <c r="J11" s="47"/>
      <c r="K11" s="47"/>
    </row>
    <row r="13" spans="2:11" ht="22.9" customHeight="1" x14ac:dyDescent="0.2">
      <c r="B13" s="738" t="s">
        <v>223</v>
      </c>
      <c r="C13" s="739"/>
      <c r="D13" s="739"/>
      <c r="E13" s="739"/>
      <c r="F13" s="739"/>
      <c r="G13" s="739"/>
      <c r="H13" s="739"/>
      <c r="I13" s="739"/>
      <c r="J13" s="739"/>
      <c r="K13" s="739"/>
    </row>
    <row r="14" spans="2:11" ht="18.75" x14ac:dyDescent="0.35">
      <c r="B14" s="63" t="s">
        <v>37</v>
      </c>
      <c r="C14" s="603" t="s">
        <v>331</v>
      </c>
      <c r="D14" s="603"/>
      <c r="E14" s="603"/>
      <c r="F14" s="603"/>
      <c r="G14" s="603"/>
      <c r="H14" s="603"/>
      <c r="I14" s="603"/>
      <c r="J14" s="603"/>
      <c r="K14" s="273">
        <v>270.61</v>
      </c>
    </row>
    <row r="15" spans="2:11" ht="15.75" x14ac:dyDescent="0.25">
      <c r="B15" s="63" t="s">
        <v>332</v>
      </c>
      <c r="C15" s="723" t="s">
        <v>333</v>
      </c>
      <c r="D15" s="724"/>
      <c r="E15" s="724"/>
      <c r="F15" s="724"/>
      <c r="G15" s="724"/>
      <c r="H15" s="724"/>
      <c r="I15" s="724"/>
      <c r="J15" s="725"/>
      <c r="K15" s="273">
        <f>Цнч</f>
        <v>692.66</v>
      </c>
    </row>
    <row r="16" spans="2:11" ht="15.75" x14ac:dyDescent="0.25">
      <c r="B16" s="63" t="s">
        <v>38</v>
      </c>
      <c r="C16" s="592" t="s">
        <v>45</v>
      </c>
      <c r="D16" s="593"/>
      <c r="E16" s="593"/>
      <c r="F16" s="593"/>
      <c r="G16" s="593"/>
      <c r="H16" s="593"/>
      <c r="I16" s="593"/>
      <c r="J16" s="615"/>
      <c r="K16" s="6">
        <v>1.2</v>
      </c>
    </row>
    <row r="17" spans="2:13" ht="15.75" x14ac:dyDescent="0.25">
      <c r="B17" s="63" t="s">
        <v>39</v>
      </c>
      <c r="C17" s="603" t="s">
        <v>486</v>
      </c>
      <c r="D17" s="603"/>
      <c r="E17" s="603"/>
      <c r="F17" s="603"/>
      <c r="G17" s="603"/>
      <c r="H17" s="603"/>
      <c r="I17" s="603"/>
      <c r="J17" s="603"/>
      <c r="K17" s="6">
        <f>$F$6</f>
        <v>145</v>
      </c>
    </row>
    <row r="18" spans="2:13" ht="15.75" hidden="1" x14ac:dyDescent="0.25">
      <c r="B18" s="63" t="s">
        <v>485</v>
      </c>
      <c r="C18" s="605" t="s">
        <v>486</v>
      </c>
      <c r="D18" s="740"/>
      <c r="E18" s="740"/>
      <c r="F18" s="740"/>
      <c r="G18" s="740"/>
      <c r="H18" s="740"/>
      <c r="I18" s="740"/>
      <c r="J18" s="741"/>
      <c r="K18" s="6"/>
    </row>
    <row r="19" spans="2:13" ht="15.75" x14ac:dyDescent="0.25">
      <c r="B19" s="63" t="s">
        <v>40</v>
      </c>
      <c r="C19" s="730" t="s">
        <v>46</v>
      </c>
      <c r="D19" s="730"/>
      <c r="E19" s="730"/>
      <c r="F19" s="730"/>
      <c r="G19" s="730"/>
      <c r="H19" s="730"/>
      <c r="I19" s="730"/>
      <c r="J19" s="730"/>
      <c r="K19" s="7">
        <f>$F$10</f>
        <v>1</v>
      </c>
    </row>
    <row r="20" spans="2:13" ht="34.9" customHeight="1" x14ac:dyDescent="0.25">
      <c r="B20" s="63" t="s">
        <v>41</v>
      </c>
      <c r="C20" s="722" t="s">
        <v>48</v>
      </c>
      <c r="D20" s="722"/>
      <c r="E20" s="722"/>
      <c r="F20" s="722"/>
      <c r="G20" s="722"/>
      <c r="H20" s="722"/>
      <c r="I20" s="722"/>
      <c r="J20" s="722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22" t="s">
        <v>334</v>
      </c>
      <c r="D21" s="722"/>
      <c r="E21" s="722"/>
      <c r="F21" s="722"/>
      <c r="G21" s="722"/>
      <c r="H21" s="722"/>
      <c r="I21" s="722"/>
      <c r="J21" s="722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37" t="s">
        <v>224</v>
      </c>
      <c r="C24" s="737"/>
      <c r="D24" s="737"/>
      <c r="E24" s="737"/>
      <c r="F24" s="737"/>
      <c r="G24" s="737"/>
      <c r="H24" s="737"/>
      <c r="I24" s="737"/>
      <c r="J24" s="737"/>
      <c r="K24" s="737"/>
    </row>
    <row r="25" spans="2:13" x14ac:dyDescent="0.2">
      <c r="B25" s="734" t="s">
        <v>43</v>
      </c>
      <c r="C25" s="735"/>
      <c r="D25" s="735"/>
      <c r="E25" s="735"/>
      <c r="F25" s="735"/>
      <c r="G25" s="735"/>
      <c r="H25" s="735"/>
      <c r="I25" s="735"/>
      <c r="J25" s="735"/>
      <c r="K25" s="736"/>
    </row>
    <row r="26" spans="2:13" ht="36.6" customHeight="1" x14ac:dyDescent="0.25">
      <c r="B26" s="721" t="s">
        <v>335</v>
      </c>
      <c r="C26" s="722"/>
      <c r="D26" s="722"/>
      <c r="E26" s="722"/>
      <c r="F26" s="722"/>
      <c r="G26" s="722"/>
      <c r="H26" s="722"/>
      <c r="I26" s="722"/>
      <c r="J26" s="722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27" t="s">
        <v>44</v>
      </c>
      <c r="C27" s="728"/>
      <c r="D27" s="728"/>
      <c r="E27" s="728"/>
      <c r="F27" s="728"/>
      <c r="G27" s="728"/>
      <c r="H27" s="728"/>
      <c r="I27" s="728"/>
      <c r="J27" s="728"/>
      <c r="K27" s="729"/>
    </row>
    <row r="28" spans="2:13" ht="16.149999999999999" customHeight="1" thickBot="1" x14ac:dyDescent="0.25">
      <c r="B28" s="731" t="s">
        <v>491</v>
      </c>
      <c r="C28" s="732"/>
      <c r="D28" s="732"/>
      <c r="E28" s="732"/>
      <c r="F28" s="732"/>
      <c r="G28" s="732"/>
      <c r="H28" s="732"/>
      <c r="I28" s="732"/>
      <c r="J28" s="733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26" t="s">
        <v>484</v>
      </c>
      <c r="C31" s="726"/>
      <c r="D31" s="726"/>
      <c r="E31" s="726"/>
      <c r="F31" s="726"/>
      <c r="G31" s="726"/>
      <c r="H31" s="726"/>
      <c r="I31" s="726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39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53" t="s">
        <v>433</v>
      </c>
      <c r="C3" s="753"/>
      <c r="D3" s="753"/>
      <c r="E3" s="753"/>
      <c r="F3" s="753"/>
      <c r="G3" s="753"/>
      <c r="H3" s="753"/>
      <c r="I3" s="753"/>
      <c r="J3" s="753"/>
    </row>
    <row r="4" spans="2:13" ht="12.75" x14ac:dyDescent="0.2">
      <c r="B4" s="753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53"/>
      <c r="D4" s="753"/>
      <c r="E4" s="753"/>
      <c r="F4" s="753"/>
      <c r="G4" s="753"/>
      <c r="H4" s="753"/>
      <c r="I4" s="753"/>
      <c r="J4" s="753"/>
    </row>
    <row r="5" spans="2:13" ht="12.75" x14ac:dyDescent="0.2">
      <c r="B5" s="753" t="str">
        <f>Номер_письма</f>
        <v>Номер заказа от дата</v>
      </c>
      <c r="C5" s="753"/>
      <c r="D5" s="753"/>
      <c r="E5" s="753"/>
      <c r="F5" s="753"/>
      <c r="G5" s="753"/>
      <c r="H5" s="753"/>
      <c r="I5" s="753"/>
      <c r="J5" s="753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4" t="s">
        <v>50</v>
      </c>
      <c r="C9" s="755" t="s">
        <v>70</v>
      </c>
      <c r="D9" s="754" t="s">
        <v>70</v>
      </c>
      <c r="E9" s="754" t="s">
        <v>440</v>
      </c>
      <c r="F9" s="754"/>
      <c r="G9" s="754" t="s">
        <v>71</v>
      </c>
      <c r="H9" s="754" t="s">
        <v>261</v>
      </c>
      <c r="I9" s="754" t="s">
        <v>437</v>
      </c>
      <c r="J9" s="754" t="s">
        <v>436</v>
      </c>
    </row>
    <row r="10" spans="2:13" ht="24" customHeight="1" x14ac:dyDescent="0.2">
      <c r="B10" s="754"/>
      <c r="C10" s="756"/>
      <c r="D10" s="754"/>
      <c r="E10" s="448" t="s">
        <v>441</v>
      </c>
      <c r="F10" s="448" t="s">
        <v>442</v>
      </c>
      <c r="G10" s="754"/>
      <c r="H10" s="754"/>
      <c r="I10" s="754"/>
      <c r="J10" s="754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79</v>
      </c>
      <c r="J14" s="194">
        <f t="shared" si="1"/>
        <v>309.47870799999998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320</v>
      </c>
      <c r="J19" s="194">
        <f t="shared" si="1"/>
        <v>109.68865600000001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160</v>
      </c>
      <c r="J21" s="194">
        <f t="shared" si="1"/>
        <v>423.08481600000005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240</v>
      </c>
      <c r="J22" s="194">
        <f t="shared" si="1"/>
        <v>239.74806240000001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249.74</v>
      </c>
      <c r="J27" s="194">
        <f t="shared" si="1"/>
        <v>1516.4339168440004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39</v>
      </c>
      <c r="J28" s="194">
        <f t="shared" si="1"/>
        <v>152.78062800000001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70</v>
      </c>
      <c r="J29" s="194">
        <f t="shared" si="1"/>
        <v>111.0597642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425.61</v>
      </c>
      <c r="J30" s="194">
        <f t="shared" si="1"/>
        <v>250.096011858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518.52</v>
      </c>
      <c r="J32" s="194">
        <f t="shared" si="1"/>
        <v>863.29281469199998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465.67</v>
      </c>
      <c r="J34" s="194">
        <f t="shared" si="1"/>
        <v>684.08995231500012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1012.31</v>
      </c>
      <c r="J35" s="194">
        <f t="shared" si="1"/>
        <v>1784.5541253540002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1546.83</v>
      </c>
      <c r="J37" s="194">
        <f t="shared" si="1"/>
        <v>2651.0891212574998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263.22000000000003</v>
      </c>
      <c r="J39" s="194">
        <f t="shared" si="1"/>
        <v>489.79706483400008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160</v>
      </c>
      <c r="J45" s="194">
        <f t="shared" si="1"/>
        <v>12.535846399999999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6871.88</v>
      </c>
      <c r="J46" s="194">
        <f t="shared" si="1"/>
        <v>1547.9149528612002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20560.8557627788</v>
      </c>
    </row>
    <row r="50" spans="2:14" x14ac:dyDescent="0.2">
      <c r="B50" s="754" t="s">
        <v>50</v>
      </c>
      <c r="C50" s="754" t="s">
        <v>70</v>
      </c>
      <c r="D50" s="754" t="s">
        <v>70</v>
      </c>
      <c r="E50" s="754" t="s">
        <v>440</v>
      </c>
      <c r="F50" s="754"/>
      <c r="G50" s="754" t="s">
        <v>71</v>
      </c>
      <c r="H50" s="754" t="s">
        <v>261</v>
      </c>
      <c r="I50" s="754" t="s">
        <v>437</v>
      </c>
      <c r="J50" s="754" t="s">
        <v>436</v>
      </c>
      <c r="M50" s="320"/>
    </row>
    <row r="51" spans="2:14" ht="33.75" x14ac:dyDescent="0.2">
      <c r="B51" s="754"/>
      <c r="C51" s="754"/>
      <c r="D51" s="754"/>
      <c r="E51" s="448" t="s">
        <v>434</v>
      </c>
      <c r="F51" s="448" t="s">
        <v>435</v>
      </c>
      <c r="G51" s="754"/>
      <c r="H51" s="754"/>
      <c r="I51" s="754"/>
      <c r="J51" s="754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350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555.95000000000005</v>
      </c>
      <c r="J55" s="194">
        <f t="shared" si="2"/>
        <v>2722.3842992500004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2671</v>
      </c>
      <c r="J57" s="194">
        <f t="shared" si="2"/>
        <v>33483.245734399999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2671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2671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139.02</v>
      </c>
      <c r="J61" s="194">
        <f>I61*G61</f>
        <v>1701.88805325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174.65</v>
      </c>
      <c r="J62" s="194">
        <f t="shared" si="2"/>
        <v>2138.0718493749996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43883.486812627001</v>
      </c>
    </row>
    <row r="64" spans="2:14" x14ac:dyDescent="0.2">
      <c r="B64" s="754" t="s">
        <v>50</v>
      </c>
      <c r="C64" s="754" t="s">
        <v>70</v>
      </c>
      <c r="D64" s="754" t="s">
        <v>70</v>
      </c>
      <c r="E64" s="754" t="s">
        <v>440</v>
      </c>
      <c r="F64" s="754"/>
      <c r="G64" s="754" t="s">
        <v>71</v>
      </c>
      <c r="H64" s="754" t="s">
        <v>261</v>
      </c>
      <c r="I64" s="754" t="s">
        <v>437</v>
      </c>
      <c r="J64" s="754" t="s">
        <v>436</v>
      </c>
    </row>
    <row r="65" spans="2:24" ht="10.15" customHeight="1" x14ac:dyDescent="0.2">
      <c r="B65" s="754"/>
      <c r="C65" s="754"/>
      <c r="D65" s="754"/>
      <c r="E65" s="448" t="s">
        <v>434</v>
      </c>
      <c r="F65" s="448" t="s">
        <v>435</v>
      </c>
      <c r="G65" s="754"/>
      <c r="H65" s="754"/>
      <c r="I65" s="754"/>
      <c r="J65" s="754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373.04</v>
      </c>
      <c r="J68" s="194">
        <f>I68*G68*IF(INDEX(тип_ст_таблица,FR)=B68,1,0)</f>
        <v>21043.674634751998</v>
      </c>
      <c r="N68" s="757" t="s">
        <v>537</v>
      </c>
      <c r="O68" s="757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21043.674634751998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4" t="s">
        <v>50</v>
      </c>
      <c r="C71" s="754" t="s">
        <v>70</v>
      </c>
      <c r="D71" s="754" t="s">
        <v>70</v>
      </c>
      <c r="E71" s="761" t="s">
        <v>440</v>
      </c>
      <c r="F71" s="762"/>
      <c r="G71" s="754" t="s">
        <v>71</v>
      </c>
      <c r="H71" s="754" t="s">
        <v>261</v>
      </c>
      <c r="I71" s="754" t="s">
        <v>437</v>
      </c>
      <c r="J71" s="754" t="s">
        <v>436</v>
      </c>
      <c r="N71" s="516" t="s">
        <v>536</v>
      </c>
      <c r="O71" s="516">
        <f>0.665*0.57</f>
        <v>0.37905</v>
      </c>
    </row>
    <row r="72" spans="2:24" x14ac:dyDescent="0.2">
      <c r="B72" s="754"/>
      <c r="C72" s="754"/>
      <c r="D72" s="754"/>
      <c r="E72" s="763"/>
      <c r="F72" s="764"/>
      <c r="G72" s="754"/>
      <c r="H72" s="754"/>
      <c r="I72" s="754"/>
      <c r="J72" s="754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8" t="s">
        <v>47</v>
      </c>
      <c r="E87" s="759"/>
      <c r="F87" s="759"/>
      <c r="G87" s="759"/>
      <c r="H87" s="759"/>
      <c r="I87" s="760"/>
      <c r="J87" s="91">
        <f>масс_мат_всего+лист_мат_всего+ст_всего+доп_мат_всего</f>
        <v>86442.751189433795</v>
      </c>
    </row>
    <row r="88" spans="2:24" x14ac:dyDescent="0.2">
      <c r="L88" s="489">
        <f>SUM(J74:J85)</f>
        <v>954.7339792759999</v>
      </c>
    </row>
  </sheetData>
  <mergeCells count="38"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N68:O68"/>
    <mergeCell ref="I50:I51"/>
    <mergeCell ref="E64:F64"/>
    <mergeCell ref="G64:G65"/>
    <mergeCell ref="H64:H65"/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65"/>
      <c r="H2" s="765"/>
      <c r="I2" s="195"/>
    </row>
    <row r="3" spans="1:10" x14ac:dyDescent="0.2">
      <c r="A3" s="766" t="s">
        <v>96</v>
      </c>
      <c r="B3" s="766"/>
      <c r="C3" s="766"/>
      <c r="D3" s="766"/>
      <c r="E3" s="766"/>
      <c r="F3" s="766"/>
      <c r="G3" s="766"/>
      <c r="H3" s="766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55" t="s">
        <v>50</v>
      </c>
      <c r="B5" s="755" t="s">
        <v>70</v>
      </c>
      <c r="C5" s="755" t="s">
        <v>70</v>
      </c>
      <c r="D5" s="755" t="s">
        <v>262</v>
      </c>
      <c r="E5" s="755" t="s">
        <v>71</v>
      </c>
      <c r="F5" s="755" t="s">
        <v>261</v>
      </c>
      <c r="G5" s="755" t="s">
        <v>438</v>
      </c>
      <c r="H5" s="755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56"/>
      <c r="B9" s="756"/>
      <c r="C9" s="756"/>
      <c r="D9" s="756"/>
      <c r="E9" s="756"/>
      <c r="F9" s="756"/>
      <c r="G9" s="756"/>
      <c r="H9" s="756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844.15</v>
      </c>
      <c r="H11" s="203">
        <f>E11*G11</f>
        <v>966.30694649999987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450.81</v>
      </c>
      <c r="H12" s="203">
        <f>E12*G12</f>
        <v>221.16287789999998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1254.1827055499998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8" t="s">
        <v>231</v>
      </c>
      <c r="B17" s="768"/>
      <c r="C17" s="768"/>
      <c r="D17" s="768"/>
      <c r="E17" s="768"/>
      <c r="F17" s="768"/>
      <c r="G17" s="768"/>
      <c r="H17" s="768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55" t="s">
        <v>50</v>
      </c>
      <c r="B19" s="755" t="s">
        <v>70</v>
      </c>
      <c r="C19" s="755" t="s">
        <v>70</v>
      </c>
      <c r="D19" s="755" t="s">
        <v>403</v>
      </c>
      <c r="E19" s="755" t="s">
        <v>71</v>
      </c>
      <c r="F19" s="755" t="s">
        <v>261</v>
      </c>
      <c r="G19" s="755" t="s">
        <v>438</v>
      </c>
      <c r="H19" s="755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56"/>
      <c r="B23" s="756"/>
      <c r="C23" s="756"/>
      <c r="D23" s="756"/>
      <c r="E23" s="756"/>
      <c r="F23" s="756"/>
      <c r="G23" s="756"/>
      <c r="H23" s="756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350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555.95000000000005</v>
      </c>
      <c r="H27" s="203">
        <f t="shared" si="0"/>
        <v>101.016115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844.15</v>
      </c>
      <c r="H29" s="203">
        <f t="shared" si="0"/>
        <v>429.46975399999997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450.81</v>
      </c>
      <c r="H30" s="203">
        <f t="shared" si="0"/>
        <v>98.294612399999991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1182.0150450399999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8" t="s">
        <v>100</v>
      </c>
      <c r="B35" s="768"/>
      <c r="C35" s="768"/>
      <c r="D35" s="768"/>
      <c r="E35" s="768"/>
      <c r="F35" s="768"/>
      <c r="G35" s="768"/>
      <c r="H35" s="768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55" t="s">
        <v>50</v>
      </c>
      <c r="B37" s="755" t="s">
        <v>70</v>
      </c>
      <c r="C37" s="755" t="s">
        <v>70</v>
      </c>
      <c r="D37" s="755" t="s">
        <v>262</v>
      </c>
      <c r="E37" s="755" t="s">
        <v>71</v>
      </c>
      <c r="F37" s="755" t="s">
        <v>261</v>
      </c>
      <c r="G37" s="755" t="s">
        <v>438</v>
      </c>
      <c r="H37" s="755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56"/>
      <c r="B41" s="756"/>
      <c r="C41" s="756"/>
      <c r="D41" s="756"/>
      <c r="E41" s="756"/>
      <c r="F41" s="756"/>
      <c r="G41" s="756"/>
      <c r="H41" s="756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1214.25</v>
      </c>
      <c r="H43" s="203">
        <f>E43*G43</f>
        <v>7475.3744095800002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7475.3744095800002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2098.38</v>
      </c>
      <c r="H46" s="203">
        <f>E46*G46</f>
        <v>699.74706607806013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699.74706607806013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2095.91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8" t="s">
        <v>391</v>
      </c>
      <c r="B55" s="768"/>
      <c r="C55" s="768"/>
      <c r="D55" s="768"/>
      <c r="E55" s="768"/>
      <c r="F55" s="768"/>
      <c r="G55" s="768"/>
      <c r="H55" s="768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55" t="s">
        <v>50</v>
      </c>
      <c r="B57" s="755" t="s">
        <v>70</v>
      </c>
      <c r="C57" s="755" t="s">
        <v>70</v>
      </c>
      <c r="D57" s="755" t="s">
        <v>365</v>
      </c>
      <c r="E57" s="755" t="s">
        <v>71</v>
      </c>
      <c r="F57" s="755" t="s">
        <v>261</v>
      </c>
      <c r="G57" s="755" t="s">
        <v>438</v>
      </c>
      <c r="H57" s="755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56"/>
      <c r="B61" s="756"/>
      <c r="C61" s="756"/>
      <c r="D61" s="756"/>
      <c r="E61" s="756"/>
      <c r="F61" s="756"/>
      <c r="G61" s="756"/>
      <c r="H61" s="756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494.48</v>
      </c>
      <c r="H63" s="207">
        <f>E63*G63</f>
        <v>126.84177949519999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664.36998879019995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71" t="s">
        <v>623</v>
      </c>
      <c r="B67" s="771"/>
      <c r="C67" s="771"/>
      <c r="D67" s="771"/>
      <c r="E67" s="771"/>
      <c r="F67" s="771"/>
      <c r="G67" s="771"/>
      <c r="H67" s="771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8" t="s">
        <v>102</v>
      </c>
      <c r="B79" s="768"/>
      <c r="C79" s="768"/>
      <c r="D79" s="768"/>
      <c r="E79" s="768"/>
      <c r="F79" s="768"/>
      <c r="G79" s="768"/>
      <c r="H79" s="768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55" t="s">
        <v>50</v>
      </c>
      <c r="B81" s="755" t="s">
        <v>70</v>
      </c>
      <c r="C81" s="755" t="s">
        <v>70</v>
      </c>
      <c r="D81" s="755" t="s">
        <v>365</v>
      </c>
      <c r="E81" s="755" t="s">
        <v>71</v>
      </c>
      <c r="F81" s="755" t="s">
        <v>261</v>
      </c>
      <c r="G81" s="755" t="s">
        <v>438</v>
      </c>
      <c r="H81" s="755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56"/>
      <c r="B85" s="756"/>
      <c r="C85" s="756"/>
      <c r="D85" s="756"/>
      <c r="E85" s="756"/>
      <c r="F85" s="756"/>
      <c r="G85" s="756"/>
      <c r="H85" s="756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590.16999999999996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9" t="s">
        <v>47</v>
      </c>
      <c r="D97" s="769"/>
      <c r="E97" s="769"/>
      <c r="F97" s="769"/>
      <c r="G97" s="770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106739.60530641644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13163.826116982629</v>
      </c>
      <c r="K100" s="53">
        <f>Материалы_всего-J100</f>
        <v>93575.779189433815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  <mergeCell ref="A37:A41"/>
    <mergeCell ref="H57:H61"/>
    <mergeCell ref="A57:A61"/>
    <mergeCell ref="G37:G41"/>
    <mergeCell ref="A55:H55"/>
    <mergeCell ref="B37:B41"/>
    <mergeCell ref="B57:B61"/>
    <mergeCell ref="B81:B85"/>
    <mergeCell ref="C57:C61"/>
    <mergeCell ref="C37:C41"/>
    <mergeCell ref="H37:H41"/>
    <mergeCell ref="G81:G85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8" t="s">
        <v>570</v>
      </c>
      <c r="B3" s="778"/>
      <c r="C3" s="778"/>
      <c r="D3" s="778"/>
      <c r="E3" s="778"/>
      <c r="G3" s="518" t="s">
        <v>545</v>
      </c>
    </row>
    <row r="4" spans="1:7" ht="15.75" x14ac:dyDescent="0.25">
      <c r="A4" s="778" t="s">
        <v>571</v>
      </c>
      <c r="B4" s="778"/>
      <c r="C4" s="778"/>
      <c r="D4" s="778"/>
      <c r="E4" s="778"/>
      <c r="G4" s="518">
        <v>1.1000000000000001</v>
      </c>
    </row>
    <row r="6" spans="1:7" x14ac:dyDescent="0.2">
      <c r="A6" s="774" t="s">
        <v>112</v>
      </c>
      <c r="B6" s="776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5"/>
      <c r="B7" s="777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2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2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2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2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2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2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2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2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2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2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2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2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3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3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3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3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3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3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3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3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3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3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3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3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3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3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3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A6:A7"/>
    <mergeCell ref="B6:B7"/>
    <mergeCell ref="A3:E3"/>
    <mergeCell ref="A4:E4"/>
    <mergeCell ref="F92:F94"/>
    <mergeCell ref="G20:G31"/>
    <mergeCell ref="F77:F79"/>
    <mergeCell ref="F81:F83"/>
    <mergeCell ref="F84:F86"/>
    <mergeCell ref="F88:F90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53" t="s">
        <v>67</v>
      </c>
      <c r="D2" s="753"/>
      <c r="E2" s="753"/>
      <c r="F2" s="753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4.5146726239999992</v>
      </c>
      <c r="F14" s="374">
        <f t="shared" ref="F14:F46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6.7720089360000006</v>
      </c>
      <c r="F15" s="374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9.0293452479999985</v>
      </c>
      <c r="F16" s="374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3.3860044680000003</v>
      </c>
      <c r="F17" s="374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11.286681560000002</v>
      </c>
      <c r="F18" s="374">
        <f t="shared" ca="1" si="0"/>
        <v>2738.9390141652002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11.286681560000002</v>
      </c>
      <c r="F19" s="374">
        <f t="shared" ca="1" si="0"/>
        <v>2738.9390141652002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9.0293452479999985</v>
      </c>
      <c r="F20" s="374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11.286681560000002</v>
      </c>
      <c r="F21" s="374">
        <f t="shared" ca="1" si="0"/>
        <v>2738.9390141652002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5.6433407800000008</v>
      </c>
      <c r="F22" s="374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11.286681560000002</v>
      </c>
      <c r="F23" s="374">
        <f t="shared" ca="1" si="0"/>
        <v>2738.9390141652002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11.286681560000002</v>
      </c>
      <c r="F24" s="374">
        <f t="shared" ca="1" si="0"/>
        <v>2738.9390141652002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5.6433407800000008</v>
      </c>
      <c r="F25" s="374">
        <f t="shared" ca="1" si="0"/>
        <v>1369.4695070826001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39.503385460000004</v>
      </c>
      <c r="F26" s="374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2.8216703900000004</v>
      </c>
      <c r="F27" s="374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2.8216703900000004</v>
      </c>
      <c r="F28" s="374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2.8216703900000004</v>
      </c>
      <c r="F29" s="374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22.57336312</v>
      </c>
      <c r="F30" s="374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3.9503385460000002</v>
      </c>
      <c r="F31" s="374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16.930022340000001</v>
      </c>
      <c r="F32" s="374">
        <f t="shared" ca="1" si="0"/>
        <v>4108.4085212478003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4.5146726239999992</v>
      </c>
      <c r="F33" s="374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28.216703900000002</v>
      </c>
      <c r="F34" s="374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5.6433407800000008</v>
      </c>
      <c r="F35" s="374">
        <f t="shared" ca="1" si="0"/>
        <v>1369.4695070826001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4.5146726239999992</v>
      </c>
      <c r="F36" s="374">
        <f t="shared" ca="1" si="0"/>
        <v>1095.5756056660798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11.286681560000002</v>
      </c>
      <c r="F37" s="374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2.8216703900000004</v>
      </c>
      <c r="F38" s="374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2.8216703900000004</v>
      </c>
      <c r="F39" s="374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0" s="374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3.3860044680000003</v>
      </c>
      <c r="F41" s="374">
        <f t="shared" ca="1" si="0"/>
        <v>821.68170424956008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4.5146726239999992</v>
      </c>
      <c r="F42" s="374">
        <f t="shared" ca="1" si="0"/>
        <v>1095.5756056660798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8.4650111700000004</v>
      </c>
      <c r="F43" s="374">
        <f t="shared" ca="1" si="0"/>
        <v>2054.2042606239002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2.8216703900000004</v>
      </c>
      <c r="F44" s="374">
        <f t="shared" ca="1" si="0"/>
        <v>684.73475354130005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11.286681560000002</v>
      </c>
      <c r="F45" s="374">
        <f t="shared" ca="1" si="0"/>
        <v>2738.9390141652002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2.8216703900000004</v>
      </c>
      <c r="F46" s="374">
        <f t="shared" ca="1" si="0"/>
        <v>684.73475354130005</v>
      </c>
    </row>
    <row r="47" spans="2:10" x14ac:dyDescent="0.2">
      <c r="B47" s="351"/>
      <c r="C47" s="356" t="s">
        <v>47</v>
      </c>
      <c r="D47" s="344"/>
      <c r="E47" s="332">
        <f ca="1">SUM(E14:E46)</f>
        <v>287.81037978000012</v>
      </c>
      <c r="F47" s="333">
        <f ca="1">SUM(F14:F46)</f>
        <v>69842.9448612126</v>
      </c>
      <c r="H47" s="179">
        <f ca="1">E47*Цнч</f>
        <v>199354.73765841487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64.680000000000007</v>
      </c>
      <c r="F49" s="374">
        <f t="shared" ref="F49:F57" ca="1" si="1">E49*ФОТнч</f>
        <v>15695.895600000002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11.319000000000001</v>
      </c>
      <c r="F51" s="374">
        <f t="shared" ca="1" si="1"/>
        <v>2746.7817300000002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7.6954646999999996</v>
      </c>
      <c r="F56" s="374">
        <f t="shared" ca="1" si="1"/>
        <v>1867.4584187489997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162.2256943925747</v>
      </c>
      <c r="F58" s="333">
        <f ca="1">SUM(F49:F57)</f>
        <v>39367.309258246103</v>
      </c>
      <c r="H58" s="179">
        <f ca="1">E58*Цнч</f>
        <v>112367.24947796078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457.55747417257487</v>
      </c>
      <c r="F60" s="333">
        <f ca="1">F58+F47+F12</f>
        <v>111035.47225745869</v>
      </c>
      <c r="H60" s="179">
        <f ca="1">E60*Цнч</f>
        <v>316931.76006037567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53" t="s">
        <v>560</v>
      </c>
      <c r="B4" s="753"/>
      <c r="C4" s="753"/>
      <c r="D4" s="399"/>
    </row>
    <row r="5" spans="1:8" x14ac:dyDescent="0.2">
      <c r="A5" s="753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53"/>
      <c r="C5" s="753"/>
      <c r="D5" s="49"/>
    </row>
    <row r="6" spans="1:8" x14ac:dyDescent="0.2">
      <c r="A6" s="753" t="str">
        <f>Номер_письма</f>
        <v>Номер заказа от дата</v>
      </c>
      <c r="B6" s="753"/>
      <c r="C6" s="753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111123.37662390816</v>
      </c>
      <c r="F11" s="491">
        <f ca="1">H11-C11</f>
        <v>-87.904366449467489</v>
      </c>
      <c r="H11" s="507">
        <f ca="1">ФОТ</f>
        <v>111035.47225745869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34003.753246915898</v>
      </c>
      <c r="F12" s="491">
        <f t="shared" ref="F12:F17" ca="1" si="0">H12-C12</f>
        <v>-26.898736133538478</v>
      </c>
      <c r="H12" s="400">
        <f ca="1">H11*Социальный_налог/100</f>
        <v>33976.854510782359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130681.09090971599</v>
      </c>
      <c r="F13" s="491">
        <f t="shared" ca="1" si="0"/>
        <v>-103.37553494457097</v>
      </c>
      <c r="G13" s="62"/>
      <c r="H13" s="400">
        <f ca="1">H11*Накладные_расходы/100</f>
        <v>130577.71537477142</v>
      </c>
    </row>
    <row r="14" spans="1:8" x14ac:dyDescent="0.2">
      <c r="A14" s="65">
        <v>4</v>
      </c>
      <c r="B14" s="46" t="s">
        <v>170</v>
      </c>
      <c r="C14" s="524">
        <f>Материалы_всего</f>
        <v>106739.60530641644</v>
      </c>
      <c r="D14" s="491"/>
      <c r="F14" s="491">
        <f t="shared" si="0"/>
        <v>0</v>
      </c>
      <c r="H14" s="400">
        <f>Материалы_всего</f>
        <v>106739.60530641644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382547.82608695654</v>
      </c>
      <c r="F15" s="491">
        <f t="shared" ca="1" si="0"/>
        <v>-218.17863752756966</v>
      </c>
      <c r="H15" s="400">
        <f ca="1">SUM(H11:H14)</f>
        <v>382329.64744942897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57382.17391304348</v>
      </c>
      <c r="F16" s="491">
        <f t="shared" ca="1" si="0"/>
        <v>0</v>
      </c>
      <c r="H16" s="400">
        <f ca="1">Себестоимость*(Плановые_накопления/100)</f>
        <v>57382.17391304348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439930</v>
      </c>
      <c r="E17" s="62"/>
      <c r="F17" s="491">
        <f t="shared" ca="1" si="0"/>
        <v>-218.17863752756966</v>
      </c>
      <c r="H17" s="508">
        <f ca="1">H16+H15</f>
        <v>439711.82136247243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3034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1">
        <f>Дата_расчета</f>
        <v>0</v>
      </c>
      <c r="J9" s="781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4" t="s">
        <v>281</v>
      </c>
      <c r="B12" s="784"/>
      <c r="C12" s="784"/>
      <c r="D12" s="784"/>
      <c r="E12" s="784"/>
      <c r="F12" s="784"/>
      <c r="G12" s="784"/>
      <c r="H12" s="784"/>
      <c r="I12" s="784"/>
      <c r="J12" s="784"/>
      <c r="L12">
        <v>11</v>
      </c>
      <c r="M12" t="s">
        <v>322</v>
      </c>
    </row>
    <row r="13" spans="1:13" ht="18.75" x14ac:dyDescent="0.3">
      <c r="A13" s="784" t="s">
        <v>496</v>
      </c>
      <c r="B13" s="784"/>
      <c r="C13" s="784"/>
      <c r="D13" s="784"/>
      <c r="E13" s="784"/>
      <c r="F13" s="784"/>
      <c r="G13" s="784"/>
      <c r="H13" s="784"/>
      <c r="I13" s="784"/>
      <c r="J13" s="784"/>
      <c r="L13">
        <v>12</v>
      </c>
      <c r="M13" t="s">
        <v>323</v>
      </c>
    </row>
    <row r="14" spans="1:13" ht="18.75" x14ac:dyDescent="0.3">
      <c r="A14" s="784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4"/>
      <c r="C14" s="784"/>
      <c r="D14" s="784"/>
      <c r="E14" s="784"/>
      <c r="F14" s="784"/>
      <c r="G14" s="784"/>
      <c r="H14" s="784"/>
      <c r="I14" s="784"/>
      <c r="J14" s="784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85" t="str">
        <f>CONCATENATE("Составлено «",DAY(I9),"» ",M14," ",YEAR(I9)," года.")</f>
        <v>Составлено «0» января 1900 года.</v>
      </c>
      <c r="B16" s="785"/>
      <c r="C16" s="785"/>
      <c r="D16" s="785"/>
      <c r="E16" s="785"/>
      <c r="F16" s="785"/>
      <c r="G16" s="785"/>
      <c r="H16" s="785"/>
      <c r="I16" s="785"/>
      <c r="J16" s="785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4" t="s">
        <v>282</v>
      </c>
      <c r="B19" s="784"/>
      <c r="C19" s="784"/>
      <c r="D19" s="784"/>
      <c r="E19" s="784"/>
      <c r="F19" s="784"/>
      <c r="G19" s="784"/>
      <c r="H19" s="784"/>
      <c r="I19" s="784"/>
      <c r="J19" s="784"/>
    </row>
    <row r="20" spans="1:11" ht="35.450000000000003" customHeight="1" x14ac:dyDescent="0.3">
      <c r="A20" s="786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86"/>
      <c r="C20" s="786"/>
      <c r="D20" s="786"/>
      <c r="E20" s="786"/>
      <c r="F20" s="786"/>
      <c r="G20" s="786"/>
      <c r="H20" s="786"/>
      <c r="I20" s="786"/>
      <c r="J20" s="786"/>
    </row>
    <row r="21" spans="1:11" ht="18.75" x14ac:dyDescent="0.3">
      <c r="A21" s="782" t="str">
        <f>CONCATENATE("1.2. Заказчик работы: ",Заказчик)</f>
        <v>1.2. Заказчик работы: Заказчик</v>
      </c>
      <c r="B21" s="782"/>
      <c r="C21" s="782"/>
      <c r="D21" s="782"/>
      <c r="E21" s="782"/>
      <c r="F21" s="782"/>
      <c r="G21" s="782"/>
      <c r="H21" s="782"/>
      <c r="I21" s="782"/>
      <c r="J21" s="782"/>
    </row>
    <row r="22" spans="1:11" ht="18.75" x14ac:dyDescent="0.3">
      <c r="A22" s="782" t="s">
        <v>283</v>
      </c>
      <c r="B22" s="782"/>
      <c r="C22" s="782"/>
      <c r="D22" s="782"/>
      <c r="E22" s="782"/>
      <c r="F22" s="782"/>
      <c r="G22" s="782"/>
      <c r="H22" s="782"/>
      <c r="I22" s="782"/>
      <c r="J22" s="782"/>
    </row>
    <row r="23" spans="1:11" s="266" customFormat="1" ht="19.899999999999999" customHeight="1" x14ac:dyDescent="0.2">
      <c r="A23" s="783" t="s">
        <v>284</v>
      </c>
      <c r="B23" s="783"/>
      <c r="C23" s="783"/>
      <c r="D23" s="783"/>
      <c r="E23" s="783"/>
      <c r="F23" s="783"/>
      <c r="G23" s="783"/>
      <c r="H23" s="783"/>
      <c r="I23" s="783"/>
      <c r="J23" s="783"/>
      <c r="K23" s="409"/>
    </row>
    <row r="24" spans="1:11" s="266" customFormat="1" ht="19.899999999999999" customHeight="1" x14ac:dyDescent="0.2">
      <c r="A24" s="787" t="s">
        <v>285</v>
      </c>
      <c r="B24" s="787"/>
      <c r="C24" s="787"/>
      <c r="D24" s="787"/>
      <c r="E24" s="787"/>
      <c r="F24" s="787"/>
      <c r="G24" s="787"/>
      <c r="H24" s="787"/>
      <c r="I24" s="787"/>
      <c r="J24" s="787"/>
      <c r="K24" s="409"/>
    </row>
    <row r="25" spans="1:11" s="266" customFormat="1" ht="19.899999999999999" customHeight="1" x14ac:dyDescent="0.2">
      <c r="A25" s="787" t="s">
        <v>286</v>
      </c>
      <c r="B25" s="787"/>
      <c r="C25" s="787"/>
      <c r="D25" s="787"/>
      <c r="E25" s="787"/>
      <c r="F25" s="787"/>
      <c r="G25" s="787"/>
      <c r="H25" s="787"/>
      <c r="I25" s="787"/>
      <c r="J25" s="787"/>
      <c r="K25" s="409"/>
    </row>
    <row r="26" spans="1:11" ht="18.75" x14ac:dyDescent="0.3">
      <c r="A26" s="782" t="s">
        <v>287</v>
      </c>
      <c r="B26" s="782"/>
      <c r="C26" s="782"/>
      <c r="D26" s="782"/>
      <c r="E26" s="782"/>
      <c r="F26" s="782"/>
      <c r="G26" s="782"/>
      <c r="H26" s="782"/>
      <c r="I26" s="782"/>
      <c r="J26" s="782"/>
    </row>
    <row r="27" spans="1:11" ht="35.450000000000003" customHeight="1" x14ac:dyDescent="0.3">
      <c r="A27" s="786" t="s">
        <v>288</v>
      </c>
      <c r="B27" s="786"/>
      <c r="C27" s="786"/>
      <c r="D27" s="786"/>
      <c r="E27" s="786"/>
      <c r="F27" s="786"/>
      <c r="G27" s="786"/>
      <c r="H27" s="786"/>
      <c r="I27" s="786"/>
      <c r="J27" s="786"/>
    </row>
    <row r="28" spans="1:11" ht="18.75" x14ac:dyDescent="0.3">
      <c r="A28" s="780" t="s">
        <v>289</v>
      </c>
      <c r="B28" s="780"/>
      <c r="C28" s="780"/>
      <c r="D28" s="780"/>
      <c r="E28" s="780"/>
      <c r="F28" s="780"/>
      <c r="G28" s="780"/>
      <c r="H28" s="780"/>
      <c r="I28" s="780"/>
      <c r="J28" s="780"/>
    </row>
    <row r="29" spans="1:11" ht="18.75" x14ac:dyDescent="0.3">
      <c r="A29" s="780" t="str">
        <f>CONCATENATE("1.6.2. Гарантийное письмо (заявка) ",Номер_письма)</f>
        <v>1.6.2. Гарантийное письмо (заявка) Номер заказа от дата</v>
      </c>
      <c r="B29" s="780"/>
      <c r="C29" s="780"/>
      <c r="D29" s="780"/>
      <c r="E29" s="780"/>
      <c r="F29" s="780"/>
      <c r="G29" s="780"/>
      <c r="H29" s="780"/>
      <c r="I29" s="780"/>
      <c r="J29" s="780"/>
    </row>
    <row r="30" spans="1:11" ht="36.6" customHeight="1" x14ac:dyDescent="0.2">
      <c r="A30" s="788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8"/>
      <c r="C30" s="788"/>
      <c r="D30" s="788"/>
      <c r="E30" s="788"/>
      <c r="F30" s="788"/>
      <c r="G30" s="788"/>
      <c r="H30" s="788"/>
      <c r="I30" s="788"/>
      <c r="J30" s="788"/>
    </row>
    <row r="31" spans="1:11" ht="18.75" x14ac:dyDescent="0.3">
      <c r="A31" s="410"/>
    </row>
    <row r="32" spans="1:11" ht="18.75" x14ac:dyDescent="0.3">
      <c r="A32" s="784" t="s">
        <v>290</v>
      </c>
      <c r="B32" s="784"/>
      <c r="C32" s="784"/>
      <c r="D32" s="784"/>
      <c r="E32" s="784"/>
      <c r="F32" s="784"/>
      <c r="G32" s="784"/>
      <c r="H32" s="784"/>
      <c r="I32" s="784"/>
      <c r="J32" s="784"/>
    </row>
    <row r="33" spans="1:10" ht="18.75" x14ac:dyDescent="0.3">
      <c r="A33" s="782" t="s">
        <v>291</v>
      </c>
      <c r="B33" s="782"/>
      <c r="C33" s="782"/>
      <c r="D33" s="782"/>
      <c r="E33" s="782"/>
      <c r="F33" s="782"/>
      <c r="G33" s="782"/>
      <c r="H33" s="782"/>
      <c r="I33" s="782"/>
      <c r="J33" s="782"/>
    </row>
    <row r="34" spans="1:10" ht="18.75" x14ac:dyDescent="0.3">
      <c r="A34" s="782" t="s">
        <v>292</v>
      </c>
      <c r="B34" s="782"/>
      <c r="C34" s="782"/>
      <c r="D34" s="782"/>
      <c r="E34" s="782"/>
      <c r="F34" s="782"/>
      <c r="G34" s="782"/>
      <c r="H34" s="782"/>
      <c r="I34" s="782"/>
      <c r="J34" s="782"/>
    </row>
    <row r="35" spans="1:10" ht="18.75" x14ac:dyDescent="0.3">
      <c r="A35" s="780" t="s">
        <v>293</v>
      </c>
      <c r="B35" s="780"/>
      <c r="C35" s="780"/>
      <c r="D35" s="780"/>
      <c r="E35" s="780"/>
      <c r="F35" s="780"/>
      <c r="G35" s="780"/>
      <c r="H35" s="780"/>
      <c r="I35" s="780"/>
      <c r="J35" s="780"/>
    </row>
    <row r="36" spans="1:10" ht="43.15" customHeight="1" x14ac:dyDescent="0.2">
      <c r="A36" s="789" t="s">
        <v>294</v>
      </c>
      <c r="B36" s="789"/>
      <c r="C36" s="789"/>
      <c r="D36" s="789"/>
      <c r="E36" s="789"/>
      <c r="F36" s="789"/>
      <c r="G36" s="789"/>
      <c r="H36" s="789"/>
      <c r="I36" s="789"/>
      <c r="J36" s="789"/>
    </row>
    <row r="37" spans="1:10" ht="85.15" customHeight="1" x14ac:dyDescent="0.2">
      <c r="A37" s="788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8"/>
      <c r="C37" s="788"/>
      <c r="D37" s="788"/>
      <c r="E37" s="788"/>
      <c r="F37" s="788"/>
      <c r="G37" s="788"/>
      <c r="H37" s="788"/>
      <c r="I37" s="788"/>
      <c r="J37" s="788"/>
    </row>
    <row r="38" spans="1:10" ht="42" customHeight="1" x14ac:dyDescent="0.2">
      <c r="A38" s="789" t="s">
        <v>295</v>
      </c>
      <c r="B38" s="789"/>
      <c r="C38" s="789"/>
      <c r="D38" s="789"/>
      <c r="E38" s="789"/>
      <c r="F38" s="789"/>
      <c r="G38" s="789"/>
      <c r="H38" s="789"/>
      <c r="I38" s="789"/>
      <c r="J38" s="789"/>
    </row>
    <row r="39" spans="1:10" ht="64.900000000000006" customHeight="1" x14ac:dyDescent="0.2">
      <c r="A39" s="788" t="s">
        <v>526</v>
      </c>
      <c r="B39" s="788"/>
      <c r="C39" s="788"/>
      <c r="D39" s="788"/>
      <c r="E39" s="788"/>
      <c r="F39" s="788"/>
      <c r="G39" s="788"/>
      <c r="H39" s="788"/>
      <c r="I39" s="788"/>
      <c r="J39" s="788"/>
    </row>
    <row r="40" spans="1:10" ht="73.150000000000006" customHeight="1" x14ac:dyDescent="0.2">
      <c r="A40" s="788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8"/>
      <c r="C40" s="788"/>
      <c r="D40" s="788"/>
      <c r="E40" s="788"/>
      <c r="F40" s="788"/>
      <c r="G40" s="788"/>
      <c r="H40" s="788"/>
      <c r="I40" s="788"/>
      <c r="J40" s="788"/>
    </row>
    <row r="41" spans="1:10" ht="60" customHeight="1" x14ac:dyDescent="0.2">
      <c r="A41" s="789" t="s">
        <v>296</v>
      </c>
      <c r="B41" s="789"/>
      <c r="C41" s="789"/>
      <c r="D41" s="789"/>
      <c r="E41" s="789"/>
      <c r="F41" s="789"/>
      <c r="G41" s="789"/>
      <c r="H41" s="789"/>
      <c r="I41" s="789"/>
      <c r="J41" s="789"/>
    </row>
    <row r="42" spans="1:10" ht="78" customHeight="1" x14ac:dyDescent="0.2">
      <c r="A42" s="788" t="s">
        <v>297</v>
      </c>
      <c r="B42" s="788"/>
      <c r="C42" s="788"/>
      <c r="D42" s="788"/>
      <c r="E42" s="788"/>
      <c r="F42" s="788"/>
      <c r="G42" s="788"/>
      <c r="H42" s="788"/>
      <c r="I42" s="788"/>
      <c r="J42" s="788"/>
    </row>
    <row r="43" spans="1:10" ht="60.6" customHeight="1" x14ac:dyDescent="0.2">
      <c r="A43" s="789" t="s">
        <v>298</v>
      </c>
      <c r="B43" s="789"/>
      <c r="C43" s="789"/>
      <c r="D43" s="789"/>
      <c r="E43" s="789"/>
      <c r="F43" s="789"/>
      <c r="G43" s="789"/>
      <c r="H43" s="789"/>
      <c r="I43" s="789"/>
      <c r="J43" s="789"/>
    </row>
    <row r="44" spans="1:10" ht="57.6" customHeight="1" x14ac:dyDescent="0.3">
      <c r="A44" s="791" t="s">
        <v>299</v>
      </c>
      <c r="B44" s="791"/>
      <c r="C44" s="791"/>
      <c r="D44" s="791"/>
      <c r="E44" s="791"/>
      <c r="F44" s="791"/>
      <c r="G44" s="791"/>
      <c r="H44" s="791"/>
      <c r="I44" s="791"/>
      <c r="J44" s="791"/>
    </row>
    <row r="45" spans="1:10" ht="42.6" customHeight="1" x14ac:dyDescent="0.2">
      <c r="A45" s="789" t="s">
        <v>300</v>
      </c>
      <c r="B45" s="789"/>
      <c r="C45" s="789"/>
      <c r="D45" s="789"/>
      <c r="E45" s="789"/>
      <c r="F45" s="789"/>
      <c r="G45" s="789"/>
      <c r="H45" s="789"/>
      <c r="I45" s="789"/>
      <c r="J45" s="789"/>
    </row>
    <row r="46" spans="1:10" ht="44.45" customHeight="1" x14ac:dyDescent="0.2">
      <c r="A46" s="788" t="s">
        <v>301</v>
      </c>
      <c r="B46" s="788"/>
      <c r="C46" s="788"/>
      <c r="D46" s="788"/>
      <c r="E46" s="788"/>
      <c r="F46" s="788"/>
      <c r="G46" s="788"/>
      <c r="H46" s="788"/>
      <c r="I46" s="788"/>
      <c r="J46" s="788"/>
    </row>
    <row r="47" spans="1:10" ht="39" customHeight="1" x14ac:dyDescent="0.2">
      <c r="A47" s="788" t="s">
        <v>302</v>
      </c>
      <c r="B47" s="788"/>
      <c r="C47" s="788"/>
      <c r="D47" s="788"/>
      <c r="E47" s="788"/>
      <c r="F47" s="788"/>
      <c r="G47" s="788"/>
      <c r="H47" s="788"/>
      <c r="I47" s="788"/>
      <c r="J47" s="788"/>
    </row>
    <row r="48" spans="1:10" ht="18.75" x14ac:dyDescent="0.3">
      <c r="A48" s="784" t="s">
        <v>303</v>
      </c>
      <c r="B48" s="784"/>
      <c r="C48" s="784"/>
      <c r="D48" s="784"/>
      <c r="E48" s="784"/>
      <c r="F48" s="784"/>
      <c r="G48" s="784"/>
      <c r="H48" s="784"/>
      <c r="I48" s="784"/>
      <c r="J48" s="784"/>
    </row>
    <row r="49" spans="1:10" ht="66" customHeight="1" x14ac:dyDescent="0.2">
      <c r="A49" s="788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8"/>
      <c r="C49" s="788"/>
      <c r="D49" s="788"/>
      <c r="E49" s="788"/>
      <c r="F49" s="788"/>
      <c r="G49" s="788"/>
      <c r="H49" s="788"/>
      <c r="I49" s="788"/>
      <c r="J49" s="788"/>
    </row>
    <row r="50" spans="1:10" ht="18.75" x14ac:dyDescent="0.3">
      <c r="A50" s="411"/>
    </row>
    <row r="51" spans="1:10" ht="35.450000000000003" customHeight="1" x14ac:dyDescent="0.2">
      <c r="A51" s="790" t="s">
        <v>50</v>
      </c>
      <c r="B51" s="790"/>
      <c r="C51" s="790" t="s">
        <v>304</v>
      </c>
      <c r="D51" s="790"/>
      <c r="E51" s="790" t="s">
        <v>305</v>
      </c>
      <c r="F51" s="790"/>
      <c r="G51" s="790" t="s">
        <v>306</v>
      </c>
      <c r="H51" s="790"/>
      <c r="I51" s="790" t="s">
        <v>307</v>
      </c>
      <c r="J51" s="790"/>
    </row>
    <row r="52" spans="1:10" ht="18.75" x14ac:dyDescent="0.2">
      <c r="A52" s="790">
        <v>1</v>
      </c>
      <c r="B52" s="790"/>
      <c r="C52" s="790" t="str">
        <f>Наименование_платы</f>
        <v>Децимальный номер платы</v>
      </c>
      <c r="D52" s="790"/>
      <c r="E52" s="790">
        <f>П</f>
        <v>145</v>
      </c>
      <c r="F52" s="790"/>
      <c r="G52" s="793">
        <f ca="1">Цена_одной_без_НДС</f>
        <v>3034</v>
      </c>
      <c r="H52" s="793"/>
      <c r="I52" s="792">
        <f ca="1">Итого_сумма</f>
        <v>439862</v>
      </c>
      <c r="J52" s="79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0" t="s">
        <v>525</v>
      </c>
      <c r="B56" s="780"/>
      <c r="C56" s="780"/>
      <c r="D56" s="780"/>
      <c r="E56" s="780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  <mergeCell ref="A43:J43"/>
    <mergeCell ref="A51:B51"/>
    <mergeCell ref="A44:J44"/>
    <mergeCell ref="A45:J45"/>
    <mergeCell ref="A46:J46"/>
    <mergeCell ref="A47:J47"/>
    <mergeCell ref="A48:J48"/>
    <mergeCell ref="A49:J49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55" t="s">
        <v>70</v>
      </c>
      <c r="C1" s="796" t="s">
        <v>440</v>
      </c>
      <c r="D1" s="797"/>
      <c r="E1" s="755" t="s">
        <v>71</v>
      </c>
      <c r="F1" s="755" t="s">
        <v>261</v>
      </c>
      <c r="G1" s="755" t="s">
        <v>437</v>
      </c>
      <c r="H1" s="755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56"/>
      <c r="C2" s="448" t="s">
        <v>434</v>
      </c>
      <c r="D2" s="448" t="s">
        <v>435</v>
      </c>
      <c r="E2" s="756"/>
      <c r="F2" s="756"/>
      <c r="G2" s="756"/>
      <c r="H2" s="756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1995.81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1747.8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2671</v>
      </c>
      <c r="H11" s="486">
        <f t="shared" si="1"/>
        <v>33483.245734399999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2287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2060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2540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629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2671</v>
      </c>
      <c r="H42" s="453">
        <f>SUM(H3:H41)</f>
        <v>33483.245734399999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2018-07-13T05:21:32Z</dcterms:modified>
</cp:coreProperties>
</file>