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B5" i="8" l="1"/>
  <c r="G23" i="12" l="1"/>
  <c r="D23" i="12"/>
  <c r="K23" i="12" s="1"/>
  <c r="C23" i="12"/>
  <c r="J23" i="12" s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/>
  <c r="D26" i="10"/>
  <c r="E26" i="10" s="1"/>
  <c r="G26" i="10"/>
  <c r="H26" i="10" s="1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G30" i="10"/>
  <c r="H30" i="10" s="1"/>
  <c r="G29" i="10"/>
  <c r="H29" i="10" s="1"/>
  <c r="G28" i="10"/>
  <c r="H28" i="10" s="1"/>
  <c r="G27" i="10"/>
  <c r="G25" i="10"/>
  <c r="H25" i="10" s="1"/>
  <c r="G13" i="10"/>
  <c r="H13" i="10" s="1"/>
  <c r="G12" i="10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 s="1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D15" i="7"/>
  <c r="C15" i="7"/>
  <c r="E14" i="7"/>
  <c r="D14" i="7"/>
  <c r="C14" i="7"/>
  <c r="F14" i="7" s="1"/>
  <c r="E13" i="7"/>
  <c r="D13" i="7"/>
  <c r="C13" i="7"/>
  <c r="F13" i="7" s="1"/>
  <c r="E63" i="1" s="1"/>
  <c r="G63" i="1" s="1"/>
  <c r="H63" i="1" s="1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6" i="7"/>
  <c r="F15" i="7"/>
  <c r="F9" i="7"/>
  <c r="E58" i="1" s="1"/>
  <c r="G58" i="1" s="1"/>
  <c r="H58" i="1" s="1"/>
  <c r="O71" i="6"/>
  <c r="O70" i="6"/>
  <c r="O69" i="6"/>
  <c r="O72" i="6"/>
  <c r="G24" i="1"/>
  <c r="E23" i="12" s="1"/>
  <c r="H23" i="12" s="1"/>
  <c r="A40" i="11"/>
  <c r="A49" i="11"/>
  <c r="P11" i="1"/>
  <c r="P13" i="1"/>
  <c r="E49" i="10" s="1"/>
  <c r="C18" i="1"/>
  <c r="E76" i="10" s="1"/>
  <c r="P12" i="1"/>
  <c r="P10" i="1"/>
  <c r="K17" i="1"/>
  <c r="N17" i="1" s="1"/>
  <c r="I17" i="1"/>
  <c r="J17" i="1"/>
  <c r="L17" i="1" s="1"/>
  <c r="G86" i="1" s="1"/>
  <c r="H79" i="1"/>
  <c r="C16" i="9"/>
  <c r="C14" i="9"/>
  <c r="C12" i="9"/>
  <c r="A5" i="5"/>
  <c r="F9" i="4"/>
  <c r="L26" i="4" s="1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A6" i="5"/>
  <c r="C47" i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F10" i="4"/>
  <c r="K19" i="4" s="1"/>
  <c r="F6" i="4"/>
  <c r="K17" i="4"/>
  <c r="F5" i="4"/>
  <c r="L51" i="9"/>
  <c r="L50" i="9"/>
  <c r="L49" i="9"/>
  <c r="L7" i="3" s="1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F8" i="8"/>
  <c r="E95" i="10"/>
  <c r="M17" i="1"/>
  <c r="K15" i="4"/>
  <c r="G57" i="1"/>
  <c r="H57" i="1" s="1"/>
  <c r="I8" i="8"/>
  <c r="H74" i="1"/>
  <c r="P17" i="1"/>
  <c r="F26" i="7"/>
  <c r="F30" i="7"/>
  <c r="E35" i="12"/>
  <c r="H35" i="12" s="1"/>
  <c r="I48" i="1"/>
  <c r="G81" i="6"/>
  <c r="H71" i="1"/>
  <c r="G85" i="6"/>
  <c r="F22" i="7"/>
  <c r="F61" i="7"/>
  <c r="E72" i="1"/>
  <c r="G72" i="1" s="1"/>
  <c r="H49" i="10" l="1"/>
  <c r="H50" i="10" s="1"/>
  <c r="E29" i="12"/>
  <c r="H29" i="12" s="1"/>
  <c r="F31" i="7"/>
  <c r="F27" i="7"/>
  <c r="H31" i="10"/>
  <c r="F28" i="7"/>
  <c r="F23" i="7"/>
  <c r="A37" i="11"/>
  <c r="H12" i="10"/>
  <c r="H14" i="10" s="1"/>
  <c r="G59" i="1" s="1"/>
  <c r="F29" i="7"/>
  <c r="G84" i="6"/>
  <c r="J84" i="6" s="1"/>
  <c r="F21" i="7"/>
  <c r="F24" i="7"/>
  <c r="F20" i="7"/>
  <c r="G21" i="6"/>
  <c r="G60" i="7"/>
  <c r="F60" i="7" s="1"/>
  <c r="L28" i="4"/>
  <c r="L16" i="3"/>
  <c r="J85" i="6"/>
  <c r="J81" i="6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J22" i="6" s="1"/>
  <c r="G25" i="6"/>
  <c r="J25" i="6" s="1"/>
  <c r="G85" i="1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J38" i="6" s="1"/>
  <c r="G60" i="6"/>
  <c r="J60" i="6" s="1"/>
  <c r="G41" i="6"/>
  <c r="G36" i="6"/>
  <c r="J36" i="6" s="1"/>
  <c r="G61" i="6"/>
  <c r="J61" i="6" s="1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J26" i="6" s="1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I55" i="6"/>
  <c r="E31" i="8"/>
  <c r="F31" i="8" s="1"/>
  <c r="J15" i="6"/>
  <c r="J30" i="6"/>
  <c r="J34" i="6"/>
  <c r="J41" i="6"/>
  <c r="J47" i="6"/>
  <c r="E26" i="12"/>
  <c r="H26" i="12" s="1"/>
  <c r="E36" i="12"/>
  <c r="H36" i="12" s="1"/>
  <c r="J16" i="6"/>
  <c r="E9" i="8"/>
  <c r="F9" i="8" s="1"/>
  <c r="F76" i="7"/>
  <c r="E11" i="8"/>
  <c r="I11" i="8" s="1"/>
  <c r="F87" i="7"/>
  <c r="H80" i="1"/>
  <c r="E53" i="8"/>
  <c r="F53" i="8" s="1"/>
  <c r="H60" i="1"/>
  <c r="E25" i="8" l="1"/>
  <c r="F25" i="8" s="1"/>
  <c r="E71" i="1"/>
  <c r="J55" i="6"/>
  <c r="H32" i="10"/>
  <c r="G62" i="1" s="1"/>
  <c r="C58" i="6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<sst xmlns="http://schemas.openxmlformats.org/spreadsheetml/2006/main" count="1037" uniqueCount="630">
  <si>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</si>
  <si>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</si>
  <si>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</si>
  <si>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</si>
  <si>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</si>
  <si>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</si>
  <si>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</si>
  <si>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</si>
  <si>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</si>
  <si>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</si>
  <si>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</si>
  <si>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</si>
  <si>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</si>
  <si>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</si>
  <si>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</si>
  <si>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</si>
  <si>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</si>
  <si>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</si>
  <si>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</si>
  <si>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</si>
  <si>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</si>
  <si>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</si>
  <si>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</si>
  <si>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</si>
  <si>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</si>
  <si>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</si>
  <si>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</si>
  <si>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</si>
  <si>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</si>
  <si>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</si>
  <si>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</si>
  <si>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</si>
  <si>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</si>
  <si>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</si>
  <si>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</si>
  <si>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</si>
  <si>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</si>
  <si>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</si>
  <si>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</si>
  <si>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</si>
  <si>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</si>
  <si>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</si>
  <si>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</si>
  <si>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</si>
  <si>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</si>
  <si>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</si>
  <si>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</si>
  <si>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</si>
  <si>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</si>
  <si>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</si>
  <si>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</si>
  <si>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</si>
  <si>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</si>
  <si>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</si>
  <si>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</si>
  <si>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</si>
  <si>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</si>
  <si>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</si>
  <si>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</si>
  <si>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</si>
  <si>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</si>
  <si>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</si>
  <si>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</si>
  <si>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</si>
  <si>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</si>
  <si>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</si>
  <si>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</si>
  <si>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</si>
  <si>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</si>
  <si>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</si>
  <si>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</si>
  <si>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</si>
  <si>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</si>
  <si>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</si>
  <si>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</si>
  <si>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</si>
  <si>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</si>
  <si>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</si>
  <si>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</si>
  <si>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</si>
  <si>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</si>
  <si>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</si>
  <si>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</si>
  <si>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</si>
  <si>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</si>
  <si>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</si>
  <si>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</si>
  <si>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</si>
  <si>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</si>
  <si>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</si>
  <si>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</si>
  <si>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</si>
  <si>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</si>
  <si>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</si>
  <si>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</si>
  <si>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</si>
  <si>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</si>
  <si>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</si>
  <si>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</si>
  <si>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</si>
  <si>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</si>
  <si>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</si>
  <si>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</si>
  <si>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</si>
  <si>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</si>
  <si>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</si>
  <si>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</si>
  <si>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</si>
  <si>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</si>
  <si>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</si>
  <si>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</si>
  <si>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</si>
  <si>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</si>
  <si>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</si>
  <si>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</si>
  <si>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</si>
  <si>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</si>
  <si>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</si>
  <si>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</si>
  <si>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</si>
  <si>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</si>
  <si>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</si>
  <si>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</si>
  <si>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</si>
  <si>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</si>
  <si>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</si>
  <si>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</si>
  <si>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</si>
  <si>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</si>
  <si>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</si>
  <si>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</si>
  <si>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</si>
  <si>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</si>
  <si>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</si>
  <si>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</si>
  <si>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</si>
  <si>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</si>
  <si>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</si>
  <si>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</si>
  <si>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</si>
  <si>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</si>
  <si>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</si>
  <si>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</si>
  <si>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</si>
  <si>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</si>
  <si>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</si>
  <si>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</si>
  <si>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</si>
  <si>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</si>
  <si>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</si>
  <si>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</si>
  <si>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</si>
  <si>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</si>
  <si>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</si>
  <si>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</si>
  <si>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</si>
  <si>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</si>
  <si>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</si>
  <si>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</si>
  <si>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</si>
  <si>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</si>
  <si>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</si>
  <si>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</si>
  <si>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</si>
  <si>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</si>
  <si>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</si>
  <si>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</si>
  <si>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</si>
  <si>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</si>
  <si>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</si>
  <si>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</si>
  <si>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</si>
  <si>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</si>
  <si>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</si>
  <si>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</si>
  <si>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</si>
  <si>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</si>
  <si>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</si>
  <si>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</si>
  <si>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</si>
  <si>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</si>
  <si>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</si>
  <si>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</si>
  <si>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</si>
  <si>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</si>
  <si>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</si>
  <si>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</si>
  <si>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</si>
  <si>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</si>
  <si>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</si>
  <si>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</si>
  <si>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</si>
  <si>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</si>
  <si>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</si>
  <si>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</si>
  <si>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</si>
  <si>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</si>
  <si>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</si>
  <si>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</si>
  <si>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</si>
  <si>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</si>
  <si>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</si>
  <si>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</si>
  <si>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</si>
  <si>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</si>
  <si>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</si>
  <si>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</si>
  <si>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</si>
  <si>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</si>
  <si>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</si>
  <si>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</si>
  <si>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</si>
  <si>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</si>
  <si>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</si>
  <si>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</si>
  <si>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</si>
  <si>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</si>
  <si>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</si>
  <si>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</si>
  <si>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</si>
  <si>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</si>
  <si>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</si>
  <si>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</si>
  <si>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</si>
  <si>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</si>
  <si>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</si>
  <si>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</si>
  <si>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</si>
  <si>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</si>
  <si>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</si>
  <si>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</si>
  <si>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</si>
  <si>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</si>
  <si>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</si>
  <si>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</si>
  <si>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</si>
  <si>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</si>
  <si>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</si>
  <si>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</si>
  <si>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</si>
  <si>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</si>
  <si>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</si>
  <si>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</si>
  <si>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</si>
  <si>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</si>
  <si>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</si>
  <si>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</si>
  <si>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</si>
  <si>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</si>
  <si>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</si>
  <si>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</si>
  <si>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</si>
  <si>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</si>
  <si>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</si>
  <si>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</si>
  <si>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</si>
  <si>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</si>
  <si>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</si>
  <si>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</si>
  <si>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</si>
  <si>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</si>
  <si>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</si>
  <si>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</si>
  <si>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</si>
  <si>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</si>
  <si>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</si>
  <si>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</si>
  <si>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</si>
  <si>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</si>
  <si>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</si>
  <si>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</si>
  <si>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</si>
  <si>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</si>
  <si>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</si>
  <si>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</si>
  <si>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</si>
  <si>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</si>
  <si>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</si>
  <si>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</si>
  <si>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</si>
  <si>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</si>
  <si>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</si>
  <si>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</si>
  <si>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</si>
  <si>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</si>
  <si>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</si>
  <si>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</si>
  <si>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</si>
  <si>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</si>
  <si>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</si>
  <si>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</si>
  <si>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</si>
  <si>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</si>
  <si>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</si>
  <si>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</si>
  <si>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</si>
  <si>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</si>
  <si>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</si>
  <si>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</si>
  <si>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</si>
  <si>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</si>
  <si>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</si>
  <si>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</si>
  <si>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</si>
  <si>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</si>
  <si>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</si>
  <si>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</si>
  <si>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</si>
  <si>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</si>
  <si>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</si>
  <si>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</si>
  <si>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</si>
  <si>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</si>
  <si>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</si>
  <si>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</si>
  <si>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</si>
  <si>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</si>
  <si>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</si>
  <si>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</si>
  <si>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</si>
  <si>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</si>
  <si>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</si>
  <si>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</si>
  <si>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</si>
  <si>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</si>
  <si>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</si>
  <si>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</si>
  <si>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</si>
  <si>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</si>
  <si>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</si>
  <si>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</si>
  <si>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</si>
  <si>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</si>
  <si>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</si>
  <si>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</si>
  <si>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</si>
  <si>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</si>
  <si>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</si>
  <si>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</si>
  <si>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</si>
  <si>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</si>
  <si>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</si>
  <si>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</si>
  <si>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</si>
  <si>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</si>
  <si>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</si>
  <si>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</si>
  <si>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</si>
  <si>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</si>
  <si>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</si>
  <si>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</si>
  <si>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</si>
  <si>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</si>
  <si>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</si>
  <si>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</si>
  <si>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</si>
  <si>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</si>
  <si>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</si>
  <si>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</si>
  <si>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</si>
  <si>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</si>
  <si>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</si>
  <si>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</si>
  <si>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</si>
  <si>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</si>
  <si>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</si>
  <si>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</si>
  <si>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</si>
  <si>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</si>
  <si>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</si>
  <si>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</si>
  <si>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</si>
  <si>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</si>
  <si>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</si>
  <si>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</si>
  <si>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</si>
  <si>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</si>
  <si>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</si>
  <si>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</si>
  <si>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</si>
  <si>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</si>
  <si>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</si>
  <si>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</si>
  <si>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</si>
  <si>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</si>
  <si>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</si>
  <si>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</si>
  <si>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</si>
  <si>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</si>
  <si>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</si>
  <si>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</si>
  <si>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</si>
  <si>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</si>
  <si>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</si>
  <si>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</si>
  <si>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</si>
  <si>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</si>
  <si>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</si>
  <si>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</si>
  <si>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</si>
  <si>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</si>
  <si>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</si>
  <si>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</si>
  <si>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</si>
  <si>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</si>
  <si>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</si>
  <si>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</si>
  <si>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</si>
  <si>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</si>
  <si>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</si>
  <si>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</si>
  <si>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</si>
  <si>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</si>
  <si>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</si>
  <si>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</si>
  <si>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</si>
  <si>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</si>
  <si>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</si>
  <si>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</si>
  <si>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</si>
  <si>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</si>
  <si>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</si>
  <si>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</si>
  <si>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</si>
  <si>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</si>
  <si>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</si>
  <si>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</si>
  <si>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</si>
  <si>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</si>
  <si>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</si>
  <si>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</si>
  <si>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</si>
  <si>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</si>
  <si>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</si>
  <si>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</si>
  <si>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</si>
  <si>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</si>
  <si>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</si>
  <si>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</si>
  <si>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</si>
  <si>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</si>
  <si>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</si>
  <si>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</si>
  <si>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</si>
  <si>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</si>
  <si>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</si>
  <si>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</si>
  <si>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</si>
  <si>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</si>
  <si>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</si>
  <si>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</si>
  <si>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</si>
  <si>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</si>
  <si>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</si>
  <si>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</si>
  <si>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</si>
  <si>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</si>
  <si>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</si>
  <si>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</si>
  <si>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</si>
  <si>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</si>
  <si>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</si>
  <si>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</si>
  <si>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</si>
  <si>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</si>
  <si>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</si>
  <si>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</si>
  <si>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</si>
  <si>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</si>
  <si>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</si>
  <si>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</si>
  <si>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</si>
  <si>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</si>
  <si>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</si>
  <si>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</si>
  <si>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</si>
  <si>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</si>
  <si>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</si>
  <si>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</si>
  <si>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</si>
  <si>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</si>
  <si>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</si>
  <si>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</si>
  <si>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</si>
  <si>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</si>
  <si>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</si>
  <si>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</si>
  <si>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</si>
  <si>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</si>
  <si>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</si>
  <si>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</si>
  <si>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</si>
  <si>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</si>
  <si>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</si>
  <si>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</si>
  <si>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</si>
  <si>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</si>
  <si>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</si>
  <si>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</si>
  <si>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</si>
  <si>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</si>
  <si>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</si>
  <si>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</si>
  <si>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</si>
  <si>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</si>
  <si>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</si>
  <si>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</si>
  <si>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</si>
  <si>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</si>
  <si>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</si>
  <si>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</si>
  <si>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</si>
  <si>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</si>
  <si>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</si>
  <si>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</si>
  <si>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</si>
  <si>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</si>
  <si>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</si>
  <si>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</si>
  <si>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</si>
  <si>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</si>
  <si>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</si>
  <si>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</si>
  <si>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</si>
  <si>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</si>
  <si>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</si>
  <si>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</si>
  <si>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</si>
  <si>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</si>
  <si>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</si>
  <si>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</si>
  <si>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</si>
  <si>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</si>
  <si>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</si>
  <si>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</si>
  <si>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</si>
  <si>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</si>
  <si>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</si>
  <si>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</si>
  <si>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</si>
  <si>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</si>
  <si>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</si>
  <si>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</si>
  <si>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</si>
  <si>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</si>
  <si>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</si>
  <si>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</si>
  <si>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</si>
  <si>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</si>
  <si>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</si>
  <si>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</si>
  <si>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</si>
  <si>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</si>
  <si>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</si>
  <si>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</si>
  <si>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</si>
  <si>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</si>
  <si>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</si>
  <si>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</si>
  <si>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</si>
  <si>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</si>
  <si>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</si>
  <si>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</si>
  <si>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</si>
  <si>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</si>
  <si>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</si>
  <si>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</si>
  <si>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</si>
  <si>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</si>
  <si>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</si>
  <si>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</si>
  <si>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</si>
  <si>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</si>
  <si>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</si>
  <si>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</si>
  <si>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</si>
  <si>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</si>
  <si>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</si>
  <si>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</si>
  <si>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</si>
  <si>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</si>
  <si>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</si>
  <si>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</si>
  <si>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</si>
  <si>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</si>
  <si>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</si>
  <si>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</si>
  <si>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</si>
  <si>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</si>
  <si>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</si>
  <si>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</si>
  <si>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</si>
  <si>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</si>
  <si>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</si>
  <si>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</si>
  <si>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</si>
  <si>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</si>
  <si>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</si>
  <si>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</si>
  <si>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</si>
  <si>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</si>
  <si>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</si>
  <si>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</si>
  <si>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</si>
  <si>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</si>
  <si>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</si>
  <si>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</si>
  <si>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</si>
  <si>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</si>
  <si>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</si>
  <si>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</si>
  <si>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</si>
  <si>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</si>
  <si>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</si>
  <si>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</si>
  <si>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</si>
  <si>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</si>
  <si>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</si>
  <si>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</si>
  <si>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</si>
  <si>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</si>
  <si>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</si>
  <si>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</si>
  <si>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</si>
  <si>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</si>
  <si>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</si>
  <si>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DE 104 ML 105/105-0.15</t>
  </si>
  <si>
    <t>Приложение к ведомости поставки №__________ от _______________2019 г.</t>
  </si>
  <si>
    <t>Экономические показатели ООО "МПП" на 2019 г., утвержденные 
310 ВП МО РФ</t>
  </si>
  <si>
    <t>____ ____________ 2019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</si>
</sst>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2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top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wrapText="1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44595584"/>
        <c:axId val="155261184"/>
      </c:lineChart>
      <c:dateAx>
        <c:axId val="144595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55261184"/>
        <c:crosses val="autoZero"/>
        <c:auto val="0"/>
        <c:lblOffset val="100"/>
        <c:baseTimeUnit val="days"/>
        <c:majorUnit val="5"/>
        <c:majorTimeUnit val="days"/>
      </c:dateAx>
      <c:valAx>
        <c:axId val="155261184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44595584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2397.15</v>
          </cell>
          <cell r="G9" t="str">
            <v>ТН 187 от 26.09.2018 (202)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2713.8</v>
          </cell>
          <cell r="G14" t="str">
            <v>ТН 190 от 26.09.2018 (205)</v>
          </cell>
          <cell r="H14" t="str">
            <v>ООО "ПЕТРОИЗОЛИТ"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2575.71</v>
          </cell>
          <cell r="G20" t="str">
            <v>ТН 189 от 26.09.2018 (204)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2895</v>
          </cell>
          <cell r="G23" t="str">
            <v>901 от 13.09.2018 (901)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3526.54</v>
          </cell>
          <cell r="G28" t="str">
            <v>ax12 от 11.01.2019 универс.док.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655.89</v>
          </cell>
          <cell r="G39" t="str">
            <v>719 от 22.10.2018 (719)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680.48</v>
          </cell>
          <cell r="G40" t="str">
            <v>719 от 22.10.2018 (719)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1169.76</v>
          </cell>
          <cell r="G49" t="str">
            <v xml:space="preserve">ax12 от 11.01.2019 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364</v>
          </cell>
          <cell r="G51" t="str">
            <v>832 от 27.08.2018 (832)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1265.23</v>
          </cell>
          <cell r="G62" t="str">
            <v>spb018120501 от 05.12.2018 (spb0181205001)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2186.38</v>
          </cell>
          <cell r="G63" t="str">
            <v>spb018120501 от 05.12.2018 (spb0181205001)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2332.39</v>
          </cell>
          <cell r="G71" t="str">
            <v>spb018091707 от 17.09.2018 (spb0180917007 )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224</v>
          </cell>
          <cell r="G84" t="str">
            <v>22733 от 22.11.2018(Без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384.29</v>
          </cell>
          <cell r="G97" t="str">
            <v>spb018090505 от 05.09.2018 (0180905005)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941.45</v>
          </cell>
          <cell r="G98" t="str">
            <v>spb018110911 от 09.11.2018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7493.26</v>
          </cell>
          <cell r="G107" t="str">
            <v>4990070399 от 26.11.2018 (500019203)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2566.1999999999998</v>
          </cell>
          <cell r="G113" t="str">
            <v>018112626 от 26.11.2018 (0181126026)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2969</v>
          </cell>
          <cell r="G117" t="str">
            <v>1005 от 05.10.2018 (1005)</v>
          </cell>
          <cell r="H117" t="str">
            <v>ООО "БАЛТПРОМИЗОЛИТ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4370</v>
          </cell>
          <cell r="G121" t="str">
            <v>1047 от 16.10.2018 (1047)</v>
          </cell>
          <cell r="H121" t="str">
            <v>ООО "БАЛТПРОМИЗОЛИТ"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1кл.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1кл.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385.55</v>
          </cell>
          <cell r="G155" t="str">
            <v>spb018090505 от 05.09.2018 (0180905005)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88.8</v>
          </cell>
          <cell r="G164" t="str">
            <v>645 от 04.07.2018 (645)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627.61</v>
          </cell>
          <cell r="G166" t="str">
            <v>4990070399 от 26.11.2018 (500019203)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1102.9000000000001</v>
          </cell>
          <cell r="G168" t="str">
            <v>1002 от 04.10.2018 (1002)</v>
          </cell>
          <cell r="H168" t="str">
            <v>ООО "БАЛТПРОМИЗОЛИТ 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143.68</v>
          </cell>
          <cell r="G169" t="str">
            <v>spb018091707 от 17.09.2018 (spb0180917007 )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185.78</v>
          </cell>
          <cell r="G170" t="str">
            <v>797 от 22.11.2018 (797)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G24" sqref="G2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611" t="s">
        <v>540</v>
      </c>
      <c r="C2" s="611"/>
      <c r="D2" s="611"/>
      <c r="E2" s="611"/>
      <c r="F2" s="611"/>
      <c r="G2" s="611"/>
    </row>
    <row r="3" spans="2:16" ht="12" customHeight="1" thickBot="1" x14ac:dyDescent="0.25">
      <c r="B3" s="611"/>
      <c r="C3" s="611"/>
      <c r="D3" s="611"/>
      <c r="E3" s="611"/>
      <c r="F3" s="611"/>
      <c r="G3" s="611"/>
    </row>
    <row r="4" spans="2:16" ht="15.75" customHeight="1" thickBot="1" x14ac:dyDescent="0.25">
      <c r="B4" s="101" t="s">
        <v>6</v>
      </c>
      <c r="C4" s="614" t="s">
        <v>6</v>
      </c>
      <c r="D4" s="614"/>
      <c r="E4" s="614"/>
      <c r="F4" s="614"/>
      <c r="G4" s="615"/>
    </row>
    <row r="5" spans="2:16" ht="13.5" thickBot="1" x14ac:dyDescent="0.25">
      <c r="B5" s="101" t="s">
        <v>7</v>
      </c>
      <c r="C5" s="616" t="s">
        <v>429</v>
      </c>
      <c r="D5" s="617"/>
      <c r="E5" s="618"/>
      <c r="F5" s="56" t="s">
        <v>558</v>
      </c>
      <c r="G5" s="44"/>
    </row>
    <row r="6" spans="2:16" ht="13.5" thickBot="1" x14ac:dyDescent="0.25">
      <c r="B6" s="12" t="s">
        <v>8</v>
      </c>
      <c r="C6" s="619" t="s">
        <v>430</v>
      </c>
      <c r="D6" s="620"/>
      <c r="E6" s="620"/>
      <c r="F6" s="621"/>
      <c r="G6" s="13"/>
    </row>
    <row r="7" spans="2:16" ht="16.5" thickBot="1" x14ac:dyDescent="0.3">
      <c r="B7" s="12" t="s">
        <v>9</v>
      </c>
      <c r="C7" s="9">
        <v>145</v>
      </c>
      <c r="E7" s="609" t="s">
        <v>402</v>
      </c>
      <c r="F7" s="610"/>
      <c r="G7" s="15">
        <v>9</v>
      </c>
      <c r="I7" s="172">
        <f ca="1">Цена_одной_без_НДС</f>
        <v>3064</v>
      </c>
    </row>
    <row r="8" spans="2:16" ht="13.5" thickBot="1" x14ac:dyDescent="0.25">
      <c r="B8" s="12" t="s">
        <v>33</v>
      </c>
      <c r="C8" s="15">
        <v>1</v>
      </c>
      <c r="D8" s="8"/>
      <c r="E8" s="622" t="s">
        <v>401</v>
      </c>
      <c r="F8" s="623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2" t="s">
        <v>375</v>
      </c>
      <c r="F9" s="573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3" t="s">
        <v>505</v>
      </c>
      <c r="F10" s="580"/>
      <c r="G10" s="60" t="s">
        <v>506</v>
      </c>
      <c r="I10" s="573" t="s">
        <v>151</v>
      </c>
      <c r="J10" s="608"/>
      <c r="K10" s="608"/>
      <c r="L10" s="608"/>
      <c r="M10" s="608"/>
      <c r="N10" s="608"/>
      <c r="O10" s="608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612" t="s">
        <v>507</v>
      </c>
      <c r="F11" s="613"/>
      <c r="G11" s="60" t="s">
        <v>508</v>
      </c>
      <c r="I11" s="573" t="s">
        <v>152</v>
      </c>
      <c r="J11" s="608"/>
      <c r="K11" s="608"/>
      <c r="L11" s="608"/>
      <c r="M11" s="608"/>
      <c r="N11" s="608"/>
      <c r="O11" s="608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2" t="s">
        <v>509</v>
      </c>
      <c r="F12" s="573"/>
      <c r="G12" s="60" t="s">
        <v>513</v>
      </c>
      <c r="I12" s="591" t="s">
        <v>510</v>
      </c>
      <c r="J12" s="592"/>
      <c r="K12" s="592"/>
      <c r="L12" s="592"/>
      <c r="M12" s="592"/>
      <c r="N12" s="592"/>
      <c r="O12" s="592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0" t="s">
        <v>511</v>
      </c>
      <c r="J13" s="581"/>
      <c r="K13" s="581"/>
      <c r="L13" s="581"/>
      <c r="M13" s="581"/>
      <c r="N13" s="581"/>
      <c r="O13" s="594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2" t="s">
        <v>550</v>
      </c>
      <c r="F14" s="573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2" t="s">
        <v>524</v>
      </c>
      <c r="F15" s="573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2" t="s">
        <v>149</v>
      </c>
      <c r="F16" s="573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2" t="s">
        <v>546</v>
      </c>
      <c r="F17" s="603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2" t="s">
        <v>153</v>
      </c>
      <c r="F18" s="573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4" t="s">
        <v>26</v>
      </c>
      <c r="F19" s="605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06" t="s">
        <v>471</v>
      </c>
      <c r="F20" s="607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0" t="s">
        <v>472</v>
      </c>
      <c r="F21" s="591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587" t="s">
        <v>404</v>
      </c>
      <c r="F22" s="601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0" t="s">
        <v>57</v>
      </c>
      <c r="F23" s="591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6" t="s">
        <v>380</v>
      </c>
      <c r="F24" s="597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574" t="s">
        <v>628</v>
      </c>
      <c r="F44" s="574"/>
      <c r="G44" s="575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576"/>
      <c r="F45" s="576"/>
      <c r="G45" s="577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585" t="s">
        <v>609</v>
      </c>
      <c r="F50" s="586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584" t="s">
        <v>608</v>
      </c>
      <c r="F51" s="584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3260.3122650134997</v>
      </c>
      <c r="K57" s="437">
        <f ca="1">I57+J57</f>
        <v>9647.607189013499</v>
      </c>
    </row>
    <row r="58" spans="1:11" x14ac:dyDescent="0.2">
      <c r="A58" s="588">
        <v>2</v>
      </c>
      <c r="B58" s="598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89"/>
      <c r="B59" s="599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1745.4037269374999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88">
        <v>4</v>
      </c>
      <c r="B61" s="598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5"/>
      <c r="B62" s="599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1514.9085380759998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9647.607189013499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110111.2721936585</v>
      </c>
      <c r="H68" s="62"/>
      <c r="I68" s="438">
        <f ca="1">G69+G70+G71+G72+G73+G75+G77+G80+G81+G83+G85+G87</f>
        <v>311721.98713637557</v>
      </c>
      <c r="J68" s="438">
        <f>G68+G76+G78+G82+G84+G86</f>
        <v>122881.9939933092</v>
      </c>
      <c r="K68" s="438">
        <f ca="1">I68+J68</f>
        <v>434603.98112968478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578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579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578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590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590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8957.6101781905199</v>
      </c>
      <c r="H76" s="62"/>
    </row>
    <row r="77" spans="1:13" s="185" customFormat="1" x14ac:dyDescent="0.2">
      <c r="A77" s="590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579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838.45630385416905</v>
      </c>
      <c r="H78" s="62"/>
    </row>
    <row r="79" spans="1:13" s="185" customFormat="1" x14ac:dyDescent="0.2">
      <c r="A79" s="578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590"/>
      <c r="B80" s="580" t="s">
        <v>516</v>
      </c>
      <c r="C80" s="581"/>
      <c r="D80" s="582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590"/>
      <c r="B81" s="583" t="s">
        <v>515</v>
      </c>
      <c r="C81" s="583"/>
      <c r="D81" s="583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579"/>
      <c r="B82" s="583" t="s">
        <v>514</v>
      </c>
      <c r="C82" s="583"/>
      <c r="D82" s="583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578">
        <v>8</v>
      </c>
      <c r="B83" s="580" t="s">
        <v>387</v>
      </c>
      <c r="C83" s="581"/>
      <c r="D83" s="582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579"/>
      <c r="B84" s="580" t="s">
        <v>415</v>
      </c>
      <c r="C84" s="581"/>
      <c r="D84" s="582"/>
      <c r="E84" s="570" t="s">
        <v>164</v>
      </c>
      <c r="F84" s="319"/>
      <c r="G84" s="324">
        <f>IF(Sи&gt;0,0,Материалы_ГорПОС)*(1+Плановые_накопления/100)</f>
        <v>803.29788036998491</v>
      </c>
      <c r="H84" s="62"/>
    </row>
    <row r="85" spans="1:11" x14ac:dyDescent="0.2">
      <c r="A85" s="588">
        <v>9</v>
      </c>
      <c r="B85" s="580" t="s">
        <v>547</v>
      </c>
      <c r="C85" s="581"/>
      <c r="D85" s="582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89"/>
      <c r="B86" s="591" t="s">
        <v>170</v>
      </c>
      <c r="C86" s="592"/>
      <c r="D86" s="593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587" t="s">
        <v>26</v>
      </c>
      <c r="C87" s="587"/>
      <c r="D87" s="587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434603.98112968472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444252</v>
      </c>
      <c r="I90" s="438">
        <f ca="1">I57+I68</f>
        <v>318109.28206037555</v>
      </c>
      <c r="J90" s="438">
        <f>J57+J68</f>
        <v>126142.3062583227</v>
      </c>
      <c r="K90" s="438">
        <f ca="1">I90+J90</f>
        <v>444251.58831869822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444252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3064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43" t="s">
        <v>222</v>
      </c>
      <c r="C4" s="643"/>
      <c r="D4" s="643"/>
      <c r="E4" s="643"/>
      <c r="F4" s="643"/>
      <c r="G4" s="643"/>
      <c r="H4" s="643"/>
      <c r="J4" s="654" t="s">
        <v>223</v>
      </c>
      <c r="K4" s="654"/>
      <c r="L4" s="654"/>
    </row>
    <row r="5" spans="2:12" s="186" customFormat="1" ht="13.5" thickBot="1" x14ac:dyDescent="0.25"/>
    <row r="6" spans="2:12" s="186" customFormat="1" x14ac:dyDescent="0.2">
      <c r="B6" s="659" t="s">
        <v>226</v>
      </c>
      <c r="C6" s="660"/>
      <c r="D6" s="660"/>
      <c r="E6" s="660"/>
      <c r="F6" s="661"/>
      <c r="G6" s="657" t="str">
        <f>Наименование_платы</f>
        <v>Децимальный номер платы</v>
      </c>
      <c r="H6" s="658"/>
      <c r="J6" s="644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62" t="s">
        <v>336</v>
      </c>
      <c r="C7" s="663"/>
      <c r="D7" s="663"/>
      <c r="E7" s="663"/>
      <c r="F7" s="188" t="s">
        <v>39</v>
      </c>
      <c r="G7" s="650">
        <f>П</f>
        <v>145</v>
      </c>
      <c r="H7" s="651"/>
      <c r="J7" s="645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64" t="s">
        <v>337</v>
      </c>
      <c r="C8" s="665"/>
      <c r="D8" s="665"/>
      <c r="E8" s="665"/>
      <c r="F8" s="188" t="s">
        <v>338</v>
      </c>
      <c r="G8" s="652">
        <v>1</v>
      </c>
      <c r="H8" s="653"/>
      <c r="J8" s="645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62" t="s">
        <v>339</v>
      </c>
      <c r="C9" s="663"/>
      <c r="D9" s="663"/>
      <c r="E9" s="663"/>
      <c r="F9" s="188" t="s">
        <v>340</v>
      </c>
      <c r="G9" s="650">
        <f>G7/G8</f>
        <v>145</v>
      </c>
      <c r="H9" s="651"/>
      <c r="J9" s="645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62" t="s">
        <v>341</v>
      </c>
      <c r="C10" s="663"/>
      <c r="D10" s="663"/>
      <c r="E10" s="663"/>
      <c r="F10" s="188" t="s">
        <v>342</v>
      </c>
      <c r="G10" s="648">
        <f>G15+H15</f>
        <v>1</v>
      </c>
      <c r="H10" s="649"/>
      <c r="J10" s="655" t="s">
        <v>240</v>
      </c>
      <c r="K10" s="666" t="s">
        <v>343</v>
      </c>
      <c r="L10" s="646">
        <f>SUM(L6:L9)</f>
        <v>417.40776399999999</v>
      </c>
    </row>
    <row r="11" spans="2:12" s="186" customFormat="1" x14ac:dyDescent="0.2">
      <c r="B11" s="662" t="s">
        <v>232</v>
      </c>
      <c r="C11" s="663"/>
      <c r="D11" s="663"/>
      <c r="E11" s="663"/>
      <c r="F11" s="675"/>
      <c r="G11" s="191" t="s">
        <v>237</v>
      </c>
      <c r="H11" s="187" t="s">
        <v>238</v>
      </c>
      <c r="J11" s="656"/>
      <c r="K11" s="667"/>
      <c r="L11" s="647"/>
    </row>
    <row r="12" spans="2:12" s="186" customFormat="1" ht="13.15" customHeight="1" x14ac:dyDescent="0.2">
      <c r="B12" s="662" t="s">
        <v>344</v>
      </c>
      <c r="C12" s="663"/>
      <c r="D12" s="663"/>
      <c r="E12" s="663"/>
      <c r="F12" s="188" t="s">
        <v>345</v>
      </c>
      <c r="G12" s="269"/>
      <c r="H12" s="269"/>
      <c r="J12" s="655" t="s">
        <v>346</v>
      </c>
      <c r="K12" s="671" t="s">
        <v>347</v>
      </c>
      <c r="L12" s="671">
        <f>G14*_NO1+H14*_NO2</f>
        <v>1</v>
      </c>
    </row>
    <row r="13" spans="2:12" s="186" customFormat="1" x14ac:dyDescent="0.2">
      <c r="B13" s="662" t="s">
        <v>348</v>
      </c>
      <c r="C13" s="663"/>
      <c r="D13" s="663"/>
      <c r="E13" s="663"/>
      <c r="F13" s="188" t="s">
        <v>338</v>
      </c>
      <c r="G13" s="269">
        <v>1000</v>
      </c>
      <c r="H13" s="269">
        <v>1000</v>
      </c>
      <c r="J13" s="656"/>
      <c r="K13" s="672"/>
      <c r="L13" s="672"/>
    </row>
    <row r="14" spans="2:12" s="186" customFormat="1" ht="26.45" customHeight="1" x14ac:dyDescent="0.2">
      <c r="B14" s="679" t="s">
        <v>329</v>
      </c>
      <c r="C14" s="680"/>
      <c r="D14" s="680"/>
      <c r="E14" s="680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82" t="s">
        <v>352</v>
      </c>
      <c r="C15" s="683"/>
      <c r="D15" s="683"/>
      <c r="E15" s="684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79" t="s">
        <v>355</v>
      </c>
      <c r="C16" s="680"/>
      <c r="D16" s="680"/>
      <c r="E16" s="681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62" t="s">
        <v>233</v>
      </c>
      <c r="C17" s="663"/>
      <c r="D17" s="663"/>
      <c r="E17" s="663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62"/>
      <c r="C18" s="663"/>
      <c r="D18" s="663"/>
      <c r="E18" s="663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73" t="s">
        <v>360</v>
      </c>
      <c r="C19" s="674"/>
      <c r="D19" s="674"/>
      <c r="E19" s="674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4" t="s">
        <v>234</v>
      </c>
      <c r="C21" s="654"/>
      <c r="D21" s="654"/>
      <c r="E21" s="654"/>
      <c r="F21" s="654"/>
      <c r="G21" s="654"/>
      <c r="H21" s="654"/>
    </row>
    <row r="22" spans="2:13" s="186" customFormat="1" ht="39" thickBot="1" x14ac:dyDescent="0.25">
      <c r="B22" s="669" t="s">
        <v>362</v>
      </c>
      <c r="C22" s="670"/>
      <c r="D22" s="670"/>
      <c r="E22" s="670"/>
      <c r="F22" s="670"/>
      <c r="G22" s="670"/>
      <c r="H22" s="192" t="s">
        <v>363</v>
      </c>
      <c r="J22" s="668" t="s">
        <v>417</v>
      </c>
      <c r="K22" s="668"/>
      <c r="L22" s="668"/>
    </row>
    <row r="23" spans="2:13" s="186" customFormat="1" ht="26.45" customHeight="1" thickBot="1" x14ac:dyDescent="0.25">
      <c r="B23" s="685" t="s">
        <v>245</v>
      </c>
      <c r="C23" s="686"/>
      <c r="D23" s="686"/>
      <c r="E23" s="686"/>
      <c r="F23" s="686"/>
      <c r="G23" s="687"/>
      <c r="H23" s="416">
        <f>М</f>
        <v>417.40776399999999</v>
      </c>
      <c r="J23" s="668"/>
      <c r="K23" s="668"/>
      <c r="L23" s="668"/>
    </row>
    <row r="24" spans="2:13" s="186" customFormat="1" ht="13.5" thickBot="1" x14ac:dyDescent="0.25">
      <c r="J24" s="668"/>
      <c r="K24" s="668"/>
      <c r="L24" s="668"/>
    </row>
    <row r="25" spans="2:13" s="186" customFormat="1" ht="39" thickBot="1" x14ac:dyDescent="0.25">
      <c r="B25" s="669" t="s">
        <v>364</v>
      </c>
      <c r="C25" s="670"/>
      <c r="D25" s="670"/>
      <c r="E25" s="670"/>
      <c r="F25" s="670"/>
      <c r="G25" s="670"/>
      <c r="H25" s="192" t="s">
        <v>363</v>
      </c>
    </row>
    <row r="26" spans="2:13" s="186" customFormat="1" ht="27" customHeight="1" thickBot="1" x14ac:dyDescent="0.25">
      <c r="B26" s="685" t="s">
        <v>247</v>
      </c>
      <c r="C26" s="686"/>
      <c r="D26" s="686"/>
      <c r="E26" s="686"/>
      <c r="F26" s="686"/>
      <c r="G26" s="686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69" t="s">
        <v>235</v>
      </c>
      <c r="C28" s="670"/>
      <c r="D28" s="670"/>
      <c r="E28" s="670"/>
      <c r="F28" s="670"/>
      <c r="G28" s="670"/>
      <c r="H28" s="192" t="s">
        <v>363</v>
      </c>
    </row>
    <row r="29" spans="2:13" s="186" customFormat="1" ht="27.6" customHeight="1" thickBot="1" x14ac:dyDescent="0.25">
      <c r="B29" s="676" t="s">
        <v>246</v>
      </c>
      <c r="C29" s="677"/>
      <c r="D29" s="677"/>
      <c r="E29" s="677"/>
      <c r="F29" s="677"/>
      <c r="G29" s="67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07" t="s">
        <v>188</v>
      </c>
      <c r="I7" s="707" t="s">
        <v>189</v>
      </c>
      <c r="J7" s="131"/>
      <c r="K7" s="696" t="s">
        <v>190</v>
      </c>
      <c r="L7" s="697"/>
    </row>
    <row r="8" spans="1:15" ht="13.15" customHeight="1" x14ac:dyDescent="0.2">
      <c r="A8" s="131"/>
      <c r="C8" s="698" t="s">
        <v>324</v>
      </c>
      <c r="D8" s="699"/>
      <c r="E8" s="704" t="s">
        <v>325</v>
      </c>
      <c r="F8" s="131"/>
      <c r="G8" s="131"/>
      <c r="H8" s="708"/>
      <c r="I8" s="708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00"/>
      <c r="D9" s="701"/>
      <c r="E9" s="705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02"/>
      <c r="D10" s="703"/>
      <c r="E10" s="706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94" t="s">
        <v>197</v>
      </c>
      <c r="D11" s="695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688" t="str">
        <f>CONCATENATE("Отчисления на социальное страхование, ",Социальный_налог,"%")</f>
        <v>Отчисления на социальное страхование, 30.6%</v>
      </c>
      <c r="D12" s="689"/>
      <c r="E12" s="692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690"/>
      <c r="D13" s="691"/>
      <c r="E13" s="693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94" t="str">
        <f>CONCATENATE("Накладные расходы (",Накладные_расходы,"%)")</f>
        <v>Накладные расходы (117.6%)</v>
      </c>
      <c r="D14" s="695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94" t="s">
        <v>198</v>
      </c>
      <c r="D15" s="695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94" t="str">
        <f>CONCATENATE("Плановые накопления (",Плановые_накопления,"%)")</f>
        <v>Плановые накопления (15%)</v>
      </c>
      <c r="D16" s="695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12" t="s">
        <v>326</v>
      </c>
      <c r="D17" s="713"/>
      <c r="E17" s="692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14"/>
      <c r="D18" s="715"/>
      <c r="E18" s="693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16" t="s">
        <v>327</v>
      </c>
      <c r="D21" s="716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17"/>
      <c r="D22" s="717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18"/>
      <c r="D23" s="718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696" t="s">
        <v>203</v>
      </c>
      <c r="H47" s="697"/>
      <c r="I47" s="134" t="s">
        <v>204</v>
      </c>
      <c r="J47" s="41"/>
      <c r="K47" s="707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19"/>
      <c r="H48" s="720"/>
      <c r="I48" s="155" t="s">
        <v>207</v>
      </c>
      <c r="J48" s="40"/>
      <c r="K48" s="709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10" t="s">
        <v>211</v>
      </c>
      <c r="H49" s="711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10" t="s">
        <v>211</v>
      </c>
      <c r="H50" s="711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25" t="s">
        <v>225</v>
      </c>
      <c r="C2" s="725"/>
      <c r="D2" s="725"/>
      <c r="E2" s="725"/>
      <c r="F2" s="725"/>
      <c r="G2" s="725"/>
      <c r="H2" s="725"/>
      <c r="I2" s="725"/>
      <c r="J2" s="725"/>
      <c r="K2" s="725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32" t="s">
        <v>222</v>
      </c>
      <c r="C4" s="732"/>
      <c r="D4" s="732"/>
      <c r="E4" s="732"/>
      <c r="F4" s="732"/>
      <c r="G4" s="732"/>
      <c r="H4" s="732"/>
      <c r="I4" s="732"/>
      <c r="J4" s="732"/>
      <c r="K4" s="732"/>
    </row>
    <row r="5" spans="2:11" x14ac:dyDescent="0.2">
      <c r="B5" s="52" t="s">
        <v>8</v>
      </c>
      <c r="C5" s="18"/>
      <c r="D5" s="18"/>
      <c r="E5" s="18"/>
      <c r="F5" s="729" t="str">
        <f>Наименование_платы</f>
        <v>Децимальный номер платы</v>
      </c>
      <c r="G5" s="730"/>
      <c r="H5" s="730"/>
      <c r="I5" s="731"/>
      <c r="J5" s="47"/>
      <c r="K5" s="47"/>
    </row>
    <row r="6" spans="2:11" x14ac:dyDescent="0.2">
      <c r="B6" s="52" t="s">
        <v>35</v>
      </c>
      <c r="C6" s="18"/>
      <c r="D6" s="18"/>
      <c r="E6" s="18"/>
      <c r="F6" s="726">
        <f>П</f>
        <v>145</v>
      </c>
      <c r="G6" s="727"/>
      <c r="H6" s="727"/>
      <c r="I6" s="728"/>
      <c r="J6" s="8"/>
      <c r="K6" s="2"/>
    </row>
    <row r="7" spans="2:11" x14ac:dyDescent="0.2">
      <c r="B7" s="733" t="s">
        <v>489</v>
      </c>
      <c r="C7" s="734"/>
      <c r="D7" s="734"/>
      <c r="E7" s="735"/>
      <c r="F7" s="726">
        <f>БЛэк</f>
        <v>1</v>
      </c>
      <c r="G7" s="727"/>
      <c r="H7" s="727"/>
      <c r="I7" s="728"/>
      <c r="J7" s="8"/>
      <c r="K7" s="2"/>
    </row>
    <row r="8" spans="2:11" x14ac:dyDescent="0.2">
      <c r="B8" s="733" t="s">
        <v>330</v>
      </c>
      <c r="C8" s="734"/>
      <c r="D8" s="734"/>
      <c r="E8" s="735"/>
      <c r="F8" s="726">
        <f>1-INT(Электроконтроль/4)</f>
        <v>1</v>
      </c>
      <c r="G8" s="727"/>
      <c r="H8" s="727"/>
      <c r="I8" s="728"/>
      <c r="J8" s="8"/>
      <c r="K8" s="2"/>
    </row>
    <row r="9" spans="2:11" x14ac:dyDescent="0.2">
      <c r="B9" s="494" t="s">
        <v>490</v>
      </c>
      <c r="C9" s="495"/>
      <c r="D9" s="495"/>
      <c r="E9" s="496"/>
      <c r="F9" s="726">
        <f>ROUNDUP(П/БЛэк,0)</f>
        <v>145</v>
      </c>
      <c r="G9" s="727"/>
      <c r="H9" s="727"/>
      <c r="I9" s="728"/>
      <c r="J9" s="8"/>
      <c r="K9" s="2"/>
    </row>
    <row r="10" spans="2:11" x14ac:dyDescent="0.2">
      <c r="B10" s="733" t="s">
        <v>487</v>
      </c>
      <c r="C10" s="734"/>
      <c r="D10" s="734"/>
      <c r="E10" s="735"/>
      <c r="F10" s="726">
        <f>Расчет!G22</f>
        <v>1</v>
      </c>
      <c r="G10" s="727"/>
      <c r="H10" s="727"/>
      <c r="I10" s="728"/>
      <c r="J10" s="8"/>
      <c r="K10" s="2"/>
    </row>
    <row r="11" spans="2:11" x14ac:dyDescent="0.2">
      <c r="B11" s="52" t="s">
        <v>488</v>
      </c>
      <c r="C11" s="18"/>
      <c r="D11" s="18"/>
      <c r="E11" s="18"/>
      <c r="F11" s="726">
        <f>Расчет!G21</f>
        <v>600</v>
      </c>
      <c r="G11" s="727"/>
      <c r="H11" s="727"/>
      <c r="I11" s="728"/>
      <c r="J11" s="47"/>
      <c r="K11" s="47"/>
    </row>
    <row r="13" spans="2:11" ht="22.9" customHeight="1" x14ac:dyDescent="0.2">
      <c r="B13" s="721" t="s">
        <v>223</v>
      </c>
      <c r="C13" s="722"/>
      <c r="D13" s="722"/>
      <c r="E13" s="722"/>
      <c r="F13" s="722"/>
      <c r="G13" s="722"/>
      <c r="H13" s="722"/>
      <c r="I13" s="722"/>
      <c r="J13" s="722"/>
      <c r="K13" s="722"/>
    </row>
    <row r="14" spans="2:11" ht="18.75" x14ac:dyDescent="0.35">
      <c r="B14" s="63" t="s">
        <v>37</v>
      </c>
      <c r="C14" s="600" t="s">
        <v>331</v>
      </c>
      <c r="D14" s="600"/>
      <c r="E14" s="600"/>
      <c r="F14" s="600"/>
      <c r="G14" s="600"/>
      <c r="H14" s="600"/>
      <c r="I14" s="600"/>
      <c r="J14" s="600"/>
      <c r="K14" s="273">
        <v>270.61</v>
      </c>
    </row>
    <row r="15" spans="2:11" ht="15.75" x14ac:dyDescent="0.25">
      <c r="B15" s="63" t="s">
        <v>332</v>
      </c>
      <c r="C15" s="738" t="s">
        <v>333</v>
      </c>
      <c r="D15" s="739"/>
      <c r="E15" s="739"/>
      <c r="F15" s="739"/>
      <c r="G15" s="739"/>
      <c r="H15" s="739"/>
      <c r="I15" s="739"/>
      <c r="J15" s="740"/>
      <c r="K15" s="273">
        <f>Цнч</f>
        <v>692.66</v>
      </c>
    </row>
    <row r="16" spans="2:11" ht="15.75" x14ac:dyDescent="0.25">
      <c r="B16" s="63" t="s">
        <v>38</v>
      </c>
      <c r="C16" s="591" t="s">
        <v>45</v>
      </c>
      <c r="D16" s="592"/>
      <c r="E16" s="592"/>
      <c r="F16" s="592"/>
      <c r="G16" s="592"/>
      <c r="H16" s="592"/>
      <c r="I16" s="592"/>
      <c r="J16" s="593"/>
      <c r="K16" s="6">
        <v>1.2</v>
      </c>
    </row>
    <row r="17" spans="2:13" ht="15.75" x14ac:dyDescent="0.25">
      <c r="B17" s="63" t="s">
        <v>39</v>
      </c>
      <c r="C17" s="600" t="s">
        <v>486</v>
      </c>
      <c r="D17" s="600"/>
      <c r="E17" s="600"/>
      <c r="F17" s="600"/>
      <c r="G17" s="600"/>
      <c r="H17" s="600"/>
      <c r="I17" s="600"/>
      <c r="J17" s="600"/>
      <c r="K17" s="6">
        <f>$F$6</f>
        <v>145</v>
      </c>
    </row>
    <row r="18" spans="2:13" ht="15.75" hidden="1" x14ac:dyDescent="0.25">
      <c r="B18" s="63" t="s">
        <v>485</v>
      </c>
      <c r="C18" s="601" t="s">
        <v>486</v>
      </c>
      <c r="D18" s="723"/>
      <c r="E18" s="723"/>
      <c r="F18" s="723"/>
      <c r="G18" s="723"/>
      <c r="H18" s="723"/>
      <c r="I18" s="723"/>
      <c r="J18" s="724"/>
      <c r="K18" s="6"/>
    </row>
    <row r="19" spans="2:13" ht="15.75" x14ac:dyDescent="0.25">
      <c r="B19" s="63" t="s">
        <v>40</v>
      </c>
      <c r="C19" s="745" t="s">
        <v>46</v>
      </c>
      <c r="D19" s="745"/>
      <c r="E19" s="745"/>
      <c r="F19" s="745"/>
      <c r="G19" s="745"/>
      <c r="H19" s="745"/>
      <c r="I19" s="745"/>
      <c r="J19" s="745"/>
      <c r="K19" s="7">
        <f>$F$10</f>
        <v>1</v>
      </c>
    </row>
    <row r="20" spans="2:13" ht="34.9" customHeight="1" x14ac:dyDescent="0.25">
      <c r="B20" s="63" t="s">
        <v>41</v>
      </c>
      <c r="C20" s="737" t="s">
        <v>48</v>
      </c>
      <c r="D20" s="737"/>
      <c r="E20" s="737"/>
      <c r="F20" s="737"/>
      <c r="G20" s="737"/>
      <c r="H20" s="737"/>
      <c r="I20" s="737"/>
      <c r="J20" s="737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37" t="s">
        <v>334</v>
      </c>
      <c r="D21" s="737"/>
      <c r="E21" s="737"/>
      <c r="F21" s="737"/>
      <c r="G21" s="737"/>
      <c r="H21" s="737"/>
      <c r="I21" s="737"/>
      <c r="J21" s="737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52" t="s">
        <v>224</v>
      </c>
      <c r="C24" s="752"/>
      <c r="D24" s="752"/>
      <c r="E24" s="752"/>
      <c r="F24" s="752"/>
      <c r="G24" s="752"/>
      <c r="H24" s="752"/>
      <c r="I24" s="752"/>
      <c r="J24" s="752"/>
      <c r="K24" s="752"/>
    </row>
    <row r="25" spans="2:13" x14ac:dyDescent="0.2">
      <c r="B25" s="749" t="s">
        <v>43</v>
      </c>
      <c r="C25" s="750"/>
      <c r="D25" s="750"/>
      <c r="E25" s="750"/>
      <c r="F25" s="750"/>
      <c r="G25" s="750"/>
      <c r="H25" s="750"/>
      <c r="I25" s="750"/>
      <c r="J25" s="750"/>
      <c r="K25" s="751"/>
    </row>
    <row r="26" spans="2:13" ht="36.6" customHeight="1" x14ac:dyDescent="0.25">
      <c r="B26" s="736" t="s">
        <v>335</v>
      </c>
      <c r="C26" s="737"/>
      <c r="D26" s="737"/>
      <c r="E26" s="737"/>
      <c r="F26" s="737"/>
      <c r="G26" s="737"/>
      <c r="H26" s="737"/>
      <c r="I26" s="737"/>
      <c r="J26" s="737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42" t="s">
        <v>44</v>
      </c>
      <c r="C27" s="743"/>
      <c r="D27" s="743"/>
      <c r="E27" s="743"/>
      <c r="F27" s="743"/>
      <c r="G27" s="743"/>
      <c r="H27" s="743"/>
      <c r="I27" s="743"/>
      <c r="J27" s="743"/>
      <c r="K27" s="744"/>
    </row>
    <row r="28" spans="2:13" ht="16.149999999999999" customHeight="1" thickBot="1" x14ac:dyDescent="0.25">
      <c r="B28" s="746" t="s">
        <v>491</v>
      </c>
      <c r="C28" s="747"/>
      <c r="D28" s="747"/>
      <c r="E28" s="747"/>
      <c r="F28" s="747"/>
      <c r="G28" s="747"/>
      <c r="H28" s="747"/>
      <c r="I28" s="747"/>
      <c r="J28" s="748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41" t="s">
        <v>484</v>
      </c>
      <c r="C31" s="741"/>
      <c r="D31" s="741"/>
      <c r="E31" s="741"/>
      <c r="F31" s="741"/>
      <c r="G31" s="741"/>
      <c r="H31" s="741"/>
      <c r="I31" s="741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42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62" t="s">
        <v>433</v>
      </c>
      <c r="C3" s="762"/>
      <c r="D3" s="762"/>
      <c r="E3" s="762"/>
      <c r="F3" s="762"/>
      <c r="G3" s="762"/>
      <c r="H3" s="762"/>
      <c r="I3" s="762"/>
      <c r="J3" s="762"/>
    </row>
    <row r="4" spans="2:13" ht="12.75" x14ac:dyDescent="0.2">
      <c r="B4" s="76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62"/>
      <c r="D4" s="762"/>
      <c r="E4" s="762"/>
      <c r="F4" s="762"/>
      <c r="G4" s="762"/>
      <c r="H4" s="762"/>
      <c r="I4" s="762"/>
      <c r="J4" s="762"/>
    </row>
    <row r="5" spans="2:13" ht="12.75" x14ac:dyDescent="0.2">
      <c r="B5" s="762" t="str">
        <f>Номер_письма</f>
        <v>Номер заказа от дата</v>
      </c>
      <c r="C5" s="762"/>
      <c r="D5" s="762"/>
      <c r="E5" s="762"/>
      <c r="F5" s="762"/>
      <c r="G5" s="762"/>
      <c r="H5" s="762"/>
      <c r="I5" s="762"/>
      <c r="J5" s="76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6" t="s">
        <v>50</v>
      </c>
      <c r="C9" s="763" t="s">
        <v>70</v>
      </c>
      <c r="D9" s="756" t="s">
        <v>70</v>
      </c>
      <c r="E9" s="756" t="s">
        <v>440</v>
      </c>
      <c r="F9" s="756"/>
      <c r="G9" s="756" t="s">
        <v>71</v>
      </c>
      <c r="H9" s="756" t="s">
        <v>261</v>
      </c>
      <c r="I9" s="756" t="s">
        <v>437</v>
      </c>
      <c r="J9" s="756" t="s">
        <v>436</v>
      </c>
    </row>
    <row r="10" spans="2:13" ht="24" customHeight="1" x14ac:dyDescent="0.2">
      <c r="B10" s="756"/>
      <c r="C10" s="764"/>
      <c r="D10" s="756"/>
      <c r="E10" s="448" t="s">
        <v>441</v>
      </c>
      <c r="F10" s="448" t="s">
        <v>442</v>
      </c>
      <c r="G10" s="756"/>
      <c r="H10" s="756"/>
      <c r="I10" s="756"/>
      <c r="J10" s="75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82</v>
      </c>
      <c r="J14" s="194">
        <f t="shared" si="1"/>
        <v>321.231064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490</v>
      </c>
      <c r="J19" s="194">
        <f t="shared" si="1"/>
        <v>167.96075450000001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224</v>
      </c>
      <c r="J21" s="194">
        <f t="shared" si="1"/>
        <v>592.31874240000013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190</v>
      </c>
      <c r="J22" s="194">
        <f t="shared" si="1"/>
        <v>189.80054940000002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241.53</v>
      </c>
      <c r="J27" s="194">
        <f t="shared" si="1"/>
        <v>1466.5823814180003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36</v>
      </c>
      <c r="J28" s="194">
        <f t="shared" si="1"/>
        <v>141.02827199999999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88.8</v>
      </c>
      <c r="J29" s="194">
        <f t="shared" si="1"/>
        <v>140.88724372799999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470.02</v>
      </c>
      <c r="J30" s="194">
        <f t="shared" si="1"/>
        <v>276.19211835599998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501.46</v>
      </c>
      <c r="J32" s="194">
        <f t="shared" si="1"/>
        <v>834.88932896599999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584.27</v>
      </c>
      <c r="J34" s="194">
        <f t="shared" si="1"/>
        <v>858.31863001500005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1349.5</v>
      </c>
      <c r="J35" s="194">
        <f t="shared" si="1"/>
        <v>2378.9706633000005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1169.76</v>
      </c>
      <c r="J36" s="194">
        <f t="shared" si="1"/>
        <v>515.52884829600009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1495.95</v>
      </c>
      <c r="J37" s="194">
        <f t="shared" si="1"/>
        <v>2563.8866397375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254.56</v>
      </c>
      <c r="J39" s="194">
        <f t="shared" si="1"/>
        <v>473.68262603200003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3526.54</v>
      </c>
      <c r="J44" s="194">
        <f t="shared" si="1"/>
        <v>621.6773029236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202</v>
      </c>
      <c r="J45" s="194">
        <f t="shared" si="1"/>
        <v>15.82650608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7493.26</v>
      </c>
      <c r="J46" s="194">
        <f t="shared" si="1"/>
        <v>1687.8829664774003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21672.234740580199</v>
      </c>
    </row>
    <row r="50" spans="2:14" x14ac:dyDescent="0.2">
      <c r="B50" s="756" t="s">
        <v>50</v>
      </c>
      <c r="C50" s="756" t="s">
        <v>70</v>
      </c>
      <c r="D50" s="756" t="s">
        <v>70</v>
      </c>
      <c r="E50" s="756" t="s">
        <v>440</v>
      </c>
      <c r="F50" s="756"/>
      <c r="G50" s="756" t="s">
        <v>71</v>
      </c>
      <c r="H50" s="756" t="s">
        <v>261</v>
      </c>
      <c r="I50" s="756" t="s">
        <v>437</v>
      </c>
      <c r="J50" s="756" t="s">
        <v>436</v>
      </c>
      <c r="M50" s="320"/>
    </row>
    <row r="51" spans="2:14" ht="33.75" x14ac:dyDescent="0.2">
      <c r="B51" s="756"/>
      <c r="C51" s="756"/>
      <c r="D51" s="756"/>
      <c r="E51" s="448" t="s">
        <v>434</v>
      </c>
      <c r="F51" s="448" t="s">
        <v>435</v>
      </c>
      <c r="G51" s="756"/>
      <c r="H51" s="756"/>
      <c r="I51" s="756"/>
      <c r="J51" s="75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364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655.89</v>
      </c>
      <c r="J55" s="194">
        <f t="shared" si="2"/>
        <v>3211.7719903500001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2713.8</v>
      </c>
      <c r="J57" s="194">
        <f t="shared" si="2"/>
        <v>34019.779960320004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2713.8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2713.8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143.68</v>
      </c>
      <c r="J61" s="194">
        <f>I61*G61</f>
        <v>1758.9359479999998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185.78</v>
      </c>
      <c r="J62" s="194">
        <f t="shared" si="2"/>
        <v>2274.3257267499998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45102.710501772002</v>
      </c>
    </row>
    <row r="64" spans="2:14" x14ac:dyDescent="0.2">
      <c r="B64" s="756" t="s">
        <v>50</v>
      </c>
      <c r="C64" s="756" t="s">
        <v>70</v>
      </c>
      <c r="D64" s="756" t="s">
        <v>70</v>
      </c>
      <c r="E64" s="756" t="s">
        <v>440</v>
      </c>
      <c r="F64" s="756"/>
      <c r="G64" s="756" t="s">
        <v>71</v>
      </c>
      <c r="H64" s="756" t="s">
        <v>261</v>
      </c>
      <c r="I64" s="756" t="s">
        <v>437</v>
      </c>
      <c r="J64" s="756" t="s">
        <v>436</v>
      </c>
    </row>
    <row r="65" spans="2:24" ht="10.15" customHeight="1" x14ac:dyDescent="0.2">
      <c r="B65" s="756"/>
      <c r="C65" s="756"/>
      <c r="D65" s="756"/>
      <c r="E65" s="448" t="s">
        <v>434</v>
      </c>
      <c r="F65" s="448" t="s">
        <v>435</v>
      </c>
      <c r="G65" s="756"/>
      <c r="H65" s="756"/>
      <c r="I65" s="756"/>
      <c r="J65" s="75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385.55</v>
      </c>
      <c r="J68" s="194">
        <f>I68*G68*IF(INDEX(тип_ст_таблица,FR)=B68,1,0)</f>
        <v>21749.380107839999</v>
      </c>
      <c r="N68" s="761" t="s">
        <v>537</v>
      </c>
      <c r="O68" s="761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21749.380107839999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6" t="s">
        <v>50</v>
      </c>
      <c r="C71" s="756" t="s">
        <v>70</v>
      </c>
      <c r="D71" s="756" t="s">
        <v>70</v>
      </c>
      <c r="E71" s="757" t="s">
        <v>440</v>
      </c>
      <c r="F71" s="758"/>
      <c r="G71" s="756" t="s">
        <v>71</v>
      </c>
      <c r="H71" s="756" t="s">
        <v>261</v>
      </c>
      <c r="I71" s="756" t="s">
        <v>437</v>
      </c>
      <c r="J71" s="756" t="s">
        <v>436</v>
      </c>
      <c r="N71" s="516" t="s">
        <v>536</v>
      </c>
      <c r="O71" s="516">
        <f>0.665*0.57</f>
        <v>0.37905</v>
      </c>
    </row>
    <row r="72" spans="2:24" x14ac:dyDescent="0.2">
      <c r="B72" s="756"/>
      <c r="C72" s="756"/>
      <c r="D72" s="756"/>
      <c r="E72" s="759"/>
      <c r="F72" s="760"/>
      <c r="G72" s="756"/>
      <c r="H72" s="756"/>
      <c r="I72" s="756"/>
      <c r="J72" s="756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941.45</v>
      </c>
      <c r="J83" s="194">
        <f t="shared" si="4"/>
        <v>46.101064817500003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3" t="s">
        <v>47</v>
      </c>
      <c r="E87" s="754"/>
      <c r="F87" s="754"/>
      <c r="G87" s="754"/>
      <c r="H87" s="754"/>
      <c r="I87" s="755"/>
      <c r="J87" s="91">
        <f>масс_мат_всего+лист_мат_всего+ст_всего+доп_мат_всего</f>
        <v>89484.272968398698</v>
      </c>
    </row>
    <row r="88" spans="2:24" x14ac:dyDescent="0.2">
      <c r="L88" s="489">
        <f>SUM(J74:J85)</f>
        <v>959.94761820650001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70"/>
      <c r="H2" s="770"/>
      <c r="I2" s="195"/>
    </row>
    <row r="3" spans="1:10" x14ac:dyDescent="0.2">
      <c r="A3" s="771" t="s">
        <v>96</v>
      </c>
      <c r="B3" s="771"/>
      <c r="C3" s="771"/>
      <c r="D3" s="771"/>
      <c r="E3" s="771"/>
      <c r="F3" s="771"/>
      <c r="G3" s="771"/>
      <c r="H3" s="771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63" t="s">
        <v>50</v>
      </c>
      <c r="B5" s="763" t="s">
        <v>70</v>
      </c>
      <c r="C5" s="763" t="s">
        <v>70</v>
      </c>
      <c r="D5" s="763" t="s">
        <v>262</v>
      </c>
      <c r="E5" s="763" t="s">
        <v>71</v>
      </c>
      <c r="F5" s="763" t="s">
        <v>261</v>
      </c>
      <c r="G5" s="763" t="s">
        <v>438</v>
      </c>
      <c r="H5" s="763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64"/>
      <c r="B9" s="764"/>
      <c r="C9" s="764"/>
      <c r="D9" s="764"/>
      <c r="E9" s="764"/>
      <c r="F9" s="764"/>
      <c r="G9" s="764"/>
      <c r="H9" s="764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1102.9000000000001</v>
      </c>
      <c r="H11" s="203">
        <f>E11*G11</f>
        <v>1262.500659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384.29</v>
      </c>
      <c r="H12" s="203">
        <f>E12*G12</f>
        <v>188.52883109999999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1517.7423712499999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9" t="s">
        <v>231</v>
      </c>
      <c r="B17" s="769"/>
      <c r="C17" s="769"/>
      <c r="D17" s="769"/>
      <c r="E17" s="769"/>
      <c r="F17" s="769"/>
      <c r="G17" s="769"/>
      <c r="H17" s="769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63" t="s">
        <v>50</v>
      </c>
      <c r="B19" s="763" t="s">
        <v>70</v>
      </c>
      <c r="C19" s="763" t="s">
        <v>70</v>
      </c>
      <c r="D19" s="763" t="s">
        <v>403</v>
      </c>
      <c r="E19" s="763" t="s">
        <v>71</v>
      </c>
      <c r="F19" s="763" t="s">
        <v>261</v>
      </c>
      <c r="G19" s="763" t="s">
        <v>438</v>
      </c>
      <c r="H19" s="763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64"/>
      <c r="B23" s="764"/>
      <c r="C23" s="764"/>
      <c r="D23" s="764"/>
      <c r="E23" s="764"/>
      <c r="F23" s="764"/>
      <c r="G23" s="764"/>
      <c r="H23" s="764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364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655.89</v>
      </c>
      <c r="H27" s="203">
        <f t="shared" si="0"/>
        <v>119.17521299999999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1102.9000000000001</v>
      </c>
      <c r="H29" s="203">
        <f t="shared" si="0"/>
        <v>561.11140399999999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384.29</v>
      </c>
      <c r="H30" s="203">
        <f t="shared" si="0"/>
        <v>83.790591599999999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1317.31177224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9" t="s">
        <v>100</v>
      </c>
      <c r="B35" s="769"/>
      <c r="C35" s="769"/>
      <c r="D35" s="769"/>
      <c r="E35" s="769"/>
      <c r="F35" s="769"/>
      <c r="G35" s="769"/>
      <c r="H35" s="769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63" t="s">
        <v>50</v>
      </c>
      <c r="B37" s="763" t="s">
        <v>70</v>
      </c>
      <c r="C37" s="763" t="s">
        <v>70</v>
      </c>
      <c r="D37" s="763" t="s">
        <v>262</v>
      </c>
      <c r="E37" s="763" t="s">
        <v>71</v>
      </c>
      <c r="F37" s="763" t="s">
        <v>261</v>
      </c>
      <c r="G37" s="763" t="s">
        <v>438</v>
      </c>
      <c r="H37" s="763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64"/>
      <c r="B41" s="764"/>
      <c r="C41" s="764"/>
      <c r="D41" s="764"/>
      <c r="E41" s="764"/>
      <c r="F41" s="764"/>
      <c r="G41" s="764"/>
      <c r="H41" s="764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1265.23</v>
      </c>
      <c r="H43" s="203">
        <f>E43*G43</f>
        <v>7789.2262419048002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7789.2262419048002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2186.38</v>
      </c>
      <c r="H46" s="203">
        <f>E46*G46</f>
        <v>729.0924381340601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729.0924381340601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2332.39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9" t="s">
        <v>391</v>
      </c>
      <c r="B55" s="769"/>
      <c r="C55" s="769"/>
      <c r="D55" s="769"/>
      <c r="E55" s="769"/>
      <c r="F55" s="769"/>
      <c r="G55" s="769"/>
      <c r="H55" s="769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63" t="s">
        <v>50</v>
      </c>
      <c r="B57" s="763" t="s">
        <v>70</v>
      </c>
      <c r="C57" s="763" t="s">
        <v>70</v>
      </c>
      <c r="D57" s="763" t="s">
        <v>365</v>
      </c>
      <c r="E57" s="763" t="s">
        <v>71</v>
      </c>
      <c r="F57" s="763" t="s">
        <v>261</v>
      </c>
      <c r="G57" s="763" t="s">
        <v>438</v>
      </c>
      <c r="H57" s="763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64"/>
      <c r="B61" s="764"/>
      <c r="C61" s="764"/>
      <c r="D61" s="764"/>
      <c r="E61" s="764"/>
      <c r="F61" s="764"/>
      <c r="G61" s="764"/>
      <c r="H61" s="764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627.61</v>
      </c>
      <c r="H63" s="207">
        <f>E63*G63</f>
        <v>160.99168667889998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698.51989597390002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68" t="s">
        <v>623</v>
      </c>
      <c r="B67" s="768"/>
      <c r="C67" s="768"/>
      <c r="D67" s="768"/>
      <c r="E67" s="768"/>
      <c r="F67" s="768"/>
      <c r="G67" s="768"/>
      <c r="H67" s="768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IF(frezcorner=2,nib*0.128/D76,nib*Рп*0.1/D76*frezcorner)*N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9" t="s">
        <v>102</v>
      </c>
      <c r="B79" s="769"/>
      <c r="C79" s="769"/>
      <c r="D79" s="769"/>
      <c r="E79" s="769"/>
      <c r="F79" s="769"/>
      <c r="G79" s="769"/>
      <c r="H79" s="769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63" t="s">
        <v>50</v>
      </c>
      <c r="B81" s="763" t="s">
        <v>70</v>
      </c>
      <c r="C81" s="763" t="s">
        <v>70</v>
      </c>
      <c r="D81" s="763" t="s">
        <v>365</v>
      </c>
      <c r="E81" s="763" t="s">
        <v>71</v>
      </c>
      <c r="F81" s="763" t="s">
        <v>261</v>
      </c>
      <c r="G81" s="763" t="s">
        <v>438</v>
      </c>
      <c r="H81" s="763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64"/>
      <c r="B85" s="764"/>
      <c r="C85" s="764"/>
      <c r="D85" s="764"/>
      <c r="E85" s="764"/>
      <c r="F85" s="764"/>
      <c r="G85" s="764"/>
      <c r="H85" s="764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705.42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5" t="s">
        <v>47</v>
      </c>
      <c r="D97" s="765"/>
      <c r="E97" s="765"/>
      <c r="F97" s="765"/>
      <c r="G97" s="766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110557.33058984585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13940.029621447131</v>
      </c>
      <c r="K100" s="53">
        <f>Материалы_всего-J100</f>
        <v>96617.300968398718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6" t="s">
        <v>570</v>
      </c>
      <c r="B3" s="776"/>
      <c r="C3" s="776"/>
      <c r="D3" s="776"/>
      <c r="E3" s="776"/>
      <c r="G3" s="518" t="s">
        <v>545</v>
      </c>
    </row>
    <row r="4" spans="1:7" ht="15.75" x14ac:dyDescent="0.25">
      <c r="A4" s="776" t="s">
        <v>571</v>
      </c>
      <c r="B4" s="776"/>
      <c r="C4" s="776"/>
      <c r="D4" s="776"/>
      <c r="E4" s="776"/>
      <c r="G4" s="518">
        <v>1.1000000000000001</v>
      </c>
    </row>
    <row r="6" spans="1:7" x14ac:dyDescent="0.2">
      <c r="A6" s="772" t="s">
        <v>112</v>
      </c>
      <c r="B6" s="774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3"/>
      <c r="B7" s="775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8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8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8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8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8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8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8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8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8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8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8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8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7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7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7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7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7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7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7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7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7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7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7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7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7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7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7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G20:G31"/>
    <mergeCell ref="F77:F79"/>
    <mergeCell ref="F81:F83"/>
    <mergeCell ref="F84:F86"/>
    <mergeCell ref="F88:F90"/>
    <mergeCell ref="A6:A7"/>
    <mergeCell ref="B6:B7"/>
    <mergeCell ref="A3:E3"/>
    <mergeCell ref="A4:E4"/>
    <mergeCell ref="F92:F94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62" t="s">
        <v>67</v>
      </c>
      <c r="D2" s="762"/>
      <c r="E2" s="762"/>
      <c r="F2" s="762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2019 г. ",ФОТнч," руб.")</f>
        <v>Утвержденная 310 ВП МО РФ стоимость 1 нормочаса в ООО МПП в 2019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62" t="s">
        <v>560</v>
      </c>
      <c r="B4" s="762"/>
      <c r="C4" s="762"/>
      <c r="D4" s="399"/>
    </row>
    <row r="5" spans="1:8" x14ac:dyDescent="0.2">
      <c r="A5" s="76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62"/>
      <c r="C5" s="762"/>
      <c r="D5" s="49"/>
    </row>
    <row r="6" spans="1:8" x14ac:dyDescent="0.2">
      <c r="A6" s="762" t="str">
        <f>Номер_письма</f>
        <v>Номер заказа от дата</v>
      </c>
      <c r="B6" s="762"/>
      <c r="C6" s="76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111109.22811956602</v>
      </c>
      <c r="F11" s="491">
        <f ca="1">H11-C11</f>
        <v>-73.755862107325811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33999.423804587204</v>
      </c>
      <c r="F12" s="491">
        <f t="shared" ref="F12:F17" ca="1" si="0">H12-C12</f>
        <v>-22.569293804845074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130664.45226860963</v>
      </c>
      <c r="F13" s="491">
        <f t="shared" ca="1" si="0"/>
        <v>-86.736893838213291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110557.33058984585</v>
      </c>
      <c r="D14" s="491"/>
      <c r="F14" s="491">
        <f t="shared" si="0"/>
        <v>0</v>
      </c>
      <c r="H14" s="400">
        <f>Материалы_всего</f>
        <v>110557.33058984585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386330.4347826087</v>
      </c>
      <c r="F15" s="491">
        <f t="shared" ca="1" si="0"/>
        <v>-183.06204975035507</v>
      </c>
      <c r="H15" s="400">
        <f ca="1">SUM(H11:H14)</f>
        <v>386147.37273285835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57949.565217391311</v>
      </c>
      <c r="F16" s="491">
        <f t="shared" ca="1" si="0"/>
        <v>0</v>
      </c>
      <c r="H16" s="400">
        <f ca="1">Себестоимость*(Плановые_накопления/100)</f>
        <v>57949.565217391304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444280</v>
      </c>
      <c r="E17" s="62"/>
      <c r="F17" s="491">
        <f t="shared" ca="1" si="0"/>
        <v>-183.06204975035507</v>
      </c>
      <c r="H17" s="508">
        <f ca="1">H16+H15</f>
        <v>444096.93795024964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3064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629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629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9">
        <f>Дата_расчета</f>
        <v>0</v>
      </c>
      <c r="J9" s="789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7" t="s">
        <v>281</v>
      </c>
      <c r="B12" s="787"/>
      <c r="C12" s="787"/>
      <c r="D12" s="787"/>
      <c r="E12" s="787"/>
      <c r="F12" s="787"/>
      <c r="G12" s="787"/>
      <c r="H12" s="787"/>
      <c r="I12" s="787"/>
      <c r="J12" s="787"/>
      <c r="L12">
        <v>11</v>
      </c>
      <c r="M12" t="s">
        <v>322</v>
      </c>
    </row>
    <row r="13" spans="1:13" ht="18.75" x14ac:dyDescent="0.3">
      <c r="A13" s="787" t="s">
        <v>496</v>
      </c>
      <c r="B13" s="787"/>
      <c r="C13" s="787"/>
      <c r="D13" s="787"/>
      <c r="E13" s="787"/>
      <c r="F13" s="787"/>
      <c r="G13" s="787"/>
      <c r="H13" s="787"/>
      <c r="I13" s="787"/>
      <c r="J13" s="787"/>
      <c r="L13">
        <v>12</v>
      </c>
      <c r="M13" t="s">
        <v>323</v>
      </c>
    </row>
    <row r="14" spans="1:13" ht="18.75" x14ac:dyDescent="0.3">
      <c r="A14" s="787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7"/>
      <c r="C14" s="787"/>
      <c r="D14" s="787"/>
      <c r="E14" s="787"/>
      <c r="F14" s="787"/>
      <c r="G14" s="787"/>
      <c r="H14" s="787"/>
      <c r="I14" s="787"/>
      <c r="J14" s="787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91" t="str">
        <f>CONCATENATE("Составлено «",DAY(I9),"» ",M14," ",YEAR(I9)," года.")</f>
        <v>Составлено «0» января 1900 года.</v>
      </c>
      <c r="B16" s="791"/>
      <c r="C16" s="791"/>
      <c r="D16" s="791"/>
      <c r="E16" s="791"/>
      <c r="F16" s="791"/>
      <c r="G16" s="791"/>
      <c r="H16" s="791"/>
      <c r="I16" s="791"/>
      <c r="J16" s="791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7" t="s">
        <v>282</v>
      </c>
      <c r="B19" s="787"/>
      <c r="C19" s="787"/>
      <c r="D19" s="787"/>
      <c r="E19" s="787"/>
      <c r="F19" s="787"/>
      <c r="G19" s="787"/>
      <c r="H19" s="787"/>
      <c r="I19" s="787"/>
      <c r="J19" s="787"/>
    </row>
    <row r="20" spans="1:11" ht="35.450000000000003" customHeight="1" x14ac:dyDescent="0.3">
      <c r="A20" s="792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92"/>
      <c r="C20" s="792"/>
      <c r="D20" s="792"/>
      <c r="E20" s="792"/>
      <c r="F20" s="792"/>
      <c r="G20" s="792"/>
      <c r="H20" s="792"/>
      <c r="I20" s="792"/>
      <c r="J20" s="792"/>
    </row>
    <row r="21" spans="1:11" ht="18.75" x14ac:dyDescent="0.3">
      <c r="A21" s="788" t="str">
        <f>CONCATENATE("1.2. Заказчик работы: ",Заказчик)</f>
        <v>1.2. Заказчик работы: Заказчик</v>
      </c>
      <c r="B21" s="788"/>
      <c r="C21" s="788"/>
      <c r="D21" s="788"/>
      <c r="E21" s="788"/>
      <c r="F21" s="788"/>
      <c r="G21" s="788"/>
      <c r="H21" s="788"/>
      <c r="I21" s="788"/>
      <c r="J21" s="788"/>
    </row>
    <row r="22" spans="1:11" ht="18.75" x14ac:dyDescent="0.3">
      <c r="A22" s="788" t="s">
        <v>283</v>
      </c>
      <c r="B22" s="788"/>
      <c r="C22" s="788"/>
      <c r="D22" s="788"/>
      <c r="E22" s="788"/>
      <c r="F22" s="788"/>
      <c r="G22" s="788"/>
      <c r="H22" s="788"/>
      <c r="I22" s="788"/>
      <c r="J22" s="788"/>
    </row>
    <row r="23" spans="1:11" s="266" customFormat="1" ht="19.899999999999999" customHeight="1" x14ac:dyDescent="0.2">
      <c r="A23" s="790" t="s">
        <v>284</v>
      </c>
      <c r="B23" s="790"/>
      <c r="C23" s="790"/>
      <c r="D23" s="790"/>
      <c r="E23" s="790"/>
      <c r="F23" s="790"/>
      <c r="G23" s="790"/>
      <c r="H23" s="790"/>
      <c r="I23" s="790"/>
      <c r="J23" s="790"/>
      <c r="K23" s="409"/>
    </row>
    <row r="24" spans="1:11" s="266" customFormat="1" ht="19.899999999999999" customHeight="1" x14ac:dyDescent="0.2">
      <c r="A24" s="793" t="s">
        <v>285</v>
      </c>
      <c r="B24" s="793"/>
      <c r="C24" s="793"/>
      <c r="D24" s="793"/>
      <c r="E24" s="793"/>
      <c r="F24" s="793"/>
      <c r="G24" s="793"/>
      <c r="H24" s="793"/>
      <c r="I24" s="793"/>
      <c r="J24" s="793"/>
      <c r="K24" s="409"/>
    </row>
    <row r="25" spans="1:11" s="266" customFormat="1" ht="19.899999999999999" customHeight="1" x14ac:dyDescent="0.2">
      <c r="A25" s="793" t="s">
        <v>286</v>
      </c>
      <c r="B25" s="793"/>
      <c r="C25" s="793"/>
      <c r="D25" s="793"/>
      <c r="E25" s="793"/>
      <c r="F25" s="793"/>
      <c r="G25" s="793"/>
      <c r="H25" s="793"/>
      <c r="I25" s="793"/>
      <c r="J25" s="793"/>
      <c r="K25" s="409"/>
    </row>
    <row r="26" spans="1:11" ht="18.75" x14ac:dyDescent="0.3">
      <c r="A26" s="788" t="s">
        <v>287</v>
      </c>
      <c r="B26" s="788"/>
      <c r="C26" s="788"/>
      <c r="D26" s="788"/>
      <c r="E26" s="788"/>
      <c r="F26" s="788"/>
      <c r="G26" s="788"/>
      <c r="H26" s="788"/>
      <c r="I26" s="788"/>
      <c r="J26" s="788"/>
    </row>
    <row r="27" spans="1:11" ht="35.450000000000003" customHeight="1" x14ac:dyDescent="0.3">
      <c r="A27" s="792" t="s">
        <v>288</v>
      </c>
      <c r="B27" s="792"/>
      <c r="C27" s="792"/>
      <c r="D27" s="792"/>
      <c r="E27" s="792"/>
      <c r="F27" s="792"/>
      <c r="G27" s="792"/>
      <c r="H27" s="792"/>
      <c r="I27" s="792"/>
      <c r="J27" s="792"/>
    </row>
    <row r="28" spans="1:11" ht="18.75" x14ac:dyDescent="0.3">
      <c r="A28" s="781" t="s">
        <v>289</v>
      </c>
      <c r="B28" s="781"/>
      <c r="C28" s="781"/>
      <c r="D28" s="781"/>
      <c r="E28" s="781"/>
      <c r="F28" s="781"/>
      <c r="G28" s="781"/>
      <c r="H28" s="781"/>
      <c r="I28" s="781"/>
      <c r="J28" s="781"/>
    </row>
    <row r="29" spans="1:11" ht="18.75" x14ac:dyDescent="0.3">
      <c r="A29" s="781" t="str">
        <f>CONCATENATE("1.6.2. Гарантийное письмо (заявка) ",Номер_письма)</f>
        <v>1.6.2. Гарантийное письмо (заявка) Номер заказа от дата</v>
      </c>
      <c r="B29" s="781"/>
      <c r="C29" s="781"/>
      <c r="D29" s="781"/>
      <c r="E29" s="781"/>
      <c r="F29" s="781"/>
      <c r="G29" s="781"/>
      <c r="H29" s="781"/>
      <c r="I29" s="781"/>
      <c r="J29" s="781"/>
    </row>
    <row r="30" spans="1:11" ht="36.6" customHeight="1" x14ac:dyDescent="0.2">
      <c r="A30" s="786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6"/>
      <c r="C30" s="786"/>
      <c r="D30" s="786"/>
      <c r="E30" s="786"/>
      <c r="F30" s="786"/>
      <c r="G30" s="786"/>
      <c r="H30" s="786"/>
      <c r="I30" s="786"/>
      <c r="J30" s="786"/>
    </row>
    <row r="31" spans="1:11" ht="18.75" x14ac:dyDescent="0.3">
      <c r="A31" s="410"/>
    </row>
    <row r="32" spans="1:11" ht="18.75" x14ac:dyDescent="0.3">
      <c r="A32" s="787" t="s">
        <v>290</v>
      </c>
      <c r="B32" s="787"/>
      <c r="C32" s="787"/>
      <c r="D32" s="787"/>
      <c r="E32" s="787"/>
      <c r="F32" s="787"/>
      <c r="G32" s="787"/>
      <c r="H32" s="787"/>
      <c r="I32" s="787"/>
      <c r="J32" s="787"/>
    </row>
    <row r="33" spans="1:10" ht="18.75" x14ac:dyDescent="0.3">
      <c r="A33" s="788" t="s">
        <v>291</v>
      </c>
      <c r="B33" s="788"/>
      <c r="C33" s="788"/>
      <c r="D33" s="788"/>
      <c r="E33" s="788"/>
      <c r="F33" s="788"/>
      <c r="G33" s="788"/>
      <c r="H33" s="788"/>
      <c r="I33" s="788"/>
      <c r="J33" s="788"/>
    </row>
    <row r="34" spans="1:10" ht="18.75" x14ac:dyDescent="0.3">
      <c r="A34" s="788" t="s">
        <v>292</v>
      </c>
      <c r="B34" s="788"/>
      <c r="C34" s="788"/>
      <c r="D34" s="788"/>
      <c r="E34" s="788"/>
      <c r="F34" s="788"/>
      <c r="G34" s="788"/>
      <c r="H34" s="788"/>
      <c r="I34" s="788"/>
      <c r="J34" s="788"/>
    </row>
    <row r="35" spans="1:10" ht="18.75" x14ac:dyDescent="0.3">
      <c r="A35" s="781" t="s">
        <v>293</v>
      </c>
      <c r="B35" s="781"/>
      <c r="C35" s="781"/>
      <c r="D35" s="781"/>
      <c r="E35" s="781"/>
      <c r="F35" s="781"/>
      <c r="G35" s="781"/>
      <c r="H35" s="781"/>
      <c r="I35" s="781"/>
      <c r="J35" s="781"/>
    </row>
    <row r="36" spans="1:10" ht="43.15" customHeight="1" x14ac:dyDescent="0.2">
      <c r="A36" s="784" t="s">
        <v>294</v>
      </c>
      <c r="B36" s="784"/>
      <c r="C36" s="784"/>
      <c r="D36" s="784"/>
      <c r="E36" s="784"/>
      <c r="F36" s="784"/>
      <c r="G36" s="784"/>
      <c r="H36" s="784"/>
      <c r="I36" s="784"/>
      <c r="J36" s="784"/>
    </row>
    <row r="37" spans="1:10" ht="85.15" customHeight="1" x14ac:dyDescent="0.2">
      <c r="A37" s="786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6"/>
      <c r="C37" s="786"/>
      <c r="D37" s="786"/>
      <c r="E37" s="786"/>
      <c r="F37" s="786"/>
      <c r="G37" s="786"/>
      <c r="H37" s="786"/>
      <c r="I37" s="786"/>
      <c r="J37" s="786"/>
    </row>
    <row r="38" spans="1:10" ht="42" customHeight="1" x14ac:dyDescent="0.2">
      <c r="A38" s="784" t="s">
        <v>295</v>
      </c>
      <c r="B38" s="784"/>
      <c r="C38" s="784"/>
      <c r="D38" s="784"/>
      <c r="E38" s="784"/>
      <c r="F38" s="784"/>
      <c r="G38" s="784"/>
      <c r="H38" s="784"/>
      <c r="I38" s="784"/>
      <c r="J38" s="784"/>
    </row>
    <row r="39" spans="1:10" ht="64.900000000000006" customHeight="1" x14ac:dyDescent="0.2">
      <c r="A39" s="786" t="s">
        <v>526</v>
      </c>
      <c r="B39" s="786"/>
      <c r="C39" s="786"/>
      <c r="D39" s="786"/>
      <c r="E39" s="786"/>
      <c r="F39" s="786"/>
      <c r="G39" s="786"/>
      <c r="H39" s="786"/>
      <c r="I39" s="786"/>
      <c r="J39" s="786"/>
    </row>
    <row r="40" spans="1:10" ht="73.150000000000006" customHeight="1" x14ac:dyDescent="0.2">
      <c r="A40" s="786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6"/>
      <c r="C40" s="786"/>
      <c r="D40" s="786"/>
      <c r="E40" s="786"/>
      <c r="F40" s="786"/>
      <c r="G40" s="786"/>
      <c r="H40" s="786"/>
      <c r="I40" s="786"/>
      <c r="J40" s="786"/>
    </row>
    <row r="41" spans="1:10" ht="60" customHeight="1" x14ac:dyDescent="0.2">
      <c r="A41" s="784" t="s">
        <v>296</v>
      </c>
      <c r="B41" s="784"/>
      <c r="C41" s="784"/>
      <c r="D41" s="784"/>
      <c r="E41" s="784"/>
      <c r="F41" s="784"/>
      <c r="G41" s="784"/>
      <c r="H41" s="784"/>
      <c r="I41" s="784"/>
      <c r="J41" s="784"/>
    </row>
    <row r="42" spans="1:10" ht="78" customHeight="1" x14ac:dyDescent="0.2">
      <c r="A42" s="786" t="s">
        <v>297</v>
      </c>
      <c r="B42" s="786"/>
      <c r="C42" s="786"/>
      <c r="D42" s="786"/>
      <c r="E42" s="786"/>
      <c r="F42" s="786"/>
      <c r="G42" s="786"/>
      <c r="H42" s="786"/>
      <c r="I42" s="786"/>
      <c r="J42" s="786"/>
    </row>
    <row r="43" spans="1:10" ht="60.6" customHeight="1" x14ac:dyDescent="0.2">
      <c r="A43" s="784" t="s">
        <v>298</v>
      </c>
      <c r="B43" s="784"/>
      <c r="C43" s="784"/>
      <c r="D43" s="784"/>
      <c r="E43" s="784"/>
      <c r="F43" s="784"/>
      <c r="G43" s="784"/>
      <c r="H43" s="784"/>
      <c r="I43" s="784"/>
      <c r="J43" s="784"/>
    </row>
    <row r="44" spans="1:10" ht="57.6" customHeight="1" x14ac:dyDescent="0.3">
      <c r="A44" s="785" t="s">
        <v>299</v>
      </c>
      <c r="B44" s="785"/>
      <c r="C44" s="785"/>
      <c r="D44" s="785"/>
      <c r="E44" s="785"/>
      <c r="F44" s="785"/>
      <c r="G44" s="785"/>
      <c r="H44" s="785"/>
      <c r="I44" s="785"/>
      <c r="J44" s="785"/>
    </row>
    <row r="45" spans="1:10" ht="42.6" customHeight="1" x14ac:dyDescent="0.2">
      <c r="A45" s="784" t="s">
        <v>300</v>
      </c>
      <c r="B45" s="784"/>
      <c r="C45" s="784"/>
      <c r="D45" s="784"/>
      <c r="E45" s="784"/>
      <c r="F45" s="784"/>
      <c r="G45" s="784"/>
      <c r="H45" s="784"/>
      <c r="I45" s="784"/>
      <c r="J45" s="784"/>
    </row>
    <row r="46" spans="1:10" ht="44.45" customHeight="1" x14ac:dyDescent="0.2">
      <c r="A46" s="786" t="s">
        <v>301</v>
      </c>
      <c r="B46" s="786"/>
      <c r="C46" s="786"/>
      <c r="D46" s="786"/>
      <c r="E46" s="786"/>
      <c r="F46" s="786"/>
      <c r="G46" s="786"/>
      <c r="H46" s="786"/>
      <c r="I46" s="786"/>
      <c r="J46" s="786"/>
    </row>
    <row r="47" spans="1:10" ht="39" customHeight="1" x14ac:dyDescent="0.2">
      <c r="A47" s="786" t="s">
        <v>302</v>
      </c>
      <c r="B47" s="786"/>
      <c r="C47" s="786"/>
      <c r="D47" s="786"/>
      <c r="E47" s="786"/>
      <c r="F47" s="786"/>
      <c r="G47" s="786"/>
      <c r="H47" s="786"/>
      <c r="I47" s="786"/>
      <c r="J47" s="786"/>
    </row>
    <row r="48" spans="1:10" ht="18.75" x14ac:dyDescent="0.3">
      <c r="A48" s="787" t="s">
        <v>303</v>
      </c>
      <c r="B48" s="787"/>
      <c r="C48" s="787"/>
      <c r="D48" s="787"/>
      <c r="E48" s="787"/>
      <c r="F48" s="787"/>
      <c r="G48" s="787"/>
      <c r="H48" s="787"/>
      <c r="I48" s="787"/>
      <c r="J48" s="787"/>
    </row>
    <row r="49" spans="1:10" ht="66" customHeight="1" x14ac:dyDescent="0.2">
      <c r="A49" s="786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6"/>
      <c r="C49" s="786"/>
      <c r="D49" s="786"/>
      <c r="E49" s="786"/>
      <c r="F49" s="786"/>
      <c r="G49" s="786"/>
      <c r="H49" s="786"/>
      <c r="I49" s="786"/>
      <c r="J49" s="786"/>
    </row>
    <row r="50" spans="1:10" ht="18.75" x14ac:dyDescent="0.3">
      <c r="A50" s="411"/>
    </row>
    <row r="51" spans="1:10" ht="35.450000000000003" customHeight="1" x14ac:dyDescent="0.2">
      <c r="A51" s="780" t="s">
        <v>50</v>
      </c>
      <c r="B51" s="780"/>
      <c r="C51" s="780" t="s">
        <v>304</v>
      </c>
      <c r="D51" s="780"/>
      <c r="E51" s="780" t="s">
        <v>305</v>
      </c>
      <c r="F51" s="780"/>
      <c r="G51" s="780" t="s">
        <v>306</v>
      </c>
      <c r="H51" s="780"/>
      <c r="I51" s="780" t="s">
        <v>307</v>
      </c>
      <c r="J51" s="780"/>
    </row>
    <row r="52" spans="1:10" ht="18.75" x14ac:dyDescent="0.2">
      <c r="A52" s="780">
        <v>1</v>
      </c>
      <c r="B52" s="780"/>
      <c r="C52" s="780" t="str">
        <f>Наименование_платы</f>
        <v>Децимальный номер платы</v>
      </c>
      <c r="D52" s="780"/>
      <c r="E52" s="780">
        <f>П</f>
        <v>145</v>
      </c>
      <c r="F52" s="780"/>
      <c r="G52" s="783">
        <f ca="1">Цена_одной_без_НДС</f>
        <v>3064</v>
      </c>
      <c r="H52" s="783"/>
      <c r="I52" s="782">
        <f ca="1">Итого_сумма</f>
        <v>444252</v>
      </c>
      <c r="J52" s="78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1" t="s">
        <v>525</v>
      </c>
      <c r="B56" s="781"/>
      <c r="C56" s="781"/>
      <c r="D56" s="781"/>
      <c r="E56" s="781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63" t="s">
        <v>70</v>
      </c>
      <c r="C1" s="796" t="s">
        <v>440</v>
      </c>
      <c r="D1" s="797"/>
      <c r="E1" s="763" t="s">
        <v>71</v>
      </c>
      <c r="F1" s="763" t="s">
        <v>261</v>
      </c>
      <c r="G1" s="763" t="s">
        <v>437</v>
      </c>
      <c r="H1" s="763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64"/>
      <c r="C2" s="448" t="s">
        <v>434</v>
      </c>
      <c r="D2" s="448" t="s">
        <v>435</v>
      </c>
      <c r="E2" s="764"/>
      <c r="F2" s="764"/>
      <c r="G2" s="764"/>
      <c r="H2" s="764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2397.15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2408.61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2713.8</v>
      </c>
      <c r="H11" s="486">
        <f t="shared" si="1"/>
        <v>34019.779960320004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2575.71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2744.49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2895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626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2713.8</v>
      </c>
      <c r="H42" s="453">
        <f>SUM(H3:H41)</f>
        <v>34019.779960320004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2019-01-21T07:21:30Z</dcterms:modified>
</cp:coreProperties>
</file>