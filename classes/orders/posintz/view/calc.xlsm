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Y:\__ЦПП_общая\Конструкторские\"/>
    </mc:Choice>
  </mc:AlternateContent>
  <bookViews>
    <workbookView xWindow="-28920" yWindow="-120" windowWidth="23280" windowHeight="13200" tabRatio="815"/>
  </bookViews>
  <sheets>
    <sheet name="Расчет" sheetId="1" r:id="rId1"/>
    <sheet name="Коэфф" sheetId="2" r:id="rId2"/>
    <sheet name="ATG" sheetId="13" r:id="rId3"/>
    <sheet name="Материалы" sheetId="6" r:id="rId4"/>
    <sheet name="Калькуляция" sheetId="5" r:id="rId5"/>
    <sheet name="Текстолит" sheetId="14" r:id="rId6"/>
    <sheet name="Трудоемкости (внешняя)" sheetId="15" r:id="rId7"/>
  </sheets>
  <functionGroups builtInGroupCount="18"/>
  <externalReferences>
    <externalReference r:id="rId8"/>
    <externalReference r:id="rId9"/>
  </externalReferences>
  <definedNames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fullname">Расчет!$C$4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>ATG!$F$14</definedName>
    <definedName name="mark">Расчет!$G$12</definedName>
    <definedName name="marktype">Расчет!$G$12</definedName>
    <definedName name="mask">Расчет!$G$11</definedName>
    <definedName name="N">Расчет!$C$18</definedName>
    <definedName name="nib">Расчет!$C$17</definedName>
    <definedName name="numbers">Расчет!$C$7</definedName>
    <definedName name="nummask">Расчет!$G$10</definedName>
    <definedName name="Nз">ATG!$F$12</definedName>
    <definedName name="Nпл">ATG!$F$10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extolite">Расчет!$K$52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я_изготовления_шаблонов">Расчет!$K$24</definedName>
    <definedName name="Время_констр">Расчет!$C$19</definedName>
    <definedName name="Время_мастерплат_фрезеровки">Расчет!$K$48</definedName>
    <definedName name="Время_паспортизации_шаблонов">Расчет!$K$25</definedName>
    <definedName name="выбор_материала_табл">Текстолит!$B$2:$B$100</definedName>
    <definedName name="Выбор_материалов_ДПП">Текстолит!$B$41:$B$82</definedName>
    <definedName name="ГОР_ПОС">'Трудоемкости (внешняя)'!$D$50:$F$50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ЖЗПМ">'Трудоемкости (внешняя)'!$D$54:$F$55</definedName>
    <definedName name="_xlnm.Print_Titles" localSheetId="3">Материалы!$9:$9</definedName>
    <definedName name="Заготовительная_мп">'Трудоемкости (внешняя)'!$D$65:$F$67</definedName>
    <definedName name="Заказчик">Расчет!$C$4</definedName>
    <definedName name="Изготовление_мастер_плат_для_фрезерования">'Трудоемкости (внешняя)'!$D$11:$F$11</definedName>
    <definedName name="Изготовление_сумма">Расчет!$G$89</definedName>
    <definedName name="Изготовление_ФШ">Расчет!$C$20</definedName>
    <definedName name="Изготовление_ФШ_сумма">Расчет!$G$59:$G$59</definedName>
    <definedName name="Изготовление_шаблонов">'Трудоемкости (внешняя)'!$D$7:$F$7</definedName>
    <definedName name="Иммерсионное_золочение">'Трудоемкости (внешняя)'!$D$63:$F$63</definedName>
    <definedName name="индекс_заготовки">Расчет!$K$43</definedName>
    <definedName name="Итого_окончательное">Расчет!$G$91</definedName>
    <definedName name="Итого_сумма">Расчет!$G$90</definedName>
    <definedName name="К3">'Трудоемкости (внешняя)'!$B$1</definedName>
    <definedName name="К4">'Трудоемкости (внешняя)'!$B$2</definedName>
    <definedName name="К5">'Трудоемкости (внешняя)'!$B$3</definedName>
    <definedName name="калийдецианоауреат">Материалы!$I$123</definedName>
    <definedName name="КалькуляцияТаблица">Калькуляция!$A$11:$C$18</definedName>
    <definedName name="Квг" comment="Коэффициент_выхода_годных">Расчет!$C$48</definedName>
    <definedName name="КвгТабл">Коэфф!$G$14:$H$17</definedName>
    <definedName name="Класс_точности">Расчет!$C$10</definedName>
    <definedName name="Км" comment="Коэфф.сложности_маскирования__">Расчет!$C$49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воЛистовИзТЗ">Расчет!$K$55</definedName>
    <definedName name="Количество_слоев">Расчет!$C$11</definedName>
    <definedName name="Контроль_первичный">ATG!$F$11</definedName>
    <definedName name="Коп">ATG!$K$19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Расчет!$C$45</definedName>
    <definedName name="Коэффициэнты_толщины" comment="Таблица коэффициэнтов толщины">Коэфф!$D$14:$E$18</definedName>
    <definedName name="Кс">ATG!$K$22</definedName>
    <definedName name="КсерТабл">Коэфф!$A$9:$B$40</definedName>
    <definedName name="Кср" comment="Коэффициент срочности">Расчет!$C$46</definedName>
    <definedName name="КсрТабл">Коэфф!$D$28:$E$30</definedName>
    <definedName name="Кт" comment="Коэффициент_толщины_МПП">Расчет!$C$47</definedName>
    <definedName name="КтТабл">Коэфф!$D$14:$E$18</definedName>
    <definedName name="Кф" comment="Коэффициэнт сложности фрезеровки">Расчет!$G$16</definedName>
    <definedName name="ламели">Расчет!$G$17</definedName>
    <definedName name="Легенда">'Трудоемкости (внешняя)'!$D$58:$F$59</definedName>
    <definedName name="Листов_материала">Расчет!$G$24</definedName>
    <definedName name="Материалы_Legend">Материалы!$J$102</definedName>
    <definedName name="Материалы_Printar">Материалы!$J$102</definedName>
    <definedName name="Материалы_всего">Материалы!$J$127</definedName>
    <definedName name="Материалы_ГорПОС">Материалы!$J$107</definedName>
    <definedName name="Материалы_ЖМ">Материалы!$J$96</definedName>
    <definedName name="Материалы_золочение">Материалы!$J$125</definedName>
    <definedName name="Материалы_КМ">Материалы!$J$93</definedName>
    <definedName name="Материалы_МП" comment="стоимость материалов на производство мастерплаты">Материалы!$J$89</definedName>
    <definedName name="Материалы_основные">Материалы!$J$71</definedName>
    <definedName name="Материалы_ФМ">Материалы!$J$99</definedName>
    <definedName name="Материалы_ФШ">Материалы!$J$77</definedName>
    <definedName name="мп_пробивки_те">Расчет!$K$44</definedName>
    <definedName name="мп_проверки_те">Расчет!$K$45</definedName>
    <definedName name="МПП">Расчет!$K$22</definedName>
    <definedName name="Наименование_платы">Расчет!$C$6</definedName>
    <definedName name="Накладные_расходы">Расчет!$G$49</definedName>
    <definedName name="Накопления" localSheetId="4">Калькуляция!$C$16</definedName>
    <definedName name="НаценкаПКИ">Расчет!$G$51</definedName>
    <definedName name="Номер_письма">Расчет!$C$5</definedName>
    <definedName name="НомерТекстолитаИзТЗ1">Расчет!$K$56</definedName>
    <definedName name="НомерТекстолитаИзТЗ2">Расчет!$K$57</definedName>
    <definedName name="_xlnm.Print_Area" localSheetId="2">ATG!$B$1:$K$38</definedName>
    <definedName name="_xlnm.Print_Area" localSheetId="4">Калькуляция!$A$1:$C$31</definedName>
    <definedName name="_xlnm.Print_Area" localSheetId="3">Материалы!$B$1:$J$127</definedName>
    <definedName name="_xlnm.Print_Area" localSheetId="0">Расчет!$A$1:$G$95</definedName>
    <definedName name="_xlnm.Print_Area" localSheetId="6">'Трудоемкости (внешняя)'!$A$1:$F$86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Материалы!$J$112</definedName>
    <definedName name="Плановые_накопления">Расчет!$G$50</definedName>
    <definedName name="Плат_на_заготовке">Расчет!$C$17</definedName>
    <definedName name="Площадь_заготовок">Расчет!$C$51</definedName>
    <definedName name="Площадь_заготовок_оплачиваемая">Расчет!$C$52</definedName>
    <definedName name="Площадь_плат">Расчет!$C$50</definedName>
    <definedName name="Подготовка_сумма">Расчет!$G$65</definedName>
    <definedName name="Подготовка_ФШ">Расчет!$C$21</definedName>
    <definedName name="Поиск_материалов_в_базе">Материалы!$L$10:$L$124</definedName>
    <definedName name="Пробивка_ФШ_мп">'Трудоемкости (внешняя)'!$D$69:$F$71</definedName>
    <definedName name="Проверка__паспортизация__ретушь_ФШ">'Трудоемкости (внешняя)'!$D$9:$F$9</definedName>
    <definedName name="Рз" comment="Периметр заготовки">Расчет!$C$54</definedName>
    <definedName name="Рп" comment="Периметр_платы">Расчет!$C$53</definedName>
    <definedName name="Ручная_маркировка" localSheetId="6">'Трудоемкости (внешняя)'!$D$56:$F$56</definedName>
    <definedName name="Ручная_маркировка">Расчет!$G$13</definedName>
    <definedName name="Сверление__на_отверстие">'Трудоемкости (внешняя)'!$D$49:$F$49</definedName>
    <definedName name="Себестоимость" localSheetId="4">Калькуляция!$C$15</definedName>
    <definedName name="СЗПМ">'Трудоемкости (внешняя)'!$D$52:$F$53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Расчет!$G$48</definedName>
    <definedName name="Срок_изготовления">Расчет!$C$9</definedName>
    <definedName name="ст_тё">Расчет!$K$23</definedName>
    <definedName name="Стеклоткань" comment="Стеклоткань__кол.слоев">Расчет!$G$7</definedName>
    <definedName name="СтоимостьМатериаловДляЗолота">Материалы!$C$115:$J$124</definedName>
    <definedName name="СтоимостьМатериаловДляМаркировкиПринтар">Материалы!$C$101:$J$101</definedName>
    <definedName name="СтоимостьМатериаловДляМаркировкиФМ">Материалы!$C$98:$J$98</definedName>
    <definedName name="СтоимостьМатериаловДляМаскиЖМ">Материалы!$C$95:$J$95</definedName>
    <definedName name="СтоимостьМатериаловДляМаскиКМ">Материалы!$C$92:$J$92</definedName>
    <definedName name="СтоимостьМатериаловДляМП">Материалы!$C$81:$J$88</definedName>
    <definedName name="СтоимостьМатериаловДляПОС">Материалы!$C$105:$J$106</definedName>
    <definedName name="СтоимостьМатериаловДляФШ">Материалы!$C$74:$J$76</definedName>
    <definedName name="СтоимостьМатериаловПКИ">Материалы!$C$110:$J$111</definedName>
    <definedName name="СтоимостьОсновныхМатериалов">Материалы!$B$10:$J$127</definedName>
    <definedName name="Сумма__То">'Трудоемкости (внешняя)'!$D$47:$F$47</definedName>
    <definedName name="Сумма_на_слой">'Трудоемкости (внешняя)'!$D$25:$F$25</definedName>
    <definedName name="Текстолит">Текстолит!$A$2:$C$593</definedName>
    <definedName name="Текстолит1">Расчет!$K$53</definedName>
    <definedName name="Текстолит2">Расчет!$K$54</definedName>
    <definedName name="Технологический_контроль_мп">'Трудоемкости (внешняя)'!$D$75:$F$77</definedName>
    <definedName name="Технологический_контроль_пров_мп">'Трудоемкости (внешняя)'!$D$83:$F$86</definedName>
    <definedName name="тип_ст_таблица">Текстолит!$C$2:$C$135</definedName>
    <definedName name="ТипМаркировки">Расчет!$P$13</definedName>
    <definedName name="ТипМаски">Расчет!$G$11</definedName>
    <definedName name="То">Расчет!$K$51</definedName>
    <definedName name="Толщина_платы">Расчет!$G$9</definedName>
    <definedName name="Точек_Электроконтроля">Расчет!$G$21</definedName>
    <definedName name="Трпп">ATG!$F$13</definedName>
    <definedName name="Трудоемкости" localSheetId="6">'Трудоемкости (внешняя)'!$B$6:$F$85</definedName>
    <definedName name="Трудоемкости_все_7_столбцов">'Трудоемкости (внешняя)'!$A$1:$G$85</definedName>
    <definedName name="Трудоемкость_сверления">Расчет!$K$46</definedName>
    <definedName name="Трудоемкость_сверления_всех">Расчет!$K$47</definedName>
    <definedName name="труёмзол1пл">Расчет!$P$17</definedName>
    <definedName name="Тф">Расчет!$E$72</definedName>
    <definedName name="Тф1пл">Расчет!$K$49</definedName>
    <definedName name="Тф2пл">Расчет!$K$50</definedName>
    <definedName name="ФМ">'Трудоемкости (внешняя)'!$D$61:$F$62</definedName>
    <definedName name="ФОТнч" comment="Цена нормочаса ФОТ">Расчет!$G$47</definedName>
    <definedName name="ФПК" comment="Фрезеровка по контуру">Расчет!$G$15</definedName>
    <definedName name="Цена" localSheetId="4">Калькуляция!$C$17</definedName>
    <definedName name="Цена_вусего_без_НДС">Расчет!$G$90</definedName>
    <definedName name="Цена_одной_без_НДС">Расчет!$G$93</definedName>
    <definedName name="ЦеныНаМатериалыВсё">[1]!Всё</definedName>
    <definedName name="ЦНМПрайсНаМатериалы">[1]!ПрайсНаМатериалы</definedName>
    <definedName name="Цнч" comment="Цена нормочаса">Расчет!$G$52</definedName>
    <definedName name="Цэкатг" comment="Цена электроконтроля на ATG">ATG!$K$35</definedName>
    <definedName name="Чо1" comment="отверстий меньше 0.6">Расчет!$C$22</definedName>
    <definedName name="Чо2" comment="Отверстий больше 0.6">Расчет!$C$23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кспонирование_мп">'Трудоемкости (внешняя)'!$D$72:$F$74</definedName>
    <definedName name="Электроконтроль">Расчет!$G$19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6" i="6" l="1"/>
  <c r="K54" i="1"/>
  <c r="K53" i="1"/>
  <c r="K55" i="1"/>
  <c r="G24" i="1" l="1"/>
  <c r="K56" i="1"/>
  <c r="C24" i="1" s="1"/>
  <c r="F81" i="6"/>
  <c r="L92" i="6"/>
  <c r="L95" i="6"/>
  <c r="F84" i="6"/>
  <c r="H84" i="6"/>
  <c r="I84" i="6"/>
  <c r="L71" i="6"/>
  <c r="L70" i="6"/>
  <c r="L69" i="6"/>
  <c r="L68" i="6"/>
  <c r="L67" i="6"/>
  <c r="L65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F82" i="6"/>
  <c r="G84" i="6" l="1"/>
  <c r="J84" i="6" s="1"/>
  <c r="C84" i="6"/>
  <c r="L84" i="6"/>
  <c r="B3" i="6" l="1"/>
  <c r="E27" i="6"/>
  <c r="I27" i="6"/>
  <c r="C27" i="6"/>
  <c r="H27" i="6"/>
  <c r="I24" i="6"/>
  <c r="H24" i="6"/>
  <c r="E24" i="6"/>
  <c r="C24" i="6"/>
  <c r="F24" i="6"/>
  <c r="I16" i="6"/>
  <c r="C16" i="6"/>
  <c r="E16" i="6"/>
  <c r="H16" i="6"/>
  <c r="F16" i="6"/>
  <c r="C15" i="6"/>
  <c r="F15" i="6"/>
  <c r="E15" i="6"/>
  <c r="I15" i="6"/>
  <c r="H15" i="6"/>
  <c r="H12" i="6"/>
  <c r="C12" i="6"/>
  <c r="I12" i="6"/>
  <c r="F12" i="6"/>
  <c r="E12" i="6"/>
  <c r="G86" i="15" l="1"/>
  <c r="F86" i="15"/>
  <c r="E86" i="15"/>
  <c r="D86" i="15"/>
  <c r="C86" i="15"/>
  <c r="B86" i="15"/>
  <c r="A86" i="15"/>
  <c r="G85" i="15"/>
  <c r="F85" i="15"/>
  <c r="E85" i="15"/>
  <c r="D85" i="15"/>
  <c r="C85" i="15"/>
  <c r="A85" i="15"/>
  <c r="G84" i="15"/>
  <c r="F84" i="15"/>
  <c r="E84" i="15"/>
  <c r="D84" i="15"/>
  <c r="C84" i="15"/>
  <c r="B84" i="15"/>
  <c r="A84" i="15"/>
  <c r="G83" i="15"/>
  <c r="F83" i="15"/>
  <c r="E83" i="15"/>
  <c r="D83" i="15"/>
  <c r="C83" i="15"/>
  <c r="B83" i="15"/>
  <c r="A83" i="15"/>
  <c r="G82" i="15"/>
  <c r="F82" i="15"/>
  <c r="E82" i="15"/>
  <c r="D82" i="15"/>
  <c r="C82" i="15"/>
  <c r="B82" i="15"/>
  <c r="A82" i="15"/>
  <c r="G81" i="15"/>
  <c r="F81" i="15"/>
  <c r="E81" i="15"/>
  <c r="D81" i="15"/>
  <c r="C81" i="15"/>
  <c r="B81" i="15"/>
  <c r="A81" i="15"/>
  <c r="G80" i="15"/>
  <c r="F80" i="15"/>
  <c r="E80" i="15"/>
  <c r="D80" i="15"/>
  <c r="C80" i="15"/>
  <c r="B80" i="15"/>
  <c r="A80" i="15"/>
  <c r="G79" i="15"/>
  <c r="F79" i="15"/>
  <c r="E79" i="15"/>
  <c r="D79" i="15"/>
  <c r="C79" i="15"/>
  <c r="B79" i="15"/>
  <c r="A79" i="15"/>
  <c r="G78" i="15"/>
  <c r="F78" i="15"/>
  <c r="E78" i="15"/>
  <c r="D78" i="15"/>
  <c r="C78" i="15"/>
  <c r="B78" i="15"/>
  <c r="A78" i="15"/>
  <c r="G77" i="15"/>
  <c r="F77" i="15"/>
  <c r="E77" i="15"/>
  <c r="D77" i="15"/>
  <c r="C77" i="15"/>
  <c r="B77" i="15"/>
  <c r="A77" i="15"/>
  <c r="G76" i="15"/>
  <c r="F76" i="15"/>
  <c r="E76" i="15"/>
  <c r="D76" i="15"/>
  <c r="C76" i="15"/>
  <c r="B76" i="15"/>
  <c r="A76" i="15"/>
  <c r="G75" i="15"/>
  <c r="F75" i="15"/>
  <c r="E75" i="15"/>
  <c r="D75" i="15"/>
  <c r="C75" i="15"/>
  <c r="B75" i="15"/>
  <c r="A75" i="15"/>
  <c r="G74" i="15"/>
  <c r="F74" i="15"/>
  <c r="E74" i="15"/>
  <c r="D74" i="15"/>
  <c r="C74" i="15"/>
  <c r="B74" i="15"/>
  <c r="A74" i="15"/>
  <c r="G73" i="15"/>
  <c r="F73" i="15"/>
  <c r="E73" i="15"/>
  <c r="D73" i="15"/>
  <c r="C73" i="15"/>
  <c r="B73" i="15"/>
  <c r="A73" i="15"/>
  <c r="G72" i="15"/>
  <c r="F72" i="15"/>
  <c r="E72" i="15"/>
  <c r="D72" i="15"/>
  <c r="C72" i="15"/>
  <c r="B72" i="15"/>
  <c r="A72" i="15"/>
  <c r="G71" i="15"/>
  <c r="F71" i="15"/>
  <c r="E71" i="15"/>
  <c r="D71" i="15"/>
  <c r="C71" i="15"/>
  <c r="B71" i="15"/>
  <c r="A71" i="15"/>
  <c r="G70" i="15"/>
  <c r="F70" i="15"/>
  <c r="E70" i="15"/>
  <c r="D70" i="15"/>
  <c r="C70" i="15"/>
  <c r="B70" i="15"/>
  <c r="A70" i="15"/>
  <c r="G69" i="15"/>
  <c r="F69" i="15"/>
  <c r="E69" i="15"/>
  <c r="D69" i="15"/>
  <c r="C69" i="15"/>
  <c r="B69" i="15"/>
  <c r="A69" i="15"/>
  <c r="G68" i="15"/>
  <c r="F68" i="15"/>
  <c r="E68" i="15"/>
  <c r="D68" i="15"/>
  <c r="C68" i="15"/>
  <c r="B68" i="15"/>
  <c r="A68" i="15"/>
  <c r="G67" i="15"/>
  <c r="F67" i="15"/>
  <c r="E67" i="15"/>
  <c r="D67" i="15"/>
  <c r="C67" i="15"/>
  <c r="B67" i="15"/>
  <c r="A67" i="15"/>
  <c r="G66" i="15"/>
  <c r="F66" i="15"/>
  <c r="E66" i="15"/>
  <c r="D66" i="15"/>
  <c r="C66" i="15"/>
  <c r="B66" i="15"/>
  <c r="A66" i="15"/>
  <c r="G65" i="15"/>
  <c r="F65" i="15"/>
  <c r="E65" i="15"/>
  <c r="D65" i="15"/>
  <c r="C65" i="15"/>
  <c r="B65" i="15"/>
  <c r="A65" i="15"/>
  <c r="G64" i="15"/>
  <c r="F64" i="15"/>
  <c r="E64" i="15"/>
  <c r="D64" i="15"/>
  <c r="C64" i="15"/>
  <c r="B64" i="15"/>
  <c r="A64" i="15"/>
  <c r="G63" i="15"/>
  <c r="F63" i="15"/>
  <c r="E63" i="15"/>
  <c r="D63" i="15"/>
  <c r="C63" i="15"/>
  <c r="B63" i="15"/>
  <c r="A63" i="15"/>
  <c r="G62" i="15"/>
  <c r="F62" i="15"/>
  <c r="E62" i="15"/>
  <c r="D62" i="15"/>
  <c r="C62" i="15"/>
  <c r="B62" i="15"/>
  <c r="A62" i="15"/>
  <c r="G61" i="15"/>
  <c r="F61" i="15"/>
  <c r="E61" i="15"/>
  <c r="D61" i="15"/>
  <c r="C61" i="15"/>
  <c r="B61" i="15"/>
  <c r="A61" i="15"/>
  <c r="G60" i="15"/>
  <c r="F60" i="15"/>
  <c r="E60" i="15"/>
  <c r="D60" i="15"/>
  <c r="C60" i="15"/>
  <c r="B60" i="15"/>
  <c r="A60" i="15"/>
  <c r="G59" i="15"/>
  <c r="F59" i="15"/>
  <c r="E59" i="15"/>
  <c r="D59" i="15"/>
  <c r="C59" i="15"/>
  <c r="B59" i="15"/>
  <c r="A59" i="15"/>
  <c r="G58" i="15"/>
  <c r="F58" i="15"/>
  <c r="E58" i="15"/>
  <c r="D58" i="15"/>
  <c r="C58" i="15"/>
  <c r="B58" i="15"/>
  <c r="A58" i="15"/>
  <c r="G57" i="15"/>
  <c r="F57" i="15"/>
  <c r="E57" i="15"/>
  <c r="D57" i="15"/>
  <c r="C57" i="15"/>
  <c r="B57" i="15"/>
  <c r="A57" i="15"/>
  <c r="G56" i="15"/>
  <c r="F56" i="15"/>
  <c r="E56" i="15"/>
  <c r="D56" i="15"/>
  <c r="C56" i="15"/>
  <c r="B56" i="15"/>
  <c r="A56" i="15"/>
  <c r="G55" i="15"/>
  <c r="F55" i="15"/>
  <c r="E55" i="15"/>
  <c r="D55" i="15"/>
  <c r="C55" i="15"/>
  <c r="B55" i="15"/>
  <c r="A55" i="15"/>
  <c r="G54" i="15"/>
  <c r="F54" i="15"/>
  <c r="E54" i="15"/>
  <c r="D54" i="15"/>
  <c r="C54" i="15"/>
  <c r="B54" i="15"/>
  <c r="A54" i="15"/>
  <c r="G53" i="15"/>
  <c r="F53" i="15"/>
  <c r="E53" i="15"/>
  <c r="D53" i="15"/>
  <c r="C53" i="15"/>
  <c r="B53" i="15"/>
  <c r="A53" i="15"/>
  <c r="G52" i="15"/>
  <c r="F52" i="15"/>
  <c r="E52" i="15"/>
  <c r="D52" i="15"/>
  <c r="C52" i="15"/>
  <c r="B52" i="15"/>
  <c r="A52" i="15"/>
  <c r="G51" i="15"/>
  <c r="F51" i="15"/>
  <c r="E51" i="15"/>
  <c r="D51" i="15"/>
  <c r="C51" i="15"/>
  <c r="B51" i="15"/>
  <c r="A51" i="15"/>
  <c r="G50" i="15"/>
  <c r="F50" i="15"/>
  <c r="E50" i="15"/>
  <c r="D50" i="15"/>
  <c r="C50" i="15"/>
  <c r="B50" i="15"/>
  <c r="A50" i="15"/>
  <c r="G49" i="15"/>
  <c r="F49" i="15"/>
  <c r="E49" i="15"/>
  <c r="D49" i="15"/>
  <c r="C49" i="15"/>
  <c r="B49" i="15"/>
  <c r="A49" i="15"/>
  <c r="G48" i="15"/>
  <c r="F48" i="15"/>
  <c r="E48" i="15"/>
  <c r="D48" i="15"/>
  <c r="C48" i="15"/>
  <c r="B48" i="15"/>
  <c r="A48" i="15"/>
  <c r="G47" i="15"/>
  <c r="F47" i="15"/>
  <c r="E47" i="15"/>
  <c r="D47" i="15"/>
  <c r="C47" i="15"/>
  <c r="B47" i="15"/>
  <c r="A47" i="15"/>
  <c r="G46" i="15"/>
  <c r="F46" i="15"/>
  <c r="E46" i="15"/>
  <c r="D46" i="15"/>
  <c r="C46" i="15"/>
  <c r="B46" i="15"/>
  <c r="A46" i="15"/>
  <c r="G45" i="15"/>
  <c r="F45" i="15"/>
  <c r="E45" i="15"/>
  <c r="D45" i="15"/>
  <c r="C45" i="15"/>
  <c r="B45" i="15"/>
  <c r="A45" i="15"/>
  <c r="G44" i="15"/>
  <c r="F44" i="15"/>
  <c r="E44" i="15"/>
  <c r="D44" i="15"/>
  <c r="C44" i="15"/>
  <c r="B44" i="15"/>
  <c r="A44" i="15"/>
  <c r="G43" i="15"/>
  <c r="F43" i="15"/>
  <c r="E43" i="15"/>
  <c r="D43" i="15"/>
  <c r="C43" i="15"/>
  <c r="B43" i="15"/>
  <c r="A43" i="15"/>
  <c r="G42" i="15"/>
  <c r="F42" i="15"/>
  <c r="E42" i="15"/>
  <c r="D42" i="15"/>
  <c r="C42" i="15"/>
  <c r="B42" i="15"/>
  <c r="A42" i="15"/>
  <c r="G41" i="15"/>
  <c r="F41" i="15"/>
  <c r="E41" i="15"/>
  <c r="D41" i="15"/>
  <c r="C41" i="15"/>
  <c r="B41" i="15"/>
  <c r="A41" i="15"/>
  <c r="G40" i="15"/>
  <c r="F40" i="15"/>
  <c r="E40" i="15"/>
  <c r="D40" i="15"/>
  <c r="C40" i="15"/>
  <c r="B40" i="15"/>
  <c r="A40" i="15"/>
  <c r="G39" i="15"/>
  <c r="F39" i="15"/>
  <c r="E39" i="15"/>
  <c r="D39" i="15"/>
  <c r="C39" i="15"/>
  <c r="B39" i="15"/>
  <c r="A39" i="15"/>
  <c r="G38" i="15"/>
  <c r="F38" i="15"/>
  <c r="E38" i="15"/>
  <c r="D38" i="15"/>
  <c r="C38" i="15"/>
  <c r="B38" i="15"/>
  <c r="A38" i="15"/>
  <c r="G37" i="15"/>
  <c r="F37" i="15"/>
  <c r="E37" i="15"/>
  <c r="D37" i="15"/>
  <c r="C37" i="15"/>
  <c r="B37" i="15"/>
  <c r="A37" i="15"/>
  <c r="G36" i="15"/>
  <c r="F36" i="15"/>
  <c r="E36" i="15"/>
  <c r="D36" i="15"/>
  <c r="C36" i="15"/>
  <c r="B36" i="15"/>
  <c r="A36" i="15"/>
  <c r="G35" i="15"/>
  <c r="F35" i="15"/>
  <c r="E35" i="15"/>
  <c r="D35" i="15"/>
  <c r="C35" i="15"/>
  <c r="B35" i="15"/>
  <c r="A35" i="15"/>
  <c r="G34" i="15"/>
  <c r="F34" i="15"/>
  <c r="E34" i="15"/>
  <c r="D34" i="15"/>
  <c r="C34" i="15"/>
  <c r="B34" i="15"/>
  <c r="A34" i="15"/>
  <c r="G33" i="15"/>
  <c r="F33" i="15"/>
  <c r="E33" i="15"/>
  <c r="D33" i="15"/>
  <c r="C33" i="15"/>
  <c r="B33" i="15"/>
  <c r="A33" i="15"/>
  <c r="G32" i="15"/>
  <c r="F32" i="15"/>
  <c r="E32" i="15"/>
  <c r="D32" i="15"/>
  <c r="C32" i="15"/>
  <c r="B32" i="15"/>
  <c r="A32" i="15"/>
  <c r="G31" i="15"/>
  <c r="F31" i="15"/>
  <c r="E31" i="15"/>
  <c r="D31" i="15"/>
  <c r="C31" i="15"/>
  <c r="B31" i="15"/>
  <c r="A31" i="15"/>
  <c r="G30" i="15"/>
  <c r="F30" i="15"/>
  <c r="E30" i="15"/>
  <c r="D30" i="15"/>
  <c r="C30" i="15"/>
  <c r="B30" i="15"/>
  <c r="A30" i="15"/>
  <c r="G29" i="15"/>
  <c r="F29" i="15"/>
  <c r="E29" i="15"/>
  <c r="D29" i="15"/>
  <c r="C29" i="15"/>
  <c r="B29" i="15"/>
  <c r="A29" i="15"/>
  <c r="G28" i="15"/>
  <c r="F28" i="15"/>
  <c r="E28" i="15"/>
  <c r="D28" i="15"/>
  <c r="C28" i="15"/>
  <c r="B28" i="15"/>
  <c r="A28" i="15"/>
  <c r="G27" i="15"/>
  <c r="F27" i="15"/>
  <c r="E27" i="15"/>
  <c r="D27" i="15"/>
  <c r="C27" i="15"/>
  <c r="B27" i="15"/>
  <c r="A27" i="15"/>
  <c r="G26" i="15"/>
  <c r="F26" i="15"/>
  <c r="E26" i="15"/>
  <c r="D26" i="15"/>
  <c r="C26" i="15"/>
  <c r="B26" i="15"/>
  <c r="A26" i="15"/>
  <c r="G25" i="15"/>
  <c r="F25" i="15"/>
  <c r="E25" i="15"/>
  <c r="D25" i="15"/>
  <c r="C25" i="15"/>
  <c r="B25" i="15"/>
  <c r="A25" i="15"/>
  <c r="G24" i="15"/>
  <c r="F24" i="15"/>
  <c r="E24" i="15"/>
  <c r="D24" i="15"/>
  <c r="C24" i="15"/>
  <c r="B24" i="15"/>
  <c r="A24" i="15"/>
  <c r="G23" i="15"/>
  <c r="F23" i="15"/>
  <c r="E23" i="15"/>
  <c r="D23" i="15"/>
  <c r="C23" i="15"/>
  <c r="B23" i="15"/>
  <c r="A23" i="15"/>
  <c r="G22" i="15"/>
  <c r="F22" i="15"/>
  <c r="E22" i="15"/>
  <c r="D22" i="15"/>
  <c r="C22" i="15"/>
  <c r="B22" i="15"/>
  <c r="A22" i="15"/>
  <c r="G21" i="15"/>
  <c r="F21" i="15"/>
  <c r="E21" i="15"/>
  <c r="D21" i="15"/>
  <c r="C21" i="15"/>
  <c r="B21" i="15"/>
  <c r="A21" i="15"/>
  <c r="G20" i="15"/>
  <c r="F20" i="15"/>
  <c r="E20" i="15"/>
  <c r="D20" i="15"/>
  <c r="C20" i="15"/>
  <c r="B20" i="15"/>
  <c r="A20" i="15"/>
  <c r="G19" i="15"/>
  <c r="F19" i="15"/>
  <c r="E19" i="15"/>
  <c r="D19" i="15"/>
  <c r="C19" i="15"/>
  <c r="B19" i="15"/>
  <c r="A19" i="15"/>
  <c r="G18" i="15"/>
  <c r="F18" i="15"/>
  <c r="E18" i="15"/>
  <c r="D18" i="15"/>
  <c r="C18" i="15"/>
  <c r="B18" i="15"/>
  <c r="A18" i="15"/>
  <c r="G17" i="15"/>
  <c r="F17" i="15"/>
  <c r="E17" i="15"/>
  <c r="D17" i="15"/>
  <c r="C17" i="15"/>
  <c r="B17" i="15"/>
  <c r="A17" i="15"/>
  <c r="G16" i="15"/>
  <c r="F16" i="15"/>
  <c r="E16" i="15"/>
  <c r="D16" i="15"/>
  <c r="C16" i="15"/>
  <c r="B16" i="15"/>
  <c r="A16" i="15"/>
  <c r="G15" i="15"/>
  <c r="F15" i="15"/>
  <c r="E15" i="15"/>
  <c r="D15" i="15"/>
  <c r="C15" i="15"/>
  <c r="B15" i="15"/>
  <c r="A15" i="15"/>
  <c r="G14" i="15"/>
  <c r="F14" i="15"/>
  <c r="E14" i="15"/>
  <c r="D14" i="15"/>
  <c r="C14" i="15"/>
  <c r="B14" i="15"/>
  <c r="A14" i="15"/>
  <c r="G13" i="15"/>
  <c r="F13" i="15"/>
  <c r="E13" i="15"/>
  <c r="D13" i="15"/>
  <c r="C13" i="15"/>
  <c r="B13" i="15"/>
  <c r="A13" i="15"/>
  <c r="G12" i="15"/>
  <c r="F12" i="15"/>
  <c r="E12" i="15"/>
  <c r="D12" i="15"/>
  <c r="C12" i="15"/>
  <c r="B12" i="15"/>
  <c r="A12" i="15"/>
  <c r="G11" i="15"/>
  <c r="F11" i="15"/>
  <c r="E11" i="15"/>
  <c r="D11" i="15"/>
  <c r="C11" i="15"/>
  <c r="B11" i="15"/>
  <c r="A11" i="15"/>
  <c r="G10" i="15"/>
  <c r="F10" i="15"/>
  <c r="E10" i="15"/>
  <c r="D10" i="15"/>
  <c r="C10" i="15"/>
  <c r="B10" i="15"/>
  <c r="A10" i="15"/>
  <c r="G9" i="15"/>
  <c r="F9" i="15"/>
  <c r="E9" i="15"/>
  <c r="D9" i="15"/>
  <c r="C9" i="15"/>
  <c r="B9" i="15"/>
  <c r="A9" i="15"/>
  <c r="G8" i="15"/>
  <c r="F8" i="15"/>
  <c r="E8" i="15"/>
  <c r="D8" i="15"/>
  <c r="C8" i="15"/>
  <c r="B8" i="15"/>
  <c r="A8" i="15"/>
  <c r="G7" i="15"/>
  <c r="F7" i="15"/>
  <c r="E7" i="15"/>
  <c r="D7" i="15"/>
  <c r="C7" i="15"/>
  <c r="B7" i="15"/>
  <c r="A7" i="15"/>
  <c r="G6" i="15"/>
  <c r="F6" i="15"/>
  <c r="E6" i="15"/>
  <c r="D6" i="15"/>
  <c r="C6" i="15"/>
  <c r="B6" i="15"/>
  <c r="A6" i="15"/>
  <c r="G5" i="15"/>
  <c r="F5" i="15"/>
  <c r="E5" i="15"/>
  <c r="D5" i="15"/>
  <c r="C5" i="15"/>
  <c r="B5" i="15"/>
  <c r="A5" i="15"/>
  <c r="G4" i="15"/>
  <c r="F4" i="15"/>
  <c r="E4" i="15"/>
  <c r="D4" i="15"/>
  <c r="C4" i="15"/>
  <c r="B4" i="15"/>
  <c r="A4" i="15"/>
  <c r="G3" i="15"/>
  <c r="F3" i="15"/>
  <c r="E3" i="15"/>
  <c r="D3" i="15"/>
  <c r="C3" i="15"/>
  <c r="B3" i="15"/>
  <c r="A3" i="15"/>
  <c r="G2" i="15"/>
  <c r="F2" i="15"/>
  <c r="E2" i="15"/>
  <c r="D2" i="15"/>
  <c r="C2" i="15"/>
  <c r="B2" i="15"/>
  <c r="A2" i="15"/>
  <c r="G1" i="15"/>
  <c r="F1" i="15"/>
  <c r="E1" i="15"/>
  <c r="D1" i="15"/>
  <c r="C1" i="15"/>
  <c r="B1" i="15"/>
  <c r="A1" i="15"/>
  <c r="B85" i="15"/>
  <c r="L106" i="6"/>
  <c r="L99" i="6"/>
  <c r="L85" i="6"/>
  <c r="L80" i="6"/>
  <c r="L118" i="6"/>
  <c r="L121" i="6"/>
  <c r="L116" i="6"/>
  <c r="L87" i="6"/>
  <c r="L120" i="6"/>
  <c r="L76" i="6"/>
  <c r="L115" i="6"/>
  <c r="L108" i="6"/>
  <c r="L72" i="6"/>
  <c r="L105" i="6"/>
  <c r="L89" i="6"/>
  <c r="L82" i="6"/>
  <c r="L122" i="6"/>
  <c r="L100" i="6"/>
  <c r="L119" i="6"/>
  <c r="L90" i="6"/>
  <c r="L96" i="6"/>
  <c r="L91" i="6"/>
  <c r="L113" i="6"/>
  <c r="L94" i="6"/>
  <c r="L103" i="6"/>
  <c r="L102" i="6"/>
  <c r="L86" i="6"/>
  <c r="L77" i="6"/>
  <c r="L111" i="6"/>
  <c r="L101" i="6"/>
  <c r="L81" i="6"/>
  <c r="L75" i="6"/>
  <c r="L117" i="6"/>
  <c r="L109" i="6"/>
  <c r="L104" i="6"/>
  <c r="L112" i="6"/>
  <c r="L124" i="6"/>
  <c r="L79" i="6"/>
  <c r="L73" i="6"/>
  <c r="L107" i="6"/>
  <c r="L114" i="6"/>
  <c r="L97" i="6"/>
  <c r="L88" i="6"/>
  <c r="L123" i="6"/>
  <c r="L98" i="6"/>
  <c r="L78" i="6"/>
  <c r="L110" i="6"/>
  <c r="L74" i="6"/>
  <c r="L93" i="6"/>
  <c r="L83" i="6"/>
  <c r="F27" i="6"/>
  <c r="D63" i="6" l="1"/>
  <c r="I110" i="6"/>
  <c r="F88" i="6"/>
  <c r="I98" i="6"/>
  <c r="C87" i="6"/>
  <c r="C121" i="6"/>
  <c r="C111" i="6"/>
  <c r="C76" i="6"/>
  <c r="C88" i="6"/>
  <c r="F86" i="6"/>
  <c r="I123" i="6"/>
  <c r="F87" i="6"/>
  <c r="I87" i="6"/>
  <c r="C115" i="6"/>
  <c r="C75" i="6"/>
  <c r="I81" i="6"/>
  <c r="I105" i="6"/>
  <c r="C98" i="6"/>
  <c r="C74" i="6"/>
  <c r="I75" i="6"/>
  <c r="C82" i="6"/>
  <c r="F106" i="6"/>
  <c r="I118" i="6"/>
  <c r="I85" i="6"/>
  <c r="F105" i="6"/>
  <c r="H76" i="6"/>
  <c r="C85" i="6"/>
  <c r="I106" i="6"/>
  <c r="I115" i="6"/>
  <c r="I76" i="6"/>
  <c r="C81" i="6"/>
  <c r="C124" i="6"/>
  <c r="H86" i="6"/>
  <c r="I88" i="6"/>
  <c r="I116" i="6"/>
  <c r="I74" i="6"/>
  <c r="C117" i="6"/>
  <c r="I86" i="6"/>
  <c r="C101" i="6"/>
  <c r="I119" i="6"/>
  <c r="I82" i="6"/>
  <c r="H82" i="6"/>
  <c r="I120" i="6"/>
  <c r="I111" i="6"/>
  <c r="I117" i="6"/>
  <c r="C118" i="6"/>
  <c r="F110" i="6"/>
  <c r="I101" i="6"/>
  <c r="I122" i="6"/>
  <c r="C92" i="6"/>
  <c r="I92" i="6"/>
  <c r="F95" i="6"/>
  <c r="I95" i="6"/>
  <c r="C95" i="6"/>
  <c r="H83" i="6"/>
  <c r="C83" i="6"/>
  <c r="I83" i="6"/>
  <c r="C70" i="6"/>
  <c r="F70" i="6"/>
  <c r="E70" i="6"/>
  <c r="I70" i="6"/>
  <c r="C69" i="6"/>
  <c r="F69" i="6"/>
  <c r="E69" i="6"/>
  <c r="E68" i="6"/>
  <c r="C68" i="6"/>
  <c r="I68" i="6"/>
  <c r="E67" i="6"/>
  <c r="I67" i="6"/>
  <c r="F67" i="6"/>
  <c r="C67" i="6"/>
  <c r="E65" i="6"/>
  <c r="C65" i="6"/>
  <c r="F65" i="6"/>
  <c r="I65" i="6"/>
  <c r="E62" i="6"/>
  <c r="H62" i="6"/>
  <c r="F62" i="6"/>
  <c r="C62" i="6"/>
  <c r="H61" i="6"/>
  <c r="E61" i="6"/>
  <c r="F61" i="6"/>
  <c r="I61" i="6"/>
  <c r="C61" i="6"/>
  <c r="E60" i="6"/>
  <c r="H60" i="6"/>
  <c r="C60" i="6"/>
  <c r="F60" i="6"/>
  <c r="E59" i="6"/>
  <c r="C59" i="6"/>
  <c r="H59" i="6"/>
  <c r="I59" i="6"/>
  <c r="H58" i="6"/>
  <c r="E58" i="6"/>
  <c r="C58" i="6"/>
  <c r="I58" i="6"/>
  <c r="C57" i="6"/>
  <c r="E57" i="6"/>
  <c r="I57" i="6"/>
  <c r="H57" i="6"/>
  <c r="F57" i="6"/>
  <c r="H56" i="6"/>
  <c r="I56" i="6"/>
  <c r="F56" i="6"/>
  <c r="E56" i="6"/>
  <c r="C56" i="6"/>
  <c r="F55" i="6"/>
  <c r="H55" i="6"/>
  <c r="E55" i="6"/>
  <c r="I55" i="6"/>
  <c r="C55" i="6"/>
  <c r="H54" i="6"/>
  <c r="E54" i="6"/>
  <c r="F54" i="6"/>
  <c r="C54" i="6"/>
  <c r="H53" i="6"/>
  <c r="C53" i="6"/>
  <c r="I53" i="6"/>
  <c r="F53" i="6"/>
  <c r="E53" i="6"/>
  <c r="I52" i="6"/>
  <c r="F52" i="6"/>
  <c r="E52" i="6"/>
  <c r="H52" i="6"/>
  <c r="C52" i="6"/>
  <c r="E51" i="6"/>
  <c r="H51" i="6"/>
  <c r="F51" i="6"/>
  <c r="C51" i="6"/>
  <c r="I50" i="6"/>
  <c r="C50" i="6"/>
  <c r="F50" i="6"/>
  <c r="E50" i="6"/>
  <c r="H50" i="6"/>
  <c r="C49" i="6"/>
  <c r="I49" i="6"/>
  <c r="E49" i="6"/>
  <c r="H49" i="6"/>
  <c r="F49" i="6"/>
  <c r="C48" i="6"/>
  <c r="F48" i="6"/>
  <c r="E48" i="6"/>
  <c r="H48" i="6"/>
  <c r="I48" i="6"/>
  <c r="I47" i="6"/>
  <c r="C47" i="6"/>
  <c r="H47" i="6"/>
  <c r="E47" i="6"/>
  <c r="F46" i="6"/>
  <c r="E46" i="6"/>
  <c r="H46" i="6"/>
  <c r="C46" i="6"/>
  <c r="E45" i="6"/>
  <c r="C45" i="6"/>
  <c r="F45" i="6"/>
  <c r="I45" i="6"/>
  <c r="H45" i="6"/>
  <c r="F44" i="6"/>
  <c r="E44" i="6"/>
  <c r="C44" i="6"/>
  <c r="H44" i="6"/>
  <c r="C43" i="6"/>
  <c r="E43" i="6"/>
  <c r="H43" i="6"/>
  <c r="I43" i="6"/>
  <c r="F43" i="6"/>
  <c r="F42" i="6"/>
  <c r="C42" i="6"/>
  <c r="E42" i="6"/>
  <c r="H42" i="6"/>
  <c r="H41" i="6"/>
  <c r="I41" i="6"/>
  <c r="C41" i="6"/>
  <c r="E41" i="6"/>
  <c r="F41" i="6"/>
  <c r="H40" i="6"/>
  <c r="C40" i="6"/>
  <c r="I40" i="6"/>
  <c r="E40" i="6"/>
  <c r="H39" i="6"/>
  <c r="I39" i="6"/>
  <c r="F39" i="6"/>
  <c r="C39" i="6"/>
  <c r="C38" i="6"/>
  <c r="H38" i="6"/>
  <c r="F38" i="6"/>
  <c r="I38" i="6"/>
  <c r="E38" i="6"/>
  <c r="F37" i="6"/>
  <c r="I37" i="6"/>
  <c r="E37" i="6"/>
  <c r="C37" i="6"/>
  <c r="H37" i="6"/>
  <c r="F36" i="6"/>
  <c r="I36" i="6"/>
  <c r="H36" i="6"/>
  <c r="C36" i="6"/>
  <c r="F35" i="6"/>
  <c r="I35" i="6"/>
  <c r="E35" i="6"/>
  <c r="H35" i="6"/>
  <c r="C35" i="6"/>
  <c r="F34" i="6"/>
  <c r="C34" i="6"/>
  <c r="I34" i="6"/>
  <c r="H34" i="6"/>
  <c r="E34" i="6"/>
  <c r="C33" i="6"/>
  <c r="H33" i="6"/>
  <c r="E33" i="6"/>
  <c r="F33" i="6"/>
  <c r="I33" i="6"/>
  <c r="H32" i="6"/>
  <c r="F32" i="6"/>
  <c r="C32" i="6"/>
  <c r="E32" i="6"/>
  <c r="I32" i="6"/>
  <c r="C31" i="6"/>
  <c r="I31" i="6"/>
  <c r="E31" i="6"/>
  <c r="H31" i="6"/>
  <c r="F31" i="6"/>
  <c r="C30" i="6"/>
  <c r="I30" i="6"/>
  <c r="H30" i="6"/>
  <c r="E30" i="6"/>
  <c r="E29" i="6"/>
  <c r="C29" i="6"/>
  <c r="I29" i="6"/>
  <c r="F29" i="6"/>
  <c r="H29" i="6"/>
  <c r="E28" i="6"/>
  <c r="F28" i="6"/>
  <c r="C28" i="6"/>
  <c r="H28" i="6"/>
  <c r="H26" i="6"/>
  <c r="I26" i="6"/>
  <c r="E26" i="6"/>
  <c r="C26" i="6"/>
  <c r="I25" i="6"/>
  <c r="F25" i="6"/>
  <c r="E25" i="6"/>
  <c r="C25" i="6"/>
  <c r="H25" i="6"/>
  <c r="C23" i="6"/>
  <c r="H23" i="6"/>
  <c r="E23" i="6"/>
  <c r="E22" i="6"/>
  <c r="F22" i="6"/>
  <c r="C22" i="6"/>
  <c r="I22" i="6"/>
  <c r="H22" i="6"/>
  <c r="F21" i="6"/>
  <c r="C21" i="6"/>
  <c r="H21" i="6"/>
  <c r="I21" i="6"/>
  <c r="H20" i="6"/>
  <c r="F20" i="6"/>
  <c r="C20" i="6"/>
  <c r="I20" i="6"/>
  <c r="C19" i="6"/>
  <c r="F19" i="6"/>
  <c r="I19" i="6"/>
  <c r="H19" i="6"/>
  <c r="E19" i="6"/>
  <c r="H18" i="6"/>
  <c r="E18" i="6"/>
  <c r="F18" i="6"/>
  <c r="C18" i="6"/>
  <c r="I18" i="6"/>
  <c r="C17" i="6"/>
  <c r="E17" i="6"/>
  <c r="H17" i="6"/>
  <c r="F17" i="6"/>
  <c r="H14" i="6"/>
  <c r="N14" i="6"/>
  <c r="F14" i="6"/>
  <c r="E14" i="6"/>
  <c r="C14" i="6"/>
  <c r="F13" i="6"/>
  <c r="C13" i="6"/>
  <c r="E13" i="6"/>
  <c r="I13" i="6"/>
  <c r="H13" i="6"/>
  <c r="H11" i="6"/>
  <c r="C11" i="6"/>
  <c r="I11" i="6"/>
  <c r="E11" i="6"/>
  <c r="F11" i="6"/>
  <c r="F10" i="6"/>
  <c r="E10" i="6"/>
  <c r="I10" i="6"/>
  <c r="E66" i="6"/>
  <c r="F66" i="6"/>
  <c r="C66" i="6"/>
  <c r="I66" i="6"/>
  <c r="L63" i="6"/>
  <c r="C48" i="1" l="1"/>
  <c r="C47" i="1"/>
  <c r="C46" i="1"/>
  <c r="I124" i="6"/>
  <c r="C119" i="6"/>
  <c r="C110" i="6"/>
  <c r="H75" i="6"/>
  <c r="H88" i="6"/>
  <c r="F98" i="6"/>
  <c r="H81" i="6"/>
  <c r="I121" i="6"/>
  <c r="F111" i="6"/>
  <c r="C122" i="6"/>
  <c r="H87" i="6"/>
  <c r="C86" i="6"/>
  <c r="C116" i="6"/>
  <c r="F101" i="6"/>
  <c r="H85" i="6"/>
  <c r="C105" i="6"/>
  <c r="C120" i="6"/>
  <c r="C106" i="6"/>
  <c r="C123" i="6"/>
  <c r="H74" i="6"/>
  <c r="F92" i="6"/>
  <c r="H70" i="6"/>
  <c r="H69" i="6"/>
  <c r="I69" i="6"/>
  <c r="H68" i="6"/>
  <c r="F68" i="6"/>
  <c r="H67" i="6"/>
  <c r="H65" i="6"/>
  <c r="I62" i="6"/>
  <c r="I60" i="6"/>
  <c r="F59" i="6"/>
  <c r="F58" i="6"/>
  <c r="I54" i="6"/>
  <c r="I51" i="6"/>
  <c r="F47" i="6"/>
  <c r="I46" i="6"/>
  <c r="I44" i="6"/>
  <c r="I42" i="6"/>
  <c r="F40" i="6"/>
  <c r="E39" i="6"/>
  <c r="E36" i="6"/>
  <c r="F30" i="6"/>
  <c r="I28" i="6"/>
  <c r="F26" i="6"/>
  <c r="F23" i="6"/>
  <c r="I23" i="6"/>
  <c r="E21" i="6"/>
  <c r="E20" i="6"/>
  <c r="I17" i="6"/>
  <c r="I14" i="6"/>
  <c r="H10" i="6"/>
  <c r="C10" i="6"/>
  <c r="H66" i="6"/>
  <c r="I63" i="6"/>
  <c r="C63" i="6"/>
  <c r="H63" i="6"/>
  <c r="G74" i="6" l="1"/>
  <c r="G75" i="6"/>
  <c r="G76" i="6"/>
  <c r="G81" i="6"/>
  <c r="G82" i="6"/>
  <c r="F83" i="6"/>
  <c r="G83" i="6" s="1"/>
  <c r="G85" i="6"/>
  <c r="G86" i="6"/>
  <c r="G87" i="6"/>
  <c r="G88" i="6"/>
  <c r="J81" i="6" l="1"/>
  <c r="J75" i="6"/>
  <c r="J85" i="6"/>
  <c r="J82" i="6"/>
  <c r="J88" i="6"/>
  <c r="J86" i="6"/>
  <c r="J87" i="6"/>
  <c r="J76" i="6"/>
  <c r="J74" i="6"/>
  <c r="J83" i="6"/>
  <c r="J77" i="6" l="1"/>
  <c r="P13" i="1" l="1"/>
  <c r="K43" i="1"/>
  <c r="G98" i="6" l="1"/>
  <c r="K23" i="1"/>
  <c r="F11" i="13"/>
  <c r="K22" i="1"/>
  <c r="K57" i="1" s="1"/>
  <c r="D24" i="1" s="1"/>
  <c r="E80" i="1" l="1"/>
  <c r="K24" i="1"/>
  <c r="E83" i="1"/>
  <c r="K46" i="1"/>
  <c r="K47" i="1" s="1"/>
  <c r="K25" i="1"/>
  <c r="K48" i="1"/>
  <c r="E85" i="1"/>
  <c r="E64" i="6"/>
  <c r="J89" i="6"/>
  <c r="D64" i="6"/>
  <c r="E73" i="1"/>
  <c r="L64" i="6"/>
  <c r="K45" i="1" l="1"/>
  <c r="K44" i="1"/>
  <c r="B2" i="6"/>
  <c r="H64" i="6"/>
  <c r="C64" i="6"/>
  <c r="I64" i="6"/>
  <c r="I7" i="1" l="1"/>
  <c r="G52" i="1" l="1"/>
  <c r="K50" i="1" s="1"/>
  <c r="E72" i="1" s="1"/>
  <c r="B1" i="13" l="1"/>
  <c r="F7" i="13"/>
  <c r="F8" i="13"/>
  <c r="F10" i="13"/>
  <c r="F14" i="13"/>
  <c r="F13" i="13"/>
  <c r="K23" i="13" s="1"/>
  <c r="F9" i="13"/>
  <c r="B36" i="13"/>
  <c r="R3" i="13"/>
  <c r="O17" i="1" l="1"/>
  <c r="C49" i="1"/>
  <c r="B16" i="5"/>
  <c r="K51" i="1"/>
  <c r="P11" i="1"/>
  <c r="C18" i="1"/>
  <c r="C45" i="1" s="1"/>
  <c r="P12" i="1"/>
  <c r="E81" i="1" s="1"/>
  <c r="P10" i="1"/>
  <c r="K17" i="1"/>
  <c r="I17" i="1"/>
  <c r="J17" i="1"/>
  <c r="L17" i="1" s="1"/>
  <c r="G86" i="1" s="1"/>
  <c r="A5" i="5"/>
  <c r="B12" i="5"/>
  <c r="B13" i="5"/>
  <c r="A6" i="5"/>
  <c r="B61" i="1"/>
  <c r="B59" i="1"/>
  <c r="E58" i="1"/>
  <c r="C54" i="1"/>
  <c r="C53" i="1"/>
  <c r="E64" i="1" s="1"/>
  <c r="C50" i="1"/>
  <c r="G58" i="1"/>
  <c r="P17" i="1"/>
  <c r="E75" i="1" l="1"/>
  <c r="E77" i="1"/>
  <c r="J98" i="6"/>
  <c r="J99" i="6" s="1"/>
  <c r="K49" i="1"/>
  <c r="G72" i="1"/>
  <c r="C51" i="1"/>
  <c r="G95" i="6" s="1"/>
  <c r="G110" i="6"/>
  <c r="J110" i="6" s="1"/>
  <c r="G123" i="6"/>
  <c r="J123" i="6" s="1"/>
  <c r="G111" i="6"/>
  <c r="J111" i="6" s="1"/>
  <c r="E62" i="1"/>
  <c r="M17" i="1"/>
  <c r="F12" i="13"/>
  <c r="K20" i="13" s="1"/>
  <c r="L32" i="13"/>
  <c r="L34" i="13"/>
  <c r="N17" i="1"/>
  <c r="K18" i="13"/>
  <c r="G92" i="6" l="1"/>
  <c r="G106" i="6"/>
  <c r="G105" i="6"/>
  <c r="G27" i="6"/>
  <c r="J27" i="6" s="1"/>
  <c r="G101" i="6"/>
  <c r="G16" i="6"/>
  <c r="J16" i="6" s="1"/>
  <c r="G15" i="6"/>
  <c r="J15" i="6" s="1"/>
  <c r="G14" i="6"/>
  <c r="J14" i="6" s="1"/>
  <c r="G26" i="6"/>
  <c r="J26" i="6" s="1"/>
  <c r="G21" i="6"/>
  <c r="J21" i="6" s="1"/>
  <c r="G24" i="6"/>
  <c r="J24" i="6" s="1"/>
  <c r="G12" i="6"/>
  <c r="J12" i="6" s="1"/>
  <c r="G49" i="6"/>
  <c r="J49" i="6" s="1"/>
  <c r="G45" i="6"/>
  <c r="J45" i="6" s="1"/>
  <c r="G59" i="6"/>
  <c r="J59" i="6" s="1"/>
  <c r="G50" i="6"/>
  <c r="J50" i="6" s="1"/>
  <c r="G41" i="6"/>
  <c r="J41" i="6" s="1"/>
  <c r="G47" i="6"/>
  <c r="J47" i="6" s="1"/>
  <c r="G30" i="6"/>
  <c r="J30" i="6" s="1"/>
  <c r="G18" i="6"/>
  <c r="J18" i="6" s="1"/>
  <c r="G54" i="6"/>
  <c r="J54" i="6" s="1"/>
  <c r="G57" i="6"/>
  <c r="J57" i="6" s="1"/>
  <c r="G56" i="6"/>
  <c r="J56" i="6" s="1"/>
  <c r="G37" i="6"/>
  <c r="J37" i="6" s="1"/>
  <c r="G43" i="6"/>
  <c r="J43" i="6" s="1"/>
  <c r="G35" i="6"/>
  <c r="J35" i="6" s="1"/>
  <c r="G34" i="6"/>
  <c r="J34" i="6" s="1"/>
  <c r="G60" i="6"/>
  <c r="J60" i="6" s="1"/>
  <c r="G36" i="6"/>
  <c r="J36" i="6" s="1"/>
  <c r="G13" i="6"/>
  <c r="J13" i="6" s="1"/>
  <c r="G19" i="6"/>
  <c r="J19" i="6" s="1"/>
  <c r="G38" i="6"/>
  <c r="J38" i="6" s="1"/>
  <c r="G11" i="6"/>
  <c r="J11" i="6" s="1"/>
  <c r="G22" i="6"/>
  <c r="J22" i="6" s="1"/>
  <c r="G25" i="6"/>
  <c r="J25" i="6" s="1"/>
  <c r="G63" i="6"/>
  <c r="J63" i="6" s="1"/>
  <c r="G70" i="6"/>
  <c r="J70" i="6" s="1"/>
  <c r="G68" i="6"/>
  <c r="J68" i="6" s="1"/>
  <c r="G69" i="6"/>
  <c r="J69" i="6" s="1"/>
  <c r="G29" i="6"/>
  <c r="J29" i="6" s="1"/>
  <c r="G31" i="6"/>
  <c r="J31" i="6" s="1"/>
  <c r="G44" i="6"/>
  <c r="J44" i="6" s="1"/>
  <c r="G48" i="6"/>
  <c r="J48" i="6" s="1"/>
  <c r="G20" i="6"/>
  <c r="J20" i="6" s="1"/>
  <c r="G10" i="6"/>
  <c r="J10" i="6" s="1"/>
  <c r="G28" i="6"/>
  <c r="J28" i="6" s="1"/>
  <c r="G32" i="6"/>
  <c r="J32" i="6" s="1"/>
  <c r="G55" i="6"/>
  <c r="J55" i="6" s="1"/>
  <c r="G40" i="6"/>
  <c r="J40" i="6" s="1"/>
  <c r="G51" i="6"/>
  <c r="J51" i="6" s="1"/>
  <c r="G39" i="6"/>
  <c r="J39" i="6" s="1"/>
  <c r="G53" i="6"/>
  <c r="J53" i="6" s="1"/>
  <c r="G17" i="6"/>
  <c r="J17" i="6" s="1"/>
  <c r="G46" i="6"/>
  <c r="J46" i="6" s="1"/>
  <c r="G52" i="6"/>
  <c r="J52" i="6" s="1"/>
  <c r="G58" i="6"/>
  <c r="J58" i="6" s="1"/>
  <c r="G61" i="6"/>
  <c r="J61" i="6" s="1"/>
  <c r="G33" i="6"/>
  <c r="J33" i="6" s="1"/>
  <c r="G23" i="6"/>
  <c r="J23" i="6" s="1"/>
  <c r="G42" i="6"/>
  <c r="J42" i="6" s="1"/>
  <c r="G62" i="6"/>
  <c r="J62" i="6" s="1"/>
  <c r="G66" i="6"/>
  <c r="J66" i="6" s="1"/>
  <c r="G67" i="6"/>
  <c r="J67" i="6" s="1"/>
  <c r="G65" i="6"/>
  <c r="J65" i="6" s="1"/>
  <c r="G64" i="6"/>
  <c r="J64" i="6" s="1"/>
  <c r="J112" i="6"/>
  <c r="G115" i="6"/>
  <c r="J115" i="6" s="1"/>
  <c r="G117" i="6"/>
  <c r="J117" i="6" s="1"/>
  <c r="G119" i="6"/>
  <c r="J119" i="6" s="1"/>
  <c r="G121" i="6"/>
  <c r="J121" i="6" s="1"/>
  <c r="G116" i="6"/>
  <c r="J116" i="6" s="1"/>
  <c r="G118" i="6"/>
  <c r="J118" i="6" s="1"/>
  <c r="G120" i="6"/>
  <c r="J120" i="6" s="1"/>
  <c r="G122" i="6"/>
  <c r="J122" i="6" s="1"/>
  <c r="G124" i="6"/>
  <c r="J124" i="6" s="1"/>
  <c r="H17" i="1"/>
  <c r="G85" i="1"/>
  <c r="G60" i="1"/>
  <c r="K22" i="13"/>
  <c r="J125" i="6" l="1"/>
  <c r="K26" i="13"/>
  <c r="K24" i="13"/>
  <c r="G98" i="1" l="1"/>
  <c r="K34" i="13"/>
  <c r="K32" i="13"/>
  <c r="K35" i="13" l="1"/>
  <c r="G87" i="1" l="1"/>
  <c r="G100" i="1" s="1"/>
  <c r="K36" i="13"/>
  <c r="E61" i="1"/>
  <c r="G61" i="1" s="1"/>
  <c r="G73" i="1"/>
  <c r="G80" i="1"/>
  <c r="E59" i="1" l="1"/>
  <c r="G59" i="1" s="1"/>
  <c r="E71" i="1"/>
  <c r="G71" i="1" s="1"/>
  <c r="J71" i="6" l="1"/>
  <c r="G69" i="1" l="1"/>
  <c r="G64" i="1" l="1"/>
  <c r="G62" i="1"/>
  <c r="G63" i="1" s="1"/>
  <c r="C52" i="1"/>
  <c r="J92" i="6" l="1"/>
  <c r="J93" i="6" s="1"/>
  <c r="G76" i="1" s="1"/>
  <c r="J95" i="6"/>
  <c r="J96" i="6" s="1"/>
  <c r="J106" i="6"/>
  <c r="J105" i="6"/>
  <c r="J101" i="6"/>
  <c r="J102" i="6" s="1"/>
  <c r="G65" i="1"/>
  <c r="G101" i="1"/>
  <c r="G75" i="1"/>
  <c r="G81" i="1"/>
  <c r="G83" i="1"/>
  <c r="G77" i="1"/>
  <c r="G82" i="1" l="1"/>
  <c r="J107" i="6"/>
  <c r="J127" i="6" s="1"/>
  <c r="G78" i="1"/>
  <c r="G84" i="1" l="1"/>
  <c r="G97" i="1" s="1"/>
  <c r="C14" i="5"/>
  <c r="E70" i="1"/>
  <c r="G70" i="1" s="1"/>
  <c r="G89" i="1" l="1"/>
  <c r="G90" i="1" s="1"/>
  <c r="G91" i="1" s="1"/>
  <c r="G93" i="1" s="1"/>
  <c r="G99" i="1" l="1"/>
  <c r="G102" i="1" s="1"/>
  <c r="C18" i="5"/>
  <c r="C17" i="5"/>
  <c r="O7" i="1"/>
  <c r="C16" i="5" l="1"/>
  <c r="C15" i="5" s="1"/>
  <c r="C11" i="5" s="1"/>
  <c r="C13" i="5" l="1"/>
  <c r="C12" i="5"/>
</calcChain>
</file>

<file path=xl/comments1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P1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ЕСЛИ(marktype=0;0;ЕСЛИ(НЕ(ЕОШИБКА(ПОИСК("egen";marktype)));2;ЕСЛИ(НЕ(ЕОШИБКА(ПОИСК("фм";marktype)));1;3)))
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Ламели, были скрыты позабытым причинам
например 7 1.5х6.0
семь ламелей размером полтора на шесть миллиметров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ATG - 1) ДПП-240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Переменная - показывает что расчет на МПП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2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Вычисляемое, перенесено с листа трудоемкостей.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K35" authorId="0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Цвет шрифта белый, именованная ячейка</t>
        </r>
      </text>
    </comment>
  </commentList>
</comments>
</file>

<file path=xl/comments3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G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формула (2стороны*количестволистов*площадь/метрыкв/кг)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шесть листов используются два раза
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один на заготовку</t>
        </r>
      </text>
    </comment>
    <comment ref="G16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Используется два раза</t>
        </r>
      </text>
    </comment>
    <comment ref="G26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лист на заготовку</t>
        </r>
      </text>
    </comment>
    <comment ref="G2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Для лошадей не закупался</t>
        </r>
      </text>
    </comment>
    <comment ref="G65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Отдельная формула</t>
        </r>
      </text>
    </comment>
    <comment ref="F82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Дважды используется</t>
        </r>
      </text>
    </comment>
    <comment ref="G86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J89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Для двусторонней только текстолит</t>
        </r>
      </text>
    </comment>
  </commentList>
</comments>
</file>

<file path=xl/sharedStrings.xml><?xml version="1.0" encoding="utf-8"?>
<sst xmlns="http://schemas.openxmlformats.org/spreadsheetml/2006/main" count="490" uniqueCount="427">
  <si>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</si>
  <si>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</si>
  <si>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</si>
  <si>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</si>
  <si>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</si>
  <si>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</si>
  <si>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</si>
  <si>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</si>
  <si>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</si>
  <si>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</si>
  <si>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</si>
  <si>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</si>
  <si>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</si>
  <si>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</si>
  <si>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</si>
  <si>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</si>
  <si>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</si>
  <si>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</si>
  <si>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</si>
  <si>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</si>
  <si>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</si>
  <si>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</si>
  <si>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</si>
  <si>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</si>
  <si>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</si>
  <si>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</si>
  <si>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</si>
  <si>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</si>
  <si>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</si>
  <si>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</si>
  <si>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</si>
  <si>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</si>
  <si>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</si>
  <si>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t>Лист 2</t>
  </si>
  <si>
    <t>Коп</t>
  </si>
  <si>
    <t>Тррп</t>
  </si>
  <si>
    <t>Трпп</t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</si>
  <si>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</si>
  <si>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</si>
  <si>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</si>
  <si>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</si>
  <si>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</si>
  <si>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</si>
  <si>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</si>
  <si>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</si>
  <si>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</si>
  <si>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</si>
  <si>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</si>
  <si>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</si>
  <si>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</si>
  <si>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</si>
  <si>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</si>
  <si>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</si>
  <si>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</si>
  <si>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м2</t>
  </si>
  <si>
    <t>Наименование материала</t>
  </si>
  <si>
    <t>Расход</t>
  </si>
  <si>
    <t>руб.</t>
  </si>
  <si>
    <t>кг</t>
  </si>
  <si>
    <t>Натрий надсернокислый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</si>
  <si>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</si>
  <si>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</si>
  <si>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</si>
  <si>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</si>
  <si>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</si>
  <si>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</si>
  <si>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</si>
  <si>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</si>
  <si>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</si>
  <si>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</si>
  <si>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</si>
  <si>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 xml:space="preserve">Нанесение защитной маски:    </t>
  </si>
  <si>
    <t>Конструкторская и технол.подготовка</t>
  </si>
  <si>
    <t>Изготовление мастер-плат для фрезерования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</si>
  <si>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</si>
  <si>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</si>
  <si>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</si>
  <si>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</si>
  <si>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</si>
  <si>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</si>
  <si>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</si>
  <si>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</si>
  <si>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</si>
  <si>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</si>
  <si>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</si>
  <si>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</si>
  <si>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</si>
  <si>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</si>
  <si>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</si>
  <si>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</si>
  <si>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</si>
  <si>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</si>
  <si>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</si>
  <si>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</si>
  <si>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</si>
  <si>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</si>
  <si>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</si>
  <si>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I. Исходные данные</t>
  </si>
  <si>
    <t>II. Расчетные данные</t>
  </si>
  <si>
    <t>III. Расчеты и стоимость.</t>
  </si>
  <si>
    <t>Изготовление мастер-плат для сверления</t>
  </si>
  <si>
    <t>Ед. измерения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</si>
  <si>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</si>
  <si>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Кс</t>
  </si>
  <si>
    <t>Контроль первичный (1-да, 0-нет)</t>
  </si>
  <si>
    <t>Цнч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</si>
  <si>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</si>
  <si>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</si>
  <si>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</si>
  <si>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</si>
  <si>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</si>
  <si>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</si>
  <si>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</si>
  <si>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</si>
  <si>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</si>
  <si>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</si>
  <si>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</si>
  <si>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</si>
  <si>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</si>
  <si>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</si>
  <si>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</si>
  <si>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</si>
  <si>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</si>
  <si>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</si>
  <si>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Медные слои теплоотвода, шт</t>
  </si>
  <si>
    <t>Стеклоткань, кол.слоев, шт.</t>
  </si>
  <si>
    <t>Сложность программы электроконтроля, час</t>
  </si>
  <si>
    <t>Флюс</t>
  </si>
  <si>
    <t>Покрытие ГорПОС, материалы</t>
  </si>
  <si>
    <t>Приемка (1-ПЗ,0-ОТК)</t>
  </si>
  <si>
    <t>Номер заказа от дата</t>
  </si>
  <si>
    <t>Децимальный номер платы</t>
  </si>
  <si>
    <t>Всего</t>
  </si>
  <si>
    <t>Расшифровка материальных затрат к расчетной калькуляции</t>
  </si>
  <si>
    <t>Стоимость без НДС, руб.</t>
  </si>
  <si>
    <t>Цена за единицу без НДС, руб.</t>
  </si>
  <si>
    <t>Удельная норма расхода</t>
  </si>
  <si>
    <t>Сн*Мс*Sопл.*Км</t>
  </si>
  <si>
    <t>Сн*Мж*Sопл.*Км</t>
  </si>
  <si>
    <t>Сл*N*Кп*Кт*Сн</t>
  </si>
  <si>
    <t>Плат в блоке контроля</t>
  </si>
  <si>
    <t>Количество точек контроля в блоке, шт.</t>
  </si>
  <si>
    <t>Цена за 1 штуку, без НДС</t>
  </si>
  <si>
    <t>Тпос*Sопл*Кс*Кп*Сн</t>
  </si>
  <si>
    <t>Тз*Сн*N*Кп*Кс</t>
  </si>
  <si>
    <t>То*Sопл*Кс*Кп*Сн*Kвг</t>
  </si>
  <si>
    <t>n</t>
  </si>
  <si>
    <t>количество заготовок, шт.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</si>
  <si>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</si>
  <si>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</si>
  <si>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</si>
  <si>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</si>
  <si>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</si>
  <si>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</si>
  <si>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</si>
  <si>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</si>
  <si>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</si>
  <si>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</si>
  <si>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</si>
  <si>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</si>
  <si>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</si>
  <si>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</si>
  <si>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</si>
  <si>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</si>
  <si>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</si>
  <si>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</si>
  <si>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</si>
  <si>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</si>
  <si>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Добавка "AUNIC EN "C"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</si>
  <si>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</si>
  <si>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</si>
  <si>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</si>
  <si>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</si>
  <si>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Цена, без НДС</t>
  </si>
  <si>
    <t>Дата расчета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</si>
  <si>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</si>
  <si>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</si>
  <si>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</si>
  <si>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</si>
  <si>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</si>
  <si>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</si>
  <si>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</si>
  <si>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</si>
  <si>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</si>
  <si>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</si>
  <si>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г</t>
  </si>
  <si>
    <t>Тс*N*(Чо1+Чо2)*Кc*Кп*Cн*Квг</t>
  </si>
  <si>
    <t>Основные и вспомогательные материалы</t>
  </si>
  <si>
    <t>Тф1*N*Кф*Кт*Сн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</si>
  <si>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</si>
  <si>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</si>
  <si>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>Фреза твердосплавная</t>
  </si>
  <si>
    <t>Расчет расхода и стоимости покупных комплектующих изделий (ПКИ)</t>
  </si>
  <si>
    <t xml:space="preserve">         Расчет стоимости электроконтроля печатных плат на тестере ATG-A2</t>
  </si>
  <si>
    <t>Времени на точку,час</t>
  </si>
  <si>
    <t>Времени на установку, час</t>
  </si>
  <si>
    <r>
      <t xml:space="preserve">Кол-во тестируемых плат - </t>
    </r>
    <r>
      <rPr>
        <b/>
        <sz val="12"/>
        <rFont val="Arial Cyr"/>
        <charset val="204"/>
      </rPr>
      <t>N</t>
    </r>
    <r>
      <rPr>
        <sz val="12"/>
        <rFont val="Arial Cyr"/>
        <charset val="204"/>
      </rPr>
      <t>, шт.</t>
    </r>
  </si>
  <si>
    <t>Количество плат на заготовке - Nпл, шт.</t>
  </si>
  <si>
    <t>Количество заготовок - Nз, шт.</t>
  </si>
  <si>
    <t>Трудоемкость разработки программы электроконтроля (0,5…5,0), час</t>
  </si>
  <si>
    <r>
      <t>Кол-во контролируемых точек</t>
    </r>
    <r>
      <rPr>
        <b/>
        <sz val="12"/>
        <rFont val="Arial Cyr"/>
        <charset val="204"/>
      </rPr>
      <t xml:space="preserve"> </t>
    </r>
    <r>
      <rPr>
        <sz val="12"/>
        <rFont val="Arial Cyr"/>
        <charset val="204"/>
      </rPr>
      <t xml:space="preserve">в заготовке - </t>
    </r>
    <r>
      <rPr>
        <b/>
        <sz val="12"/>
        <rFont val="Arial Cyr"/>
        <charset val="204"/>
      </rPr>
      <t>m</t>
    </r>
    <r>
      <rPr>
        <sz val="12"/>
        <rFont val="Arial Cyr"/>
        <charset val="204"/>
      </rPr>
      <t>, шт.</t>
    </r>
  </si>
  <si>
    <t>Полная стоимость нормочаса, руб, без НДС</t>
  </si>
  <si>
    <t>Коэффициент специфики опытного производства</t>
  </si>
  <si>
    <t>Nз</t>
  </si>
  <si>
    <t>Количество заготовок, шт.</t>
  </si>
  <si>
    <t>Коэффициент серийности</t>
  </si>
  <si>
    <t>Трудоёмкость разработки программы электроконтроля, час</t>
  </si>
  <si>
    <t>Трудоёмкость первичного (первая заявка)  тестирования одной заготовки, час</t>
  </si>
  <si>
    <t>Трсз</t>
  </si>
  <si>
    <t xml:space="preserve">Трудоёмкость тестирования одной заготовки (следующие заявки), час </t>
  </si>
  <si>
    <t>Первичный электроконтроль</t>
  </si>
  <si>
    <t>Цэ1 = Цнч*Трпп/Nпл, руб. без НДС</t>
  </si>
  <si>
    <t>Повторный электроконтроль</t>
  </si>
  <si>
    <t>Цэп = Цнч*Трсз/Nпл, руб. без НДС</t>
  </si>
  <si>
    <t>Приложение к расчету стоимости изготовления печатных плат</t>
  </si>
  <si>
    <t>Материалы (все)</t>
  </si>
  <si>
    <t>Работа (импульс)</t>
  </si>
  <si>
    <t>Работа (МПП)</t>
  </si>
  <si>
    <t>3.1</t>
  </si>
  <si>
    <t>3.2</t>
  </si>
  <si>
    <t>Орион, контроль, упаковка</t>
  </si>
  <si>
    <t>3.3</t>
  </si>
  <si>
    <t>Подготовка</t>
  </si>
  <si>
    <t xml:space="preserve">Экономист </t>
  </si>
  <si>
    <t xml:space="preserve">Расчет стоимости изготовления печатных плат </t>
  </si>
  <si>
    <t>Срок изготовления, раб.дней</t>
  </si>
  <si>
    <t>Нормы</t>
  </si>
  <si>
    <t>*</t>
  </si>
  <si>
    <t>Наименование материала (произвольное)</t>
  </si>
  <si>
    <t>Тип</t>
  </si>
  <si>
    <t>Расчет на МПП?</t>
  </si>
  <si>
    <t>Цена одной</t>
  </si>
  <si>
    <t>Формулы для связи с другими книгами</t>
  </si>
  <si>
    <t>тё изгот шаблонов</t>
  </si>
  <si>
    <t>Номер столбца в таб.тё</t>
  </si>
  <si>
    <t>тё паспортизации</t>
  </si>
  <si>
    <t>мп_пробивки_те</t>
  </si>
  <si>
    <t>мп_проверки_те</t>
  </si>
  <si>
    <t>Трудоемкость_сверления</t>
  </si>
  <si>
    <t>Номер размера заг МПП</t>
  </si>
  <si>
    <t>Трудоемкость_сверления_всех</t>
  </si>
  <si>
    <t>Время_мастерплат_фрезеровки</t>
  </si>
  <si>
    <t>Тф1пл</t>
  </si>
  <si>
    <t>Тф2пл</t>
  </si>
  <si>
    <t>То</t>
  </si>
  <si>
    <t>Тип маркировки (0-нет, 1-ФМ, 2-Легенд, 3-СГ)</t>
  </si>
  <si>
    <t>Legend 2</t>
  </si>
  <si>
    <t>Нет или Материал заказчика</t>
  </si>
  <si>
    <t xml:space="preserve">Тип стеклоткани </t>
  </si>
  <si>
    <t>ID</t>
  </si>
  <si>
    <r>
      <t>Фрезеровка, трудоемкость,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 xml:space="preserve">,час/загот.        </t>
    </r>
  </si>
  <si>
    <t xml:space="preserve">Коэффициент срочности Кср
</t>
  </si>
  <si>
    <t>Чернила для маркировщика</t>
  </si>
  <si>
    <t>на двустороннюю добавляется нарезка заготовок</t>
  </si>
  <si>
    <t>Аммиак марка А</t>
  </si>
  <si>
    <t>найдено в базе</t>
  </si>
  <si>
    <t>ЕСЛИОШИБКА(getMatter(D10);"")</t>
  </si>
  <si>
    <t>Аммоний сернокислый</t>
  </si>
  <si>
    <t xml:space="preserve">Аноды оловянные </t>
  </si>
  <si>
    <t xml:space="preserve">Бумага кабельная К-120 </t>
  </si>
  <si>
    <t xml:space="preserve">Кислота борная </t>
  </si>
  <si>
    <t xml:space="preserve">Кислота серная  </t>
  </si>
  <si>
    <t xml:space="preserve">Кислота соляная  </t>
  </si>
  <si>
    <t xml:space="preserve">Медь сернокислая 5- водная  </t>
  </si>
  <si>
    <t xml:space="preserve">Микрошлифпорошок </t>
  </si>
  <si>
    <t xml:space="preserve">Натрий гидроокись </t>
  </si>
  <si>
    <t xml:space="preserve">Перекись водорода </t>
  </si>
  <si>
    <t>Плёнка разделительная PACOTHANE НТ1500</t>
  </si>
  <si>
    <t xml:space="preserve">Сода кальцинированная </t>
  </si>
  <si>
    <t>Состав ELO-FAST 40 Accelerator</t>
  </si>
  <si>
    <t>Состав Bondfilm HC 100</t>
  </si>
  <si>
    <t>Состав Bondfilm HC 200</t>
  </si>
  <si>
    <t>Состав Hydrox 35</t>
  </si>
  <si>
    <t>Состав Cupracid TP Leveller</t>
  </si>
  <si>
    <t>Состав Cupracid Brightener</t>
  </si>
  <si>
    <t>Состав Cupracid Starter</t>
  </si>
  <si>
    <t>Состав Securiganth P Sweller</t>
  </si>
  <si>
    <t>Состав Securiganth P 500 Dosing Solution</t>
  </si>
  <si>
    <t>Состав Securiganth P 500 Reduction Conditioner</t>
  </si>
  <si>
    <t>Состав Securiganth 902 Cleaner (EU)</t>
  </si>
  <si>
    <t>Состав Neoganth B Pre Dip</t>
  </si>
  <si>
    <t>Состав Neoganth Activator 834</t>
  </si>
  <si>
    <t>Состав Neoganth WA Reducer S</t>
  </si>
  <si>
    <t>Состав Noviganth HC Make-up</t>
  </si>
  <si>
    <t>Состав Noviganth HC Stabilizer</t>
  </si>
  <si>
    <t>Состав Cu-Reduction Solution</t>
  </si>
  <si>
    <t>Состав Noviganth HC Additive</t>
  </si>
  <si>
    <t>Состав Tin Salt 235</t>
  </si>
  <si>
    <t>Состав Sulfotech LST A</t>
  </si>
  <si>
    <t>Состав Sulfotech LST B</t>
  </si>
  <si>
    <t>Состав Cupra Pro S2</t>
  </si>
  <si>
    <t>Состав SolderStrip TS Delta</t>
  </si>
  <si>
    <t>Состав SolderStrip TS Omega</t>
  </si>
  <si>
    <t>Состав Acidclean UC</t>
  </si>
  <si>
    <t>Состав ResistStrip RR-3</t>
  </si>
  <si>
    <t>Состав Antifoam 915</t>
  </si>
  <si>
    <t>Состав СupraEtch UA 75</t>
  </si>
  <si>
    <t>Состав СupraEtch Starter</t>
  </si>
  <si>
    <t>Состав двухкомпонентный MecEtchBond CZ-5480-E1</t>
  </si>
  <si>
    <t>Состав двухкомпонентный MecEtchBond CZ-5480-E2</t>
  </si>
  <si>
    <t>Фоторезист сухой пленочный 40 мкм</t>
  </si>
  <si>
    <t>Фоторезист сухой пленочный 50 мкм</t>
  </si>
  <si>
    <t>Состав Bondfilm Cleaner ALK</t>
  </si>
  <si>
    <t>Состав Bondfilm Activator</t>
  </si>
  <si>
    <t>Состав Bondfilm Starter</t>
  </si>
  <si>
    <t>Внутр. слои, кг/м2</t>
  </si>
  <si>
    <t>Внешн. слои, кг/м2</t>
  </si>
  <si>
    <t>Фольга</t>
  </si>
  <si>
    <t xml:space="preserve">СТФ2 18 0.13 1 кл </t>
  </si>
  <si>
    <t xml:space="preserve">СТФ2 18 0.18 1 кл </t>
  </si>
  <si>
    <t xml:space="preserve">СТФ2 18 0.2 1 кл </t>
  </si>
  <si>
    <t xml:space="preserve">СТФ2 35 0.1 1 кл </t>
  </si>
  <si>
    <t xml:space="preserve">СТФ2 35 0.25 1 кл </t>
  </si>
  <si>
    <t xml:space="preserve">СТФ2 35 0.2 1 кл </t>
  </si>
  <si>
    <t xml:space="preserve">СТФ 2 35 0.13 1 кл </t>
  </si>
  <si>
    <t>RO4350B 0.168 035/035</t>
  </si>
  <si>
    <t>RO4350B 0.254 017/017</t>
  </si>
  <si>
    <t>RO4350B 0.254 035/035</t>
  </si>
  <si>
    <t xml:space="preserve">RO4360G2 18/18 0.508 </t>
  </si>
  <si>
    <t xml:space="preserve">RO4360G2 18/18 1.524 </t>
  </si>
  <si>
    <t>RO4350B 0.508 017/017</t>
  </si>
  <si>
    <t>RO4350B 0.508 035/035</t>
  </si>
  <si>
    <t>RO4350B 0.762 035/035</t>
  </si>
  <si>
    <t>DE104ML 18/18 0.8</t>
  </si>
  <si>
    <t>FR 4 35/35 0.15</t>
  </si>
  <si>
    <t>FR 4 35/35 0.8</t>
  </si>
  <si>
    <t>FR 4 МИ 18/18 1.5 1кл.</t>
  </si>
  <si>
    <t>FR 4 МИ 50/50 2.0</t>
  </si>
  <si>
    <t>МИ1222.9 2 105 1.5 1кл.</t>
  </si>
  <si>
    <t>МИ1222.9 2 105 2.0 1кл.</t>
  </si>
  <si>
    <t>МИ1222.9 2 18 1.0 1кл.</t>
  </si>
  <si>
    <t>МИ1222.9 2 18 1.5 1кл.</t>
  </si>
  <si>
    <t>МИ1222.9 2 18 2.0 1кл.</t>
  </si>
  <si>
    <t>МИ1222.9 2 35 1.0 1кл.</t>
  </si>
  <si>
    <t>МИ1222.9 2 35 1.5 1кл.</t>
  </si>
  <si>
    <t>МИ1222.9 2 35 2.0 1кл.</t>
  </si>
  <si>
    <t>МИ1222.9 2 35 2.5 1кл.</t>
  </si>
  <si>
    <t>МИ1222.9 2 50 1.0 1кл.</t>
  </si>
  <si>
    <t>МИ1222.9 2 50 1.5 1кл.</t>
  </si>
  <si>
    <t>МИ1222.9 2 50 2.0 1кл</t>
  </si>
  <si>
    <t>СТФ 1 35 0.13 1кл.</t>
  </si>
  <si>
    <t>СТФ 1 35 0.2 1кл.</t>
  </si>
  <si>
    <t>СТФ 2 18 0.13 1кл.</t>
  </si>
  <si>
    <t>СТФ 2 18 0.13 1кл. "ОС"</t>
  </si>
  <si>
    <t>СТФ 2 18 0.18 1кл.</t>
  </si>
  <si>
    <t>СТФ 2 18 0.18 1кл. "ОС"</t>
  </si>
  <si>
    <t>СТФ 2 18 0.2 1кл</t>
  </si>
  <si>
    <t>СТФ 2 35 0.1 1кл</t>
  </si>
  <si>
    <t xml:space="preserve">СТФ 2 35 0.13 1кл. </t>
  </si>
  <si>
    <t>СТФ 2 35 0.2 1кл.</t>
  </si>
  <si>
    <t>СТФ 2 35 0.2 1кл. "ОС"</t>
  </si>
  <si>
    <t>СТФ 2 35 2.5 1кл.</t>
  </si>
  <si>
    <t>СТФ 2 35 3.0 1кл.</t>
  </si>
  <si>
    <t>СТФ 2 50 2.0 1кл.</t>
  </si>
  <si>
    <t xml:space="preserve">DE104ML 18/18 0.8 </t>
  </si>
  <si>
    <t xml:space="preserve">DE104ML 18/18 0.1 </t>
  </si>
  <si>
    <t>DE104ML 18/18 0.15</t>
  </si>
  <si>
    <t xml:space="preserve">DE104ML 18/18 0.18 </t>
  </si>
  <si>
    <t xml:space="preserve">DE104ML 18/18 0.2 </t>
  </si>
  <si>
    <t xml:space="preserve">DE104ML 18/18 0.25 </t>
  </si>
  <si>
    <t>DE104ML 18/18 0.36</t>
  </si>
  <si>
    <t>DE104ML 18/18 0.51</t>
  </si>
  <si>
    <t>DE104ML 18/18 1.0</t>
  </si>
  <si>
    <t>DE104ML 18/70 0.1</t>
  </si>
  <si>
    <t>DE104ML 18/105 0.1</t>
  </si>
  <si>
    <t>DE104ML 35/35 0.1</t>
  </si>
  <si>
    <t>DE104ML 35/35 0.15</t>
  </si>
  <si>
    <t>DE104ML 35/35 0.20</t>
  </si>
  <si>
    <t>DE104ML 35/35 0.25</t>
  </si>
  <si>
    <t>DE104ML 35/35 0.36</t>
  </si>
  <si>
    <t>DE104ML 35/35 0.51</t>
  </si>
  <si>
    <t>DE104ML 35/35 0.8</t>
  </si>
  <si>
    <t>DE104ML 35/35 1.0</t>
  </si>
  <si>
    <t>DE104ML 105/105 0.15</t>
  </si>
  <si>
    <t>DE104ML 12/12 0.1</t>
  </si>
  <si>
    <t>DE104ML 50/50 0.51</t>
  </si>
  <si>
    <t>Стеклоткань прокладочная DE104ML 1080AT01</t>
  </si>
  <si>
    <t>Сверло твердосплавное</t>
  </si>
  <si>
    <t>Припой ПОС</t>
  </si>
  <si>
    <t>Фотоплёнка</t>
  </si>
  <si>
    <t>Проявитель</t>
  </si>
  <si>
    <t>Фиксаж</t>
  </si>
  <si>
    <t>Стеклотекстолит фольгированный FR-4</t>
  </si>
  <si>
    <t>Гетинакс 1,0 мм</t>
  </si>
  <si>
    <t>Гетинакс 1,5 мм</t>
  </si>
  <si>
    <t>Защитная паяльная маска  X 501 T-4 зеленая</t>
  </si>
  <si>
    <t>Защитная паяльная маска  X 501 T-4 бел</t>
  </si>
  <si>
    <t>Защитная паяльная маска Dynamask 5030</t>
  </si>
  <si>
    <t>шт</t>
  </si>
  <si>
    <t>DE104 18/18 0.36</t>
  </si>
  <si>
    <t>DE104 18/18 1.5</t>
  </si>
  <si>
    <t>DE104 18/18 2.0</t>
  </si>
  <si>
    <t>DE104 35/35 0.36</t>
  </si>
  <si>
    <t>DE104 35/35 1.0</t>
  </si>
  <si>
    <t>DE104 35/35 1.5</t>
  </si>
  <si>
    <t>DE104 35/35 2.0</t>
  </si>
  <si>
    <t>DE104 35/35 2.4</t>
  </si>
  <si>
    <t>DE104 35/35 3.2</t>
  </si>
  <si>
    <t>DE104 50/50 1.5</t>
  </si>
  <si>
    <t>DE104 50/50 2.0</t>
  </si>
  <si>
    <t>МИ1222.8-2-18-0.1 1кл.</t>
  </si>
  <si>
    <t>МИ1222.8-2-18-0.15 1кл.</t>
  </si>
  <si>
    <t>МИ1222.8-2-18-0.18 1кл.</t>
  </si>
  <si>
    <t>МИ1222.8-2-18-0.2 1кл.</t>
  </si>
  <si>
    <t>МИ1222.8-2-35-0.1 1кл.</t>
  </si>
  <si>
    <t>МИ1222.8-2-35-0.15 1кл.</t>
  </si>
  <si>
    <t>МИ1222.8-2-35-0.2 1кл.</t>
  </si>
  <si>
    <t>Стеклоткань прокладочная МИ6222-0.062</t>
  </si>
  <si>
    <t>Стеклоткань прокладочная СТП4-0.062</t>
  </si>
  <si>
    <t xml:space="preserve">     Расчет  расхода и стоимости химикатов, базовых, дополнительных материалов, сверл и фрез</t>
  </si>
  <si>
    <t>АМФ</t>
  </si>
  <si>
    <t>олово</t>
  </si>
  <si>
    <t>Прокладка для сверления верхняя</t>
  </si>
  <si>
    <t xml:space="preserve">               Расчет расхода и стоимости материалов для изготовления фотошаблонов</t>
  </si>
  <si>
    <t>Расчет расхода и стоимости материалов для изготовления мастерплаты сверления</t>
  </si>
  <si>
    <t>Расчет расхода и стоимости материалов для нанесения защитной маски и фотомаркировки</t>
  </si>
  <si>
    <t>Расчет расхода и стоимости материалов для нанесения ГорПОС</t>
  </si>
  <si>
    <t xml:space="preserve">Прокладка для сверления верхняя </t>
  </si>
  <si>
    <t>медь дву</t>
  </si>
  <si>
    <t>КМ+ЖМ</t>
  </si>
  <si>
    <t>Текстолит</t>
  </si>
  <si>
    <t>FV-EP-GC-Cu-35/35</t>
  </si>
  <si>
    <t>Номер текстолита1 в списке</t>
  </si>
  <si>
    <t>Текстолит1</t>
  </si>
  <si>
    <t>Текстолит2</t>
  </si>
  <si>
    <t>Количество листов</t>
  </si>
  <si>
    <t>Номер текстолита2 в списке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</si>
</sst>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[$-F800]dddd\,\ mmmm\ dd\,\ yyyy"/>
    <numFmt numFmtId="172" formatCode="#,##0\ &quot;₽&quot;"/>
  </numFmts>
  <fonts count="52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0"/>
      <color rgb="FF000000"/>
      <name val="Arial Cyr"/>
    </font>
    <font>
      <sz val="12"/>
      <color theme="0"/>
      <name val="Arial Cyr"/>
      <charset val="204"/>
    </font>
    <font>
      <sz val="12"/>
      <name val="Arial"/>
      <family val="2"/>
      <charset val="204"/>
    </font>
    <font>
      <sz val="12"/>
      <name val="Arial Cyr"/>
    </font>
    <font>
      <sz val="8"/>
      <color theme="1"/>
      <name val="Arial Cyr"/>
      <charset val="204"/>
    </font>
    <font>
      <sz val="12"/>
      <color theme="1"/>
      <name val="Arial Cyr"/>
      <charset val="204"/>
    </font>
    <font>
      <sz val="12"/>
      <color theme="1"/>
      <name val="Arial Cyr"/>
    </font>
    <font>
      <sz val="12"/>
      <color theme="1"/>
      <name val="Arial"/>
      <family val="2"/>
      <charset val="204"/>
    </font>
    <font>
      <sz val="11"/>
      <color rgb="FF000000"/>
      <name val="Arial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C0C0C0"/>
        <bgColor rgb="FF000000"/>
      </patternFill>
    </fill>
    <fill>
      <patternFill patternType="solid">
        <fgColor theme="5" tint="0.79998168889431442"/>
        <bgColor theme="5" tint="0.79998168889431442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5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5" tint="0.39997558519241921"/>
      </bottom>
      <diagonal/>
    </border>
  </borders>
  <cellStyleXfs count="46">
    <xf numFmtId="0" fontId="0" fillId="0" borderId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NumberFormat="0" applyBorder="0" applyAlignment="0" applyProtection="0"/>
    <xf numFmtId="0" fontId="28" fillId="29" borderId="44" applyNumberFormat="0" applyAlignment="0" applyProtection="0"/>
    <xf numFmtId="0" fontId="29" fillId="30" borderId="45" applyNumberFormat="0" applyAlignment="0" applyProtection="0"/>
    <xf numFmtId="0" fontId="30" fillId="30" borderId="44" applyNumberFormat="0" applyAlignment="0" applyProtection="0"/>
    <xf numFmtId="0" fontId="31" fillId="0" borderId="46" applyNumberFormat="0" applyFill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49" applyNumberFormat="0" applyFill="0" applyAlignment="0" applyProtection="0"/>
    <xf numFmtId="0" fontId="35" fillId="31" borderId="50" applyNumberFormat="0" applyAlignment="0" applyProtection="0"/>
    <xf numFmtId="0" fontId="36" fillId="0" borderId="0" applyNumberFormat="0" applyFill="0" applyBorder="0" applyAlignment="0" applyProtection="0"/>
    <xf numFmtId="0" fontId="37" fillId="32" borderId="0" applyNumberFormat="0" applyBorder="0" applyAlignment="0" applyProtection="0"/>
    <xf numFmtId="171" fontId="11" fillId="0" borderId="0"/>
    <xf numFmtId="0" fontId="38" fillId="33" borderId="0" applyNumberFormat="0" applyBorder="0" applyAlignment="0" applyProtection="0"/>
    <xf numFmtId="0" fontId="39" fillId="0" borderId="0" applyNumberFormat="0" applyFill="0" applyBorder="0" applyAlignment="0" applyProtection="0"/>
    <xf numFmtId="0" fontId="19" fillId="34" borderId="51" applyNumberFormat="0" applyFont="0" applyAlignment="0" applyProtection="0"/>
    <xf numFmtId="0" fontId="18" fillId="34" borderId="51" applyNumberFormat="0" applyFont="0" applyAlignment="0" applyProtection="0"/>
    <xf numFmtId="9" fontId="11" fillId="0" borderId="0" applyFont="0" applyFill="0" applyBorder="0" applyAlignment="0" applyProtection="0"/>
    <xf numFmtId="0" fontId="40" fillId="0" borderId="52" applyNumberFormat="0" applyFill="0" applyAlignment="0" applyProtection="0"/>
    <xf numFmtId="0" fontId="41" fillId="0" borderId="0" applyNumberFormat="0" applyFill="0" applyBorder="0" applyAlignment="0" applyProtection="0"/>
    <xf numFmtId="0" fontId="42" fillId="35" borderId="0" applyNumberFormat="0" applyBorder="0" applyAlignment="0" applyProtection="0"/>
    <xf numFmtId="0" fontId="1" fillId="0" borderId="0"/>
  </cellStyleXfs>
  <cellXfs count="471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3" fillId="0" borderId="4" xfId="0" applyFont="1" applyBorder="1"/>
    <xf numFmtId="14" fontId="2" fillId="0" borderId="5" xfId="0" applyNumberFormat="1" applyFont="1" applyBorder="1"/>
    <xf numFmtId="0" fontId="0" fillId="0" borderId="6" xfId="0" applyBorder="1"/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4" xfId="0" applyFont="1" applyBorder="1" applyAlignment="1">
      <alignment horizontal="right"/>
    </xf>
    <xf numFmtId="0" fontId="0" fillId="0" borderId="4" xfId="0" applyBorder="1"/>
    <xf numFmtId="0" fontId="4" fillId="0" borderId="3" xfId="0" applyFont="1" applyBorder="1" applyAlignment="1">
      <alignment horizontal="center"/>
    </xf>
    <xf numFmtId="0" fontId="4" fillId="0" borderId="0" xfId="0" applyFont="1"/>
    <xf numFmtId="2" fontId="2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2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168" fontId="2" fillId="0" borderId="14" xfId="0" applyNumberFormat="1" applyFont="1" applyBorder="1" applyProtection="1">
      <protection locked="0"/>
    </xf>
    <xf numFmtId="0" fontId="2" fillId="0" borderId="14" xfId="0" applyFont="1" applyBorder="1" applyAlignment="1">
      <alignment horizontal="center"/>
    </xf>
    <xf numFmtId="0" fontId="0" fillId="0" borderId="2" xfId="0" applyBorder="1"/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9" xfId="0" applyFont="1" applyBorder="1"/>
    <xf numFmtId="0" fontId="8" fillId="0" borderId="0" xfId="0" applyFont="1"/>
    <xf numFmtId="0" fontId="10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8" fillId="0" borderId="0" xfId="0" applyFont="1" applyBorder="1"/>
    <xf numFmtId="0" fontId="6" fillId="0" borderId="7" xfId="0" applyFont="1" applyBorder="1" applyAlignment="1">
      <alignment horizontal="center"/>
    </xf>
    <xf numFmtId="2" fontId="0" fillId="0" borderId="0" xfId="0" applyNumberFormat="1"/>
    <xf numFmtId="0" fontId="0" fillId="0" borderId="15" xfId="0" applyBorder="1" applyAlignment="1">
      <alignment horizontal="center"/>
    </xf>
    <xf numFmtId="0" fontId="8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0" fillId="3" borderId="4" xfId="0" applyFill="1" applyBorder="1"/>
    <xf numFmtId="2" fontId="11" fillId="3" borderId="2" xfId="0" applyNumberFormat="1" applyFont="1" applyFill="1" applyBorder="1" applyAlignment="1">
      <alignment horizontal="center"/>
    </xf>
    <xf numFmtId="0" fontId="13" fillId="0" borderId="4" xfId="0" applyFont="1" applyBorder="1"/>
    <xf numFmtId="0" fontId="0" fillId="3" borderId="2" xfId="0" applyFill="1" applyBorder="1"/>
    <xf numFmtId="0" fontId="10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7" fontId="8" fillId="0" borderId="0" xfId="0" applyNumberFormat="1" applyFont="1"/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vertical="top" wrapText="1"/>
    </xf>
    <xf numFmtId="0" fontId="8" fillId="0" borderId="16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center" vertical="top" wrapText="1"/>
    </xf>
    <xf numFmtId="0" fontId="0" fillId="0" borderId="17" xfId="0" applyBorder="1"/>
    <xf numFmtId="0" fontId="2" fillId="0" borderId="7" xfId="0" applyFont="1" applyBorder="1" applyAlignment="1" applyProtection="1">
      <alignment horizontal="center"/>
      <protection locked="0"/>
    </xf>
    <xf numFmtId="0" fontId="11" fillId="0" borderId="4" xfId="0" applyFont="1" applyBorder="1"/>
    <xf numFmtId="2" fontId="2" fillId="0" borderId="7" xfId="0" applyNumberFormat="1" applyFont="1" applyBorder="1" applyAlignment="1" applyProtection="1">
      <alignment horizontal="center"/>
      <protection locked="0"/>
    </xf>
    <xf numFmtId="0" fontId="11" fillId="0" borderId="0" xfId="0" applyFont="1" applyBorder="1"/>
    <xf numFmtId="1" fontId="2" fillId="0" borderId="7" xfId="0" applyNumberFormat="1" applyFont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  <xf numFmtId="0" fontId="6" fillId="0" borderId="7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3" fillId="0" borderId="4" xfId="0" applyFont="1" applyBorder="1" applyAlignment="1"/>
    <xf numFmtId="0" fontId="3" fillId="0" borderId="2" xfId="0" applyFont="1" applyBorder="1"/>
    <xf numFmtId="0" fontId="11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1" fillId="0" borderId="10" xfId="0" applyFont="1" applyBorder="1"/>
    <xf numFmtId="0" fontId="11" fillId="0" borderId="9" xfId="0" applyFont="1" applyBorder="1"/>
    <xf numFmtId="0" fontId="11" fillId="0" borderId="0" xfId="0" applyFont="1" applyFill="1" applyBorder="1"/>
    <xf numFmtId="2" fontId="6" fillId="0" borderId="0" xfId="0" applyNumberFormat="1" applyFont="1" applyBorder="1" applyAlignment="1">
      <alignment horizontal="center"/>
    </xf>
    <xf numFmtId="0" fontId="0" fillId="0" borderId="18" xfId="0" applyBorder="1"/>
    <xf numFmtId="2" fontId="0" fillId="0" borderId="19" xfId="0" applyNumberFormat="1" applyBorder="1" applyAlignment="1">
      <alignment horizontal="center"/>
    </xf>
    <xf numFmtId="0" fontId="0" fillId="0" borderId="2" xfId="0" applyFill="1" applyBorder="1"/>
    <xf numFmtId="0" fontId="2" fillId="0" borderId="7" xfId="0" applyFont="1" applyFill="1" applyBorder="1" applyAlignment="1" applyProtection="1">
      <alignment horizontal="center"/>
      <protection locked="0"/>
    </xf>
    <xf numFmtId="0" fontId="0" fillId="0" borderId="17" xfId="0" applyFont="1" applyBorder="1" applyAlignment="1">
      <alignment horizontal="left" vertical="top" wrapText="1"/>
    </xf>
    <xf numFmtId="0" fontId="15" fillId="0" borderId="0" xfId="0" applyFont="1"/>
    <xf numFmtId="0" fontId="0" fillId="0" borderId="2" xfId="0" applyBorder="1" applyAlignment="1">
      <alignment horizontal="center" vertical="top"/>
    </xf>
    <xf numFmtId="0" fontId="0" fillId="0" borderId="0" xfId="0" applyFont="1"/>
    <xf numFmtId="0" fontId="0" fillId="0" borderId="2" xfId="0" applyFill="1" applyBorder="1" applyAlignment="1">
      <alignment horizontal="center"/>
    </xf>
    <xf numFmtId="0" fontId="11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2" fontId="8" fillId="0" borderId="2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NumberFormat="1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2" fontId="8" fillId="0" borderId="2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2" fontId="10" fillId="0" borderId="7" xfId="0" applyNumberFormat="1" applyFont="1" applyBorder="1" applyAlignment="1">
      <alignment horizontal="center" wrapText="1"/>
    </xf>
    <xf numFmtId="169" fontId="8" fillId="0" borderId="2" xfId="0" applyNumberFormat="1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2" fontId="8" fillId="0" borderId="0" xfId="0" applyNumberFormat="1" applyFont="1" applyBorder="1" applyAlignment="1">
      <alignment horizontal="center" wrapText="1"/>
    </xf>
    <xf numFmtId="2" fontId="10" fillId="0" borderId="0" xfId="0" applyNumberFormat="1" applyFont="1" applyBorder="1" applyAlignment="1">
      <alignment horizontal="center" wrapText="1"/>
    </xf>
    <xf numFmtId="2" fontId="8" fillId="0" borderId="2" xfId="0" applyNumberFormat="1" applyFont="1" applyFill="1" applyBorder="1" applyAlignment="1">
      <alignment vertical="distributed" wrapText="1"/>
    </xf>
    <xf numFmtId="0" fontId="8" fillId="0" borderId="2" xfId="0" applyFont="1" applyFill="1" applyBorder="1" applyAlignment="1">
      <alignment wrapText="1"/>
    </xf>
    <xf numFmtId="0" fontId="10" fillId="0" borderId="0" xfId="0" applyNumberFormat="1" applyFont="1" applyFill="1" applyBorder="1" applyAlignment="1">
      <alignment wrapText="1"/>
    </xf>
    <xf numFmtId="0" fontId="10" fillId="0" borderId="0" xfId="0" applyFont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8" xfId="0" applyFill="1" applyBorder="1" applyAlignment="1">
      <alignment horizontal="left"/>
    </xf>
    <xf numFmtId="0" fontId="0" fillId="0" borderId="0" xfId="0" applyFill="1" applyBorder="1"/>
    <xf numFmtId="0" fontId="0" fillId="0" borderId="20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1" fillId="0" borderId="2" xfId="0" applyFont="1" applyFill="1" applyBorder="1"/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7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7" fillId="0" borderId="0" xfId="0" applyFont="1" applyFill="1"/>
    <xf numFmtId="0" fontId="0" fillId="0" borderId="0" xfId="0" applyFill="1" applyAlignment="1"/>
    <xf numFmtId="0" fontId="0" fillId="0" borderId="21" xfId="0" applyFill="1" applyBorder="1"/>
    <xf numFmtId="0" fontId="0" fillId="0" borderId="13" xfId="0" applyFill="1" applyBorder="1"/>
    <xf numFmtId="0" fontId="0" fillId="0" borderId="10" xfId="0" applyFill="1" applyBorder="1"/>
    <xf numFmtId="169" fontId="0" fillId="0" borderId="0" xfId="0" applyNumberFormat="1"/>
    <xf numFmtId="0" fontId="4" fillId="0" borderId="24" xfId="0" applyFont="1" applyBorder="1"/>
    <xf numFmtId="0" fontId="4" fillId="0" borderId="24" xfId="0" applyFont="1" applyBorder="1" applyAlignment="1">
      <alignment horizontal="center"/>
    </xf>
    <xf numFmtId="0" fontId="20" fillId="0" borderId="0" xfId="0" applyFont="1"/>
    <xf numFmtId="2" fontId="2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0" fillId="0" borderId="25" xfId="0" applyBorder="1"/>
    <xf numFmtId="2" fontId="0" fillId="0" borderId="32" xfId="0" applyNumberFormat="1" applyBorder="1"/>
    <xf numFmtId="2" fontId="0" fillId="0" borderId="22" xfId="0" applyNumberFormat="1" applyBorder="1"/>
    <xf numFmtId="2" fontId="0" fillId="0" borderId="26" xfId="0" applyNumberFormat="1" applyBorder="1"/>
    <xf numFmtId="0" fontId="0" fillId="0" borderId="17" xfId="0" applyFill="1" applyBorder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2" fontId="8" fillId="0" borderId="2" xfId="0" applyNumberFormat="1" applyFont="1" applyFill="1" applyBorder="1" applyAlignment="1">
      <alignment horizontal="left" vertical="top" wrapText="1"/>
    </xf>
    <xf numFmtId="2" fontId="8" fillId="0" borderId="2" xfId="0" applyNumberFormat="1" applyFont="1" applyBorder="1" applyAlignment="1">
      <alignment horizontal="center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center"/>
    </xf>
    <xf numFmtId="0" fontId="8" fillId="0" borderId="2" xfId="0" applyNumberFormat="1" applyFont="1" applyFill="1" applyBorder="1" applyAlignment="1">
      <alignment horizontal="left" vertical="top" wrapText="1"/>
    </xf>
    <xf numFmtId="0" fontId="8" fillId="0" borderId="2" xfId="0" applyFont="1" applyBorder="1"/>
    <xf numFmtId="170" fontId="8" fillId="0" borderId="2" xfId="0" applyNumberFormat="1" applyFont="1" applyBorder="1" applyAlignment="1">
      <alignment horizontal="center" wrapText="1"/>
    </xf>
    <xf numFmtId="0" fontId="0" fillId="0" borderId="33" xfId="0" applyBorder="1"/>
    <xf numFmtId="0" fontId="6" fillId="0" borderId="0" xfId="0" applyFont="1" applyAlignment="1"/>
    <xf numFmtId="0" fontId="15" fillId="0" borderId="0" xfId="0" applyFont="1" applyBorder="1"/>
    <xf numFmtId="0" fontId="21" fillId="0" borderId="0" xfId="0" applyFont="1" applyBorder="1"/>
    <xf numFmtId="0" fontId="15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3" fillId="0" borderId="4" xfId="0" applyFont="1" applyBorder="1" applyAlignment="1">
      <alignment vertical="center"/>
    </xf>
    <xf numFmtId="0" fontId="3" fillId="0" borderId="2" xfId="0" applyFont="1" applyBorder="1" applyAlignment="1">
      <alignment horizontal="left"/>
    </xf>
    <xf numFmtId="0" fontId="8" fillId="0" borderId="2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/>
    </xf>
    <xf numFmtId="0" fontId="25" fillId="0" borderId="0" xfId="0" applyFont="1"/>
    <xf numFmtId="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0" fillId="0" borderId="34" xfId="0" applyBorder="1" applyAlignment="1">
      <alignment wrapText="1"/>
    </xf>
    <xf numFmtId="0" fontId="2" fillId="0" borderId="27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34" xfId="0" applyBorder="1" applyAlignment="1"/>
    <xf numFmtId="0" fontId="0" fillId="0" borderId="15" xfId="0" applyFill="1" applyBorder="1" applyAlignment="1">
      <alignment horizontal="center"/>
    </xf>
    <xf numFmtId="0" fontId="0" fillId="0" borderId="35" xfId="0" applyBorder="1"/>
    <xf numFmtId="0" fontId="0" fillId="0" borderId="3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7" xfId="0" applyBorder="1"/>
    <xf numFmtId="0" fontId="0" fillId="0" borderId="26" xfId="0" applyBorder="1" applyAlignment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0" fontId="8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 applyProtection="1">
      <alignment horizontal="center"/>
    </xf>
    <xf numFmtId="2" fontId="0" fillId="4" borderId="0" xfId="0" applyNumberFormat="1" applyFill="1"/>
    <xf numFmtId="2" fontId="0" fillId="0" borderId="32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6" fillId="0" borderId="22" xfId="0" applyNumberFormat="1" applyFont="1" applyBorder="1" applyAlignment="1">
      <alignment horizontal="center"/>
    </xf>
    <xf numFmtId="0" fontId="0" fillId="0" borderId="0" xfId="0" applyBorder="1" applyAlignment="1">
      <alignment horizontal="right"/>
    </xf>
    <xf numFmtId="0" fontId="8" fillId="0" borderId="0" xfId="0" applyFont="1" applyFill="1"/>
    <xf numFmtId="164" fontId="8" fillId="0" borderId="2" xfId="0" applyNumberFormat="1" applyFont="1" applyBorder="1" applyAlignment="1">
      <alignment horizontal="center" vertical="top" wrapText="1"/>
    </xf>
    <xf numFmtId="164" fontId="8" fillId="0" borderId="2" xfId="0" applyNumberFormat="1" applyFont="1" applyBorder="1" applyAlignment="1">
      <alignment horizontal="center" wrapText="1"/>
    </xf>
    <xf numFmtId="0" fontId="0" fillId="0" borderId="4" xfId="0" applyFont="1" applyFill="1" applyBorder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/>
    </xf>
    <xf numFmtId="166" fontId="0" fillId="0" borderId="4" xfId="0" applyNumberFormat="1" applyBorder="1" applyAlignment="1">
      <alignment horizontal="center"/>
    </xf>
    <xf numFmtId="0" fontId="21" fillId="0" borderId="0" xfId="45" applyFont="1" applyFill="1" applyBorder="1" applyAlignment="1">
      <alignment horizontal="right"/>
    </xf>
    <xf numFmtId="0" fontId="11" fillId="0" borderId="0" xfId="45" applyFont="1" applyFill="1" applyBorder="1"/>
    <xf numFmtId="0" fontId="22" fillId="0" borderId="0" xfId="45" applyFont="1" applyFill="1" applyBorder="1" applyAlignment="1">
      <alignment horizontal="right"/>
    </xf>
    <xf numFmtId="0" fontId="21" fillId="0" borderId="0" xfId="45" applyFont="1" applyFill="1" applyBorder="1"/>
    <xf numFmtId="0" fontId="2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21" fillId="0" borderId="4" xfId="45" applyFont="1" applyFill="1" applyBorder="1"/>
    <xf numFmtId="0" fontId="21" fillId="0" borderId="9" xfId="45" applyFont="1" applyFill="1" applyBorder="1"/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2" fillId="0" borderId="6" xfId="45" applyFont="1" applyFill="1" applyBorder="1" applyAlignment="1">
      <alignment horizontal="center" vertical="top"/>
    </xf>
    <xf numFmtId="0" fontId="21" fillId="0" borderId="6" xfId="45" applyFont="1" applyFill="1" applyBorder="1" applyAlignment="1">
      <alignment horizontal="center" vertical="top"/>
    </xf>
    <xf numFmtId="0" fontId="12" fillId="0" borderId="2" xfId="45" applyFont="1" applyFill="1" applyBorder="1"/>
    <xf numFmtId="4" fontId="21" fillId="0" borderId="2" xfId="45" applyNumberFormat="1" applyFont="1" applyFill="1" applyBorder="1" applyAlignment="1">
      <alignment horizontal="center"/>
    </xf>
    <xf numFmtId="0" fontId="21" fillId="0" borderId="2" xfId="45" applyFont="1" applyFill="1" applyBorder="1" applyAlignment="1">
      <alignment horizontal="center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2" fontId="21" fillId="0" borderId="2" xfId="45" applyNumberFormat="1" applyFont="1" applyFill="1" applyBorder="1" applyAlignment="1">
      <alignment horizontal="center"/>
    </xf>
    <xf numFmtId="4" fontId="21" fillId="0" borderId="22" xfId="45" applyNumberFormat="1" applyFont="1" applyFill="1" applyBorder="1" applyAlignment="1">
      <alignment horizontal="center" vertical="center"/>
    </xf>
    <xf numFmtId="4" fontId="21" fillId="0" borderId="26" xfId="45" applyNumberFormat="1" applyFont="1" applyFill="1" applyBorder="1" applyAlignment="1">
      <alignment horizontal="center"/>
    </xf>
    <xf numFmtId="0" fontId="12" fillId="0" borderId="0" xfId="45" applyFont="1" applyFill="1" applyBorder="1"/>
    <xf numFmtId="0" fontId="15" fillId="0" borderId="0" xfId="45" applyFont="1" applyFill="1" applyBorder="1" applyAlignment="1">
      <alignment horizontal="right"/>
    </xf>
    <xf numFmtId="0" fontId="44" fillId="0" borderId="0" xfId="45" applyFont="1" applyFill="1" applyBorder="1"/>
    <xf numFmtId="49" fontId="0" fillId="0" borderId="0" xfId="0" applyNumberFormat="1"/>
    <xf numFmtId="172" fontId="6" fillId="0" borderId="0" xfId="0" applyNumberFormat="1" applyFont="1"/>
    <xf numFmtId="172" fontId="0" fillId="0" borderId="0" xfId="0" applyNumberFormat="1"/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/>
    </xf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10" xfId="0" applyFont="1" applyBorder="1"/>
    <xf numFmtId="0" fontId="0" fillId="0" borderId="17" xfId="0" applyBorder="1" applyAlignment="1">
      <alignment horizontal="center" vertical="top"/>
    </xf>
    <xf numFmtId="0" fontId="0" fillId="0" borderId="2" xfId="0" applyBorder="1" applyAlignment="1">
      <alignment horizontal="left"/>
    </xf>
    <xf numFmtId="0" fontId="15" fillId="0" borderId="0" xfId="0" applyFont="1" applyAlignment="1"/>
    <xf numFmtId="166" fontId="0" fillId="0" borderId="2" xfId="0" applyNumberFormat="1" applyFill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2" xfId="0" applyNumberFormat="1" applyBorder="1" applyAlignment="1">
      <alignment horizontal="center"/>
    </xf>
    <xf numFmtId="0" fontId="2" fillId="0" borderId="10" xfId="0" applyFont="1" applyBorder="1"/>
    <xf numFmtId="0" fontId="0" fillId="0" borderId="2" xfId="0" applyBorder="1" applyAlignment="1">
      <alignment horizontal="left" vertical="top" wrapText="1"/>
    </xf>
    <xf numFmtId="1" fontId="6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right"/>
    </xf>
    <xf numFmtId="2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6" xfId="0" applyFill="1" applyBorder="1" applyAlignment="1">
      <alignment horizontal="right"/>
    </xf>
    <xf numFmtId="0" fontId="45" fillId="0" borderId="2" xfId="0" applyFont="1" applyFill="1" applyBorder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17" xfId="0" applyFont="1" applyFill="1" applyBorder="1" applyAlignment="1">
      <alignment horizontal="center" vertical="center" wrapText="1"/>
    </xf>
    <xf numFmtId="0" fontId="21" fillId="0" borderId="8" xfId="0" applyFont="1" applyFill="1" applyBorder="1" applyAlignment="1">
      <alignment horizontal="center" vertical="center" wrapText="1"/>
    </xf>
    <xf numFmtId="0" fontId="21" fillId="0" borderId="0" xfId="0" applyFont="1" applyFill="1"/>
    <xf numFmtId="1" fontId="21" fillId="0" borderId="1" xfId="0" applyNumberFormat="1" applyFont="1" applyFill="1" applyBorder="1" applyAlignment="1">
      <alignment horizontal="left" vertical="top" wrapText="1"/>
    </xf>
    <xf numFmtId="2" fontId="21" fillId="0" borderId="1" xfId="0" applyNumberFormat="1" applyFont="1" applyFill="1" applyBorder="1" applyAlignment="1">
      <alignment horizontal="left" vertical="top" wrapText="1"/>
    </xf>
    <xf numFmtId="1" fontId="21" fillId="0" borderId="10" xfId="0" applyNumberFormat="1" applyFont="1" applyFill="1" applyBorder="1" applyAlignment="1">
      <alignment horizontal="center" vertical="center"/>
    </xf>
    <xf numFmtId="2" fontId="21" fillId="0" borderId="2" xfId="0" applyNumberFormat="1" applyFont="1" applyFill="1" applyBorder="1" applyAlignment="1">
      <alignment horizontal="left" vertical="top" wrapText="1"/>
    </xf>
    <xf numFmtId="1" fontId="21" fillId="0" borderId="4" xfId="0" applyNumberFormat="1" applyFont="1" applyFill="1" applyBorder="1" applyAlignment="1">
      <alignment horizontal="center" vertical="center"/>
    </xf>
    <xf numFmtId="1" fontId="21" fillId="0" borderId="16" xfId="0" applyNumberFormat="1" applyFont="1" applyFill="1" applyBorder="1" applyAlignment="1">
      <alignment horizontal="left" vertical="top" wrapText="1"/>
    </xf>
    <xf numFmtId="2" fontId="21" fillId="0" borderId="17" xfId="0" applyNumberFormat="1" applyFont="1" applyFill="1" applyBorder="1" applyAlignment="1">
      <alignment horizontal="left" vertical="top" wrapText="1"/>
    </xf>
    <xf numFmtId="1" fontId="21" fillId="0" borderId="8" xfId="0" applyNumberFormat="1" applyFont="1" applyFill="1" applyBorder="1" applyAlignment="1">
      <alignment horizontal="center" vertical="center"/>
    </xf>
    <xf numFmtId="1" fontId="46" fillId="0" borderId="16" xfId="0" applyNumberFormat="1" applyFont="1" applyFill="1" applyBorder="1" applyAlignment="1">
      <alignment horizontal="left" vertical="top" wrapText="1"/>
    </xf>
    <xf numFmtId="1" fontId="46" fillId="0" borderId="8" xfId="0" applyNumberFormat="1" applyFont="1" applyFill="1" applyBorder="1" applyAlignment="1">
      <alignment horizontal="center" vertical="center"/>
    </xf>
    <xf numFmtId="2" fontId="46" fillId="0" borderId="2" xfId="0" applyNumberFormat="1" applyFont="1" applyFill="1" applyBorder="1" applyAlignment="1">
      <alignment horizontal="left" vertical="top" wrapText="1"/>
    </xf>
    <xf numFmtId="0" fontId="0" fillId="0" borderId="17" xfId="0" applyFill="1" applyBorder="1" applyAlignment="1">
      <alignment horizontal="center" vertical="top"/>
    </xf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8" fillId="0" borderId="0" xfId="0" applyFont="1" applyBorder="1" applyAlignment="1">
      <alignment vertical="top" wrapText="1"/>
    </xf>
    <xf numFmtId="2" fontId="8" fillId="0" borderId="17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0" fontId="10" fillId="0" borderId="0" xfId="0" applyNumberFormat="1" applyFont="1" applyFill="1" applyBorder="1"/>
    <xf numFmtId="166" fontId="8" fillId="0" borderId="0" xfId="0" applyNumberFormat="1" applyFont="1" applyBorder="1" applyAlignment="1">
      <alignment horizontal="center" wrapText="1"/>
    </xf>
    <xf numFmtId="0" fontId="8" fillId="3" borderId="2" xfId="0" applyFont="1" applyFill="1" applyBorder="1" applyAlignment="1">
      <alignment horizontal="center" vertical="top" wrapText="1"/>
    </xf>
    <xf numFmtId="0" fontId="8" fillId="0" borderId="2" xfId="0" applyFont="1" applyFill="1" applyBorder="1" applyAlignment="1">
      <alignment horizont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2" xfId="0" applyFont="1" applyBorder="1" applyAlignment="1">
      <alignment wrapText="1"/>
    </xf>
    <xf numFmtId="2" fontId="8" fillId="0" borderId="2" xfId="0" applyNumberFormat="1" applyFont="1" applyFill="1" applyBorder="1" applyAlignment="1">
      <alignment vertical="top" wrapText="1"/>
    </xf>
    <xf numFmtId="0" fontId="8" fillId="0" borderId="2" xfId="0" applyFont="1" applyFill="1" applyBorder="1" applyAlignment="1"/>
    <xf numFmtId="0" fontId="10" fillId="0" borderId="0" xfId="0" applyFont="1" applyBorder="1" applyAlignment="1"/>
    <xf numFmtId="2" fontId="10" fillId="0" borderId="7" xfId="0" applyNumberFormat="1" applyFont="1" applyBorder="1" applyAlignment="1">
      <alignment horizontal="center"/>
    </xf>
    <xf numFmtId="0" fontId="0" fillId="0" borderId="0" xfId="0" applyFont="1" applyFill="1" applyBorder="1"/>
    <xf numFmtId="3" fontId="0" fillId="0" borderId="0" xfId="0" applyNumberFormat="1" applyFill="1" applyBorder="1"/>
    <xf numFmtId="0" fontId="8" fillId="0" borderId="0" xfId="0" applyFont="1" applyAlignment="1">
      <alignment horizontal="center" vertical="center"/>
    </xf>
    <xf numFmtId="2" fontId="8" fillId="0" borderId="2" xfId="0" applyNumberFormat="1" applyFont="1" applyFill="1" applyBorder="1" applyAlignment="1">
      <alignment horizontal="center" vertical="center"/>
    </xf>
    <xf numFmtId="0" fontId="8" fillId="0" borderId="2" xfId="0" applyNumberFormat="1" applyFont="1" applyFill="1" applyBorder="1" applyAlignment="1">
      <alignment horizontal="left" vertical="center"/>
    </xf>
    <xf numFmtId="2" fontId="8" fillId="0" borderId="2" xfId="0" applyNumberFormat="1" applyFont="1" applyBorder="1" applyAlignment="1">
      <alignment horizontal="center" vertical="center"/>
    </xf>
    <xf numFmtId="0" fontId="8" fillId="0" borderId="2" xfId="0" applyFont="1" applyFill="1" applyBorder="1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0" fillId="0" borderId="0" xfId="0" applyNumberFormat="1"/>
    <xf numFmtId="166" fontId="0" fillId="0" borderId="0" xfId="0" applyNumberFormat="1" applyAlignment="1">
      <alignment horizontal="right"/>
    </xf>
    <xf numFmtId="166" fontId="15" fillId="0" borderId="0" xfId="0" applyNumberFormat="1" applyFont="1" applyBorder="1" applyAlignment="1">
      <alignment horizontal="right"/>
    </xf>
    <xf numFmtId="166" fontId="47" fillId="0" borderId="58" xfId="0" applyNumberFormat="1" applyFont="1" applyBorder="1" applyAlignment="1">
      <alignment horizontal="right"/>
    </xf>
    <xf numFmtId="2" fontId="48" fillId="37" borderId="2" xfId="0" applyNumberFormat="1" applyFont="1" applyFill="1" applyBorder="1" applyAlignment="1">
      <alignment horizontal="left" vertical="top" wrapText="1"/>
    </xf>
    <xf numFmtId="2" fontId="48" fillId="0" borderId="2" xfId="0" applyNumberFormat="1" applyFont="1" applyBorder="1" applyAlignment="1">
      <alignment horizontal="left" vertical="top" wrapText="1"/>
    </xf>
    <xf numFmtId="2" fontId="48" fillId="37" borderId="60" xfId="0" applyNumberFormat="1" applyFont="1" applyFill="1" applyBorder="1" applyAlignment="1">
      <alignment horizontal="left" vertical="top" wrapText="1"/>
    </xf>
    <xf numFmtId="0" fontId="50" fillId="0" borderId="2" xfId="0" applyFont="1" applyBorder="1" applyAlignment="1">
      <alignment horizontal="left" vertical="center"/>
    </xf>
    <xf numFmtId="0" fontId="50" fillId="37" borderId="2" xfId="0" applyFont="1" applyFill="1" applyBorder="1" applyAlignment="1">
      <alignment horizontal="left" vertical="center"/>
    </xf>
    <xf numFmtId="2" fontId="48" fillId="0" borderId="59" xfId="0" applyNumberFormat="1" applyFont="1" applyBorder="1" applyAlignment="1">
      <alignment horizontal="left" vertical="top" wrapText="1"/>
    </xf>
    <xf numFmtId="1" fontId="48" fillId="0" borderId="59" xfId="0" applyNumberFormat="1" applyFont="1" applyBorder="1" applyAlignment="1">
      <alignment horizontal="center" vertical="center"/>
    </xf>
    <xf numFmtId="1" fontId="48" fillId="37" borderId="2" xfId="0" applyNumberFormat="1" applyFont="1" applyFill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" fontId="48" fillId="37" borderId="60" xfId="0" applyNumberFormat="1" applyFont="1" applyFill="1" applyBorder="1" applyAlignment="1">
      <alignment horizontal="center" vertical="center"/>
    </xf>
    <xf numFmtId="1" fontId="49" fillId="0" borderId="60" xfId="0" applyNumberFormat="1" applyFont="1" applyBorder="1" applyAlignment="1">
      <alignment horizontal="center" vertical="center"/>
    </xf>
    <xf numFmtId="1" fontId="49" fillId="37" borderId="60" xfId="0" applyNumberFormat="1" applyFont="1" applyFill="1" applyBorder="1" applyAlignment="1">
      <alignment horizontal="center" vertical="center"/>
    </xf>
    <xf numFmtId="0" fontId="51" fillId="0" borderId="2" xfId="0" applyFont="1" applyBorder="1"/>
    <xf numFmtId="0" fontId="51" fillId="0" borderId="1" xfId="0" applyFont="1" applyBorder="1"/>
    <xf numFmtId="2" fontId="8" fillId="0" borderId="17" xfId="0" applyNumberFormat="1" applyFont="1" applyFill="1" applyBorder="1" applyAlignment="1">
      <alignment horizontal="left" vertical="top" wrapText="1"/>
    </xf>
    <xf numFmtId="2" fontId="8" fillId="0" borderId="17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center" wrapText="1"/>
    </xf>
    <xf numFmtId="164" fontId="8" fillId="0" borderId="2" xfId="0" applyNumberFormat="1" applyFont="1" applyBorder="1" applyAlignment="1">
      <alignment horizontal="center"/>
    </xf>
    <xf numFmtId="164" fontId="8" fillId="0" borderId="2" xfId="0" applyNumberFormat="1" applyFont="1" applyFill="1" applyBorder="1" applyAlignment="1">
      <alignment horizontal="center"/>
    </xf>
    <xf numFmtId="164" fontId="8" fillId="0" borderId="0" xfId="0" applyNumberFormat="1" applyFont="1" applyBorder="1" applyAlignment="1">
      <alignment wrapText="1"/>
    </xf>
    <xf numFmtId="164" fontId="8" fillId="0" borderId="11" xfId="0" applyNumberFormat="1" applyFont="1" applyBorder="1" applyAlignment="1">
      <alignment horizontal="center" vertical="top" wrapText="1"/>
    </xf>
    <xf numFmtId="164" fontId="8" fillId="0" borderId="20" xfId="0" applyNumberFormat="1" applyFont="1" applyBorder="1" applyAlignment="1">
      <alignment horizontal="center" vertical="top" wrapText="1"/>
    </xf>
    <xf numFmtId="164" fontId="8" fillId="0" borderId="11" xfId="0" applyNumberFormat="1" applyFont="1" applyBorder="1" applyAlignment="1">
      <alignment horizontal="center" wrapText="1"/>
    </xf>
    <xf numFmtId="164" fontId="8" fillId="0" borderId="0" xfId="0" applyNumberFormat="1" applyFont="1" applyBorder="1" applyAlignment="1">
      <alignment horizont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6" fillId="0" borderId="53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8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0" fillId="0" borderId="2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 wrapText="1"/>
    </xf>
    <xf numFmtId="0" fontId="3" fillId="0" borderId="28" xfId="0" applyFont="1" applyBorder="1" applyAlignment="1">
      <alignment horizontal="left" wrapText="1"/>
    </xf>
    <xf numFmtId="0" fontId="3" fillId="0" borderId="10" xfId="0" applyFont="1" applyBorder="1" applyAlignment="1">
      <alignment horizontal="left" wrapText="1"/>
    </xf>
    <xf numFmtId="0" fontId="3" fillId="0" borderId="38" xfId="0" applyFont="1" applyBorder="1" applyAlignment="1">
      <alignment horizontal="left" wrapText="1"/>
    </xf>
    <xf numFmtId="0" fontId="3" fillId="0" borderId="9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11" fillId="0" borderId="2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6" fillId="0" borderId="39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2" fillId="0" borderId="40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3" fillId="0" borderId="2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15" fillId="0" borderId="0" xfId="0" applyFont="1" applyAlignment="1">
      <alignment horizontal="center"/>
    </xf>
    <xf numFmtId="0" fontId="0" fillId="0" borderId="3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8" fillId="0" borderId="8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8" fillId="0" borderId="18" xfId="0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5" fillId="36" borderId="2" xfId="45" applyFont="1" applyFill="1" applyBorder="1" applyAlignment="1">
      <alignment horizontal="center" vertical="center"/>
    </xf>
    <xf numFmtId="0" fontId="15" fillId="0" borderId="2" xfId="45" applyFont="1" applyFill="1" applyBorder="1" applyAlignment="1">
      <alignment horizontal="center" vertical="center"/>
    </xf>
    <xf numFmtId="171" fontId="15" fillId="0" borderId="0" xfId="45" applyNumberFormat="1" applyFont="1" applyFill="1" applyBorder="1" applyAlignment="1">
      <alignment horizontal="left" vertical="top"/>
    </xf>
    <xf numFmtId="0" fontId="15" fillId="0" borderId="0" xfId="45" applyFont="1" applyFill="1" applyBorder="1" applyAlignment="1">
      <alignment horizontal="right" vertical="top" wrapText="1"/>
    </xf>
    <xf numFmtId="0" fontId="15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12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wrapText="1"/>
    </xf>
    <xf numFmtId="0" fontId="21" fillId="0" borderId="9" xfId="45" applyFont="1" applyFill="1" applyBorder="1" applyAlignment="1">
      <alignment horizontal="left" wrapText="1"/>
    </xf>
    <xf numFmtId="0" fontId="21" fillId="0" borderId="11" xfId="45" applyFont="1" applyFill="1" applyBorder="1" applyAlignment="1">
      <alignment horizontal="left" wrapText="1"/>
    </xf>
    <xf numFmtId="0" fontId="21" fillId="0" borderId="0" xfId="45" applyFont="1" applyFill="1" applyBorder="1" applyAlignment="1">
      <alignment horizontal="center" vertical="top"/>
    </xf>
    <xf numFmtId="0" fontId="12" fillId="0" borderId="4" xfId="45" applyFont="1" applyFill="1" applyBorder="1" applyAlignment="1">
      <alignment horizontal="left" vertical="center" wrapText="1"/>
    </xf>
    <xf numFmtId="0" fontId="12" fillId="0" borderId="9" xfId="45" applyFont="1" applyFill="1" applyBorder="1" applyAlignment="1">
      <alignment horizontal="left" vertical="center" wrapText="1"/>
    </xf>
    <xf numFmtId="0" fontId="12" fillId="0" borderId="11" xfId="45" applyFont="1" applyFill="1" applyBorder="1" applyAlignment="1">
      <alignment horizontal="left" vertical="center" wrapText="1"/>
    </xf>
    <xf numFmtId="0" fontId="21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0" fontId="12" fillId="0" borderId="0" xfId="45" applyFont="1" applyFill="1" applyBorder="1" applyAlignment="1">
      <alignment horizontal="left" vertical="top" wrapText="1"/>
    </xf>
    <xf numFmtId="0" fontId="12" fillId="0" borderId="17" xfId="45" applyFont="1" applyFill="1" applyBorder="1" applyAlignment="1">
      <alignment horizontal="left" vertical="top"/>
    </xf>
    <xf numFmtId="0" fontId="12" fillId="0" borderId="1" xfId="45" applyFont="1" applyFill="1" applyBorder="1" applyAlignment="1">
      <alignment horizontal="left" vertical="top"/>
    </xf>
    <xf numFmtId="0" fontId="12" fillId="0" borderId="8" xfId="45" applyFont="1" applyFill="1" applyBorder="1" applyAlignment="1">
      <alignment horizontal="left" vertical="top" wrapText="1"/>
    </xf>
    <xf numFmtId="0" fontId="12" fillId="0" borderId="21" xfId="45" applyFont="1" applyFill="1" applyBorder="1" applyAlignment="1">
      <alignment horizontal="left" vertical="top" wrapText="1"/>
    </xf>
    <xf numFmtId="0" fontId="12" fillId="0" borderId="13" xfId="45" applyFont="1" applyFill="1" applyBorder="1" applyAlignment="1">
      <alignment horizontal="left" vertical="top" wrapText="1"/>
    </xf>
    <xf numFmtId="164" fontId="21" fillId="0" borderId="17" xfId="45" applyNumberFormat="1" applyFont="1" applyFill="1" applyBorder="1" applyAlignment="1">
      <alignment horizontal="center" vertical="top"/>
    </xf>
    <xf numFmtId="164" fontId="21" fillId="0" borderId="1" xfId="45" applyNumberFormat="1" applyFont="1" applyFill="1" applyBorder="1" applyAlignment="1">
      <alignment horizontal="center" vertical="top"/>
    </xf>
    <xf numFmtId="0" fontId="12" fillId="0" borderId="10" xfId="45" applyFont="1" applyFill="1" applyBorder="1" applyAlignment="1">
      <alignment horizontal="center" vertical="top" wrapText="1"/>
    </xf>
    <xf numFmtId="0" fontId="12" fillId="0" borderId="6" xfId="45" applyFont="1" applyFill="1" applyBorder="1" applyAlignment="1">
      <alignment horizontal="center" vertical="top" wrapText="1"/>
    </xf>
    <xf numFmtId="0" fontId="12" fillId="0" borderId="12" xfId="45" applyFont="1" applyFill="1" applyBorder="1" applyAlignment="1">
      <alignment horizontal="center" vertical="top" wrapText="1"/>
    </xf>
    <xf numFmtId="0" fontId="15" fillId="0" borderId="31" xfId="45" applyFont="1" applyFill="1" applyBorder="1" applyAlignment="1">
      <alignment horizontal="center"/>
    </xf>
    <xf numFmtId="0" fontId="15" fillId="0" borderId="37" xfId="45" applyFont="1" applyFill="1" applyBorder="1" applyAlignment="1">
      <alignment horizontal="center"/>
    </xf>
    <xf numFmtId="0" fontId="15" fillId="0" borderId="32" xfId="45" applyFont="1" applyFill="1" applyBorder="1" applyAlignment="1">
      <alignment horizontal="center"/>
    </xf>
    <xf numFmtId="0" fontId="12" fillId="0" borderId="15" xfId="45" applyFont="1" applyFill="1" applyBorder="1" applyAlignment="1">
      <alignment horizontal="left" wrapText="1"/>
    </xf>
    <xf numFmtId="0" fontId="12" fillId="0" borderId="2" xfId="45" applyFont="1" applyFill="1" applyBorder="1" applyAlignment="1">
      <alignment horizontal="left" wrapText="1"/>
    </xf>
    <xf numFmtId="0" fontId="15" fillId="0" borderId="15" xfId="45" applyFont="1" applyFill="1" applyBorder="1" applyAlignment="1">
      <alignment horizontal="center"/>
    </xf>
    <xf numFmtId="0" fontId="15" fillId="0" borderId="2" xfId="45" applyFont="1" applyFill="1" applyBorder="1" applyAlignment="1">
      <alignment horizontal="center"/>
    </xf>
    <xf numFmtId="0" fontId="15" fillId="0" borderId="22" xfId="45" applyFont="1" applyFill="1" applyBorder="1" applyAlignment="1">
      <alignment horizontal="center"/>
    </xf>
    <xf numFmtId="0" fontId="12" fillId="0" borderId="41" xfId="45" applyFont="1" applyFill="1" applyBorder="1" applyAlignment="1">
      <alignment horizontal="left" vertical="center"/>
    </xf>
    <xf numFmtId="0" fontId="12" fillId="0" borderId="42" xfId="45" applyFont="1" applyFill="1" applyBorder="1" applyAlignment="1">
      <alignment horizontal="left" vertical="center"/>
    </xf>
    <xf numFmtId="0" fontId="12" fillId="0" borderId="43" xfId="45" applyFont="1" applyFill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 wrapText="1"/>
    </xf>
    <xf numFmtId="0" fontId="10" fillId="0" borderId="0" xfId="0" applyNumberFormat="1" applyFont="1" applyFill="1" applyBorder="1" applyAlignment="1">
      <alignment horizontal="center" vertical="center" wrapText="1"/>
    </xf>
  </cellXfs>
  <cellStyles count="46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Обычный 3" xfId="45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9-4286-A5BA-61189791E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33888768"/>
        <c:axId val="234296832"/>
      </c:lineChart>
      <c:dateAx>
        <c:axId val="233888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296832"/>
        <c:crosses val="autoZero"/>
        <c:auto val="0"/>
        <c:lblOffset val="100"/>
        <c:baseTimeUnit val="days"/>
        <c:majorUnit val="5"/>
        <c:majorTimeUnit val="days"/>
      </c:dateAx>
      <c:valAx>
        <c:axId val="234296832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888768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FR" fmlaRange="выбор_материала_табл" noThreeD="1" sel="16" val="11"/>
</file>

<file path=xl/ctrlProps/ctrlProp3.xml><?xml version="1.0" encoding="utf-8"?>
<formControlPr xmlns="http://schemas.microsoft.com/office/spreadsheetml/2009/9/main" objectType="Drop" dropStyle="combo" dx="20" fmlaLink="FRINT" fmlaRange="выбор_материала_табл" noThreeD="1" sel="16" val="7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23</xdr:row>
          <xdr:rowOff>0</xdr:rowOff>
        </xdr:from>
        <xdr:to>
          <xdr:col>2</xdr:col>
          <xdr:colOff>885825</xdr:colOff>
          <xdr:row>42</xdr:row>
          <xdr:rowOff>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42</xdr:row>
          <xdr:rowOff>0</xdr:rowOff>
        </xdr:from>
        <xdr:to>
          <xdr:col>2</xdr:col>
          <xdr:colOff>885825</xdr:colOff>
          <xdr:row>43</xdr:row>
          <xdr:rowOff>0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Переписать базу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7</xdr:row>
          <xdr:rowOff>104775</xdr:rowOff>
        </xdr:from>
        <xdr:to>
          <xdr:col>9</xdr:col>
          <xdr:colOff>457200</xdr:colOff>
          <xdr:row>8</xdr:row>
          <xdr:rowOff>142875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Зафиксировать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>
          <a:extLst>
            <a:ext uri="{FF2B5EF4-FFF2-40B4-BE49-F238E27FC236}">
              <a16:creationId xmlns:a16="http://schemas.microsoft.com/office/drawing/2014/main" id="{00000000-0008-0000-0100-00002C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9525</xdr:rowOff>
        </xdr:from>
        <xdr:to>
          <xdr:col>4</xdr:col>
          <xdr:colOff>1533525</xdr:colOff>
          <xdr:row>24</xdr:row>
          <xdr:rowOff>714375</xdr:rowOff>
        </xdr:to>
        <xdr:sp macro="" textlink="">
          <xdr:nvSpPr>
            <xdr:cNvPr id="59393" name="Object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200025</xdr:rowOff>
        </xdr:from>
        <xdr:to>
          <xdr:col>4</xdr:col>
          <xdr:colOff>828675</xdr:colOff>
          <xdr:row>26</xdr:row>
          <xdr:rowOff>628650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2;&#1077;&#1085;&#1099;%20&#1085;&#1072;%20&#1052;&#1072;&#1090;&#1077;&#1088;&#1080;&#1072;&#1083;&#109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88;&#1091;&#1076;&#1086;&#1077;&#1084;&#1082;&#1086;&#1089;&#1090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Цены на Материалы"/>
    </sheetNames>
    <definedNames>
      <definedName name="Всё" refersTo="='Материалы'!$A$2:$F$301"/>
      <definedName name="ПрайсНаМатериалы" refersTo="='Материалы'!$B$2:$F$301"/>
    </definedNames>
    <sheetDataSet>
      <sheetData sheetId="0">
        <row r="2">
          <cell r="A2" t="str">
            <v>Activator Neoganth LS Plus</v>
          </cell>
          <cell r="B2" t="str">
            <v>Активатор NEOGANTH LS ACTIVATOR PLUS</v>
          </cell>
          <cell r="C2" t="str">
            <v>кг</v>
          </cell>
          <cell r="D2">
            <v>6372.89</v>
          </cell>
          <cell r="E2" t="str">
            <v>ax220 от 17.03.2017 (ax220)</v>
          </cell>
          <cell r="F2" t="str">
            <v>ООО "Атотех-Хемета"</v>
          </cell>
        </row>
        <row r="3">
          <cell r="A3" t="str">
            <v>DE 104 18/18-0.36</v>
          </cell>
          <cell r="B3" t="str">
            <v>Стеклотекстолит фольгированный DE104ML 18/18-0.36</v>
          </cell>
          <cell r="C3" t="str">
            <v>м2</v>
          </cell>
          <cell r="D3">
            <v>2351.86</v>
          </cell>
          <cell r="E3" t="str">
            <v>spb19070101 от 01.07.2019 (spb190701001)</v>
          </cell>
          <cell r="F3" t="str">
            <v>ООО "Петрокоммерц"</v>
          </cell>
        </row>
        <row r="4">
          <cell r="A4" t="str">
            <v>DE 104 18/18-1.5</v>
          </cell>
          <cell r="B4" t="str">
            <v>Стеклотекстолит фольгированный DE104 18/18-1.5</v>
          </cell>
          <cell r="C4" t="str">
            <v>м2</v>
          </cell>
          <cell r="D4">
            <v>2566.1999999999998</v>
          </cell>
          <cell r="E4" t="str">
            <v>018112626 от 26.11.2018 (0181126026)</v>
          </cell>
          <cell r="F4" t="str">
            <v>ООО "Петрокоммерц"</v>
          </cell>
        </row>
        <row r="5">
          <cell r="A5" t="str">
            <v>DE 104 18/18-2.0</v>
          </cell>
          <cell r="B5" t="str">
            <v>Стеклотекстолит фольгированный DE104 18/18-2.0</v>
          </cell>
          <cell r="C5" t="str">
            <v>м2</v>
          </cell>
          <cell r="D5">
            <v>1790.57</v>
          </cell>
          <cell r="E5" t="str">
            <v>959 от 06.11.2013 (1378)</v>
          </cell>
          <cell r="F5" t="str">
            <v>ООО "БАЛТИЗОЛИТ"</v>
          </cell>
        </row>
        <row r="6">
          <cell r="A6" t="str">
            <v>DE 104 35/35-0.36</v>
          </cell>
          <cell r="B6" t="str">
            <v>Стеклотекстолит фольгированный DE104ML 35/35-0.36</v>
          </cell>
          <cell r="C6" t="str">
            <v>м2</v>
          </cell>
          <cell r="D6">
            <v>1660.64</v>
          </cell>
          <cell r="E6" t="str">
            <v>433 от 28.04.2014 (581)</v>
          </cell>
          <cell r="F6" t="str">
            <v>ООО "БАЛТИЗОЛИТ СПб"</v>
          </cell>
        </row>
        <row r="7">
          <cell r="A7" t="str">
            <v>DE 104 35/35-1.0</v>
          </cell>
          <cell r="B7" t="str">
            <v>Стеклотекстолит фольгированный DE104ML 35/35-1.0</v>
          </cell>
          <cell r="C7" t="str">
            <v>м2</v>
          </cell>
          <cell r="D7">
            <v>3184</v>
          </cell>
          <cell r="E7" t="str">
            <v>20 от 13.01.2016 (20)</v>
          </cell>
          <cell r="F7" t="str">
            <v>ООО "БАЛТИЗОЛИТ"</v>
          </cell>
        </row>
        <row r="8">
          <cell r="A8" t="str">
            <v>DE 104 35/35-1.5</v>
          </cell>
          <cell r="B8" t="str">
            <v>Стеклотекстолит фольгированный DE104 35/35-1.5</v>
          </cell>
          <cell r="C8" t="str">
            <v>м2</v>
          </cell>
          <cell r="D8">
            <v>3120.32</v>
          </cell>
          <cell r="E8" t="str">
            <v>29 от 23.04.2019 (без)</v>
          </cell>
          <cell r="F8" t="str">
            <v>ООО "ПетроИЗОЛИТ поставка "</v>
          </cell>
        </row>
        <row r="9">
          <cell r="A9" t="str">
            <v>DE 104 35/35-2.0</v>
          </cell>
          <cell r="B9" t="str">
            <v>Стеклотекстолит фольгированный DE104 35/35-2.0</v>
          </cell>
          <cell r="C9" t="str">
            <v>м2</v>
          </cell>
          <cell r="D9">
            <v>3827.7</v>
          </cell>
          <cell r="E9" t="str">
            <v>019112109 от 21.11.2019 (0191121009)</v>
          </cell>
          <cell r="F9" t="str">
            <v>ООО "Петрокоммерц"</v>
          </cell>
        </row>
        <row r="10">
          <cell r="A10" t="str">
            <v>DE 104 35/35-2.4</v>
          </cell>
          <cell r="B10" t="str">
            <v>Стеклотекстолит фольгированный DE 104 35/35-2.4</v>
          </cell>
          <cell r="C10" t="str">
            <v>м2</v>
          </cell>
          <cell r="D10">
            <v>4795</v>
          </cell>
          <cell r="E10" t="str">
            <v>1269 от 12.10.2016 (1269)</v>
          </cell>
          <cell r="F10" t="str">
            <v>ООО "БАЛТИЗОЛИТ "</v>
          </cell>
        </row>
        <row r="11">
          <cell r="A11" t="str">
            <v>DE 104 35/35-3.2</v>
          </cell>
          <cell r="B11" t="str">
            <v>Стеклотекстолит фольгированный DE104 35/35-3.2</v>
          </cell>
          <cell r="C11" t="str">
            <v>м2</v>
          </cell>
          <cell r="D11">
            <v>3923.93</v>
          </cell>
          <cell r="E11" t="str">
            <v>spb14033108 от 31.03.2014 (spb140331008)</v>
          </cell>
          <cell r="F11" t="str">
            <v>ООО "Петрокоммерц"</v>
          </cell>
        </row>
        <row r="12">
          <cell r="A12" t="str">
            <v>DE 104 50/50-1.5</v>
          </cell>
          <cell r="B12" t="str">
            <v>Стеклотекстолит фольгированный DE 104 50/50-1.5</v>
          </cell>
          <cell r="C12" t="str">
            <v>м2</v>
          </cell>
          <cell r="D12">
            <v>4370</v>
          </cell>
          <cell r="E12" t="str">
            <v>1047 от 16.10.2018 (1047)</v>
          </cell>
          <cell r="F12" t="str">
            <v>ООО "БАЛТПРОМИЗОЛИТ"</v>
          </cell>
        </row>
        <row r="13">
          <cell r="A13" t="str">
            <v>DE 104 50/50-2.0</v>
          </cell>
          <cell r="B13" t="str">
            <v>Стеклотекстолит фольгированный DE104 50/50-2.0</v>
          </cell>
          <cell r="C13" t="str">
            <v>м2</v>
          </cell>
          <cell r="D13">
            <v>3788.4</v>
          </cell>
          <cell r="E13" t="str">
            <v>339 от 17.03.2016 (339)</v>
          </cell>
          <cell r="F13" t="str">
            <v>ООО "БАЛТИЗОЛИТ"</v>
          </cell>
        </row>
        <row r="14">
          <cell r="A14" t="str">
            <v>DE 104 ML 105/105-0.15</v>
          </cell>
          <cell r="B14" t="str">
            <v>Стеклотекстолит фольгированный DE104ML 105/105-0.15</v>
          </cell>
          <cell r="C14" t="str">
            <v>м2</v>
          </cell>
          <cell r="D14">
            <v>4828.3</v>
          </cell>
          <cell r="E14" t="str">
            <v>spb000000 от 02.04.2018 (spb000000)</v>
          </cell>
          <cell r="F14" t="str">
            <v>ООО "Петрокоммерц"</v>
          </cell>
        </row>
        <row r="15">
          <cell r="A15" t="str">
            <v>DE 104 ML 12/12-0.1</v>
          </cell>
          <cell r="B15" t="str">
            <v>Стеклотекстолит фольгированный DE104ML 12/12-0.1</v>
          </cell>
          <cell r="C15" t="str">
            <v>м2</v>
          </cell>
          <cell r="D15">
            <v>1969.89</v>
          </cell>
          <cell r="E15" t="str">
            <v>spb14033106 от 31.03.2014 (spb140331006)</v>
          </cell>
          <cell r="F15" t="str">
            <v>ООО "Петрокоммерц"</v>
          </cell>
        </row>
        <row r="16">
          <cell r="A16" t="str">
            <v>DE 104 ML 18/105-0,1</v>
          </cell>
          <cell r="B16" t="str">
            <v>Стеклотекстолит фольгированный DE104ML 18/105-0.1</v>
          </cell>
          <cell r="C16" t="str">
            <v>м2</v>
          </cell>
          <cell r="D16">
            <v>3411.77</v>
          </cell>
          <cell r="E16" t="str">
            <v>spb17012601 от 26.01.2017 (spb170126001)</v>
          </cell>
          <cell r="F16" t="str">
            <v>ООО "Петрокоммерц"</v>
          </cell>
        </row>
        <row r="17">
          <cell r="A17" t="str">
            <v>DE 104 ML 18/18-0,1</v>
          </cell>
          <cell r="B17" t="str">
            <v>Стеклотекстолит фольгированный DE104ML 18/18-0.1</v>
          </cell>
          <cell r="C17" t="str">
            <v>м2</v>
          </cell>
          <cell r="D17">
            <v>2188.58</v>
          </cell>
          <cell r="E17" t="str">
            <v>58 от 25.06.2019 (БЕЗ)</v>
          </cell>
          <cell r="F17" t="str">
            <v>ООО "Петроизолит поставка"</v>
          </cell>
        </row>
        <row r="18">
          <cell r="A18" t="str">
            <v>DE 104 ML 18/18-0,15</v>
          </cell>
          <cell r="B18" t="str">
            <v>Стеклотекстолит фольгированный DE104ML 18/18-0.15</v>
          </cell>
          <cell r="C18" t="str">
            <v>м2</v>
          </cell>
          <cell r="D18">
            <v>2187.73</v>
          </cell>
          <cell r="E18" t="str">
            <v>spb19070101 от 01.07.2019 (spb190701001)</v>
          </cell>
          <cell r="F18" t="str">
            <v>ООО "Петрокоммерц"</v>
          </cell>
        </row>
        <row r="19">
          <cell r="A19" t="str">
            <v>DE 104 ML 18/18-0,18</v>
          </cell>
          <cell r="B19" t="str">
            <v>Стеклотекстолит фольгированный DE104ML 18/18-0.18</v>
          </cell>
          <cell r="C19" t="str">
            <v>м2</v>
          </cell>
          <cell r="D19">
            <v>1995.83</v>
          </cell>
          <cell r="E19" t="str">
            <v>165 от 21.08.2017 (186)</v>
          </cell>
          <cell r="F19" t="str">
            <v>ООО "Петроизолит"</v>
          </cell>
        </row>
        <row r="20">
          <cell r="A20" t="str">
            <v>DE 104 ML 18/18-0,2</v>
          </cell>
          <cell r="B20" t="str">
            <v>Стеклотекстолит фольгированный DE104ML 18/18-0.2</v>
          </cell>
          <cell r="C20" t="str">
            <v>м2</v>
          </cell>
          <cell r="D20">
            <v>2408.61</v>
          </cell>
          <cell r="E20" t="str">
            <v>ТН 188 от 26.09.2018 (203)</v>
          </cell>
          <cell r="F20" t="str">
            <v>ООО "Петроизолит"</v>
          </cell>
        </row>
        <row r="21">
          <cell r="A21" t="str">
            <v>DE 104 ML 18/18-0,25</v>
          </cell>
          <cell r="B21" t="str">
            <v>Стеклотекстолит фольгированный DE104ML 18/18-0.25</v>
          </cell>
          <cell r="C21" t="str">
            <v>м2</v>
          </cell>
          <cell r="D21">
            <v>2282.21</v>
          </cell>
          <cell r="E21" t="str">
            <v>spb19070101 от 01.07.2019 (spb190701001)</v>
          </cell>
          <cell r="F21" t="str">
            <v>ООО "Петрокоммерц"</v>
          </cell>
        </row>
        <row r="22">
          <cell r="A22" t="str">
            <v>DE 104 ML 18/18-0,36</v>
          </cell>
          <cell r="B22" t="str">
            <v>Стеклотекстолит фольгированный DE104ML 18/18-0.36</v>
          </cell>
          <cell r="C22" t="str">
            <v>м2</v>
          </cell>
          <cell r="D22">
            <v>2351.86</v>
          </cell>
          <cell r="E22" t="str">
            <v>spb19070101 от 01.07.2019 (spb190701001)</v>
          </cell>
          <cell r="F22" t="str">
            <v>ООО "Петрокоммерц"</v>
          </cell>
        </row>
        <row r="23">
          <cell r="A23" t="str">
            <v>DE 104 ML 18/18-0,51</v>
          </cell>
          <cell r="B23" t="str">
            <v>Стеклотекстолит фольгированный DE104ML 18/18-0.51</v>
          </cell>
          <cell r="C23" t="str">
            <v>м2</v>
          </cell>
          <cell r="D23">
            <v>2476.02</v>
          </cell>
          <cell r="E23" t="str">
            <v>spb19070101 от 01.07.2019 (spb190701001)</v>
          </cell>
          <cell r="F23" t="str">
            <v>ООО "Петрокоммерц"</v>
          </cell>
        </row>
        <row r="24">
          <cell r="A24" t="str">
            <v>DE 104 ML 18/18-0,8</v>
          </cell>
          <cell r="B24" t="str">
            <v>Стеклотекстолит фольгированный DE104ML 18/18-0.8</v>
          </cell>
          <cell r="C24" t="str">
            <v>м2</v>
          </cell>
          <cell r="D24">
            <v>2622.91</v>
          </cell>
          <cell r="E24" t="str">
            <v>spb19120401 от 04.12.2019 (spb191204001)</v>
          </cell>
          <cell r="F24" t="str">
            <v>ООО "Петрокоммерц"</v>
          </cell>
        </row>
        <row r="25">
          <cell r="A25" t="str">
            <v>DE 104 ML 18/18-1.0</v>
          </cell>
          <cell r="B25" t="str">
            <v>Стеклотекстолит фольгированный DE104ML 18/18-1.0</v>
          </cell>
          <cell r="C25" t="str">
            <v>м2</v>
          </cell>
          <cell r="D25">
            <v>1768.51</v>
          </cell>
          <cell r="E25" t="str">
            <v>spb14050701 от 07.05.2014 (spb140507001)</v>
          </cell>
          <cell r="F25" t="str">
            <v>ООО "Петрокоммерц"</v>
          </cell>
        </row>
        <row r="26">
          <cell r="A26" t="str">
            <v>DE 104 ML 18/70-0,1</v>
          </cell>
          <cell r="B26" t="str">
            <v>Стеклотекстолит фольгированный DE104ML 18/70-0.1</v>
          </cell>
          <cell r="C26" t="str">
            <v>м2</v>
          </cell>
          <cell r="D26">
            <v>2827.57</v>
          </cell>
          <cell r="E26" t="str">
            <v>spb018053102 от 31.05.2018(spb0180531002)</v>
          </cell>
          <cell r="F26" t="str">
            <v>ООО "Петрокоммерц"</v>
          </cell>
        </row>
        <row r="27">
          <cell r="A27" t="str">
            <v>DE 104 ML 35/35-0,1</v>
          </cell>
          <cell r="B27" t="str">
            <v>Стеклотекстолит фольгированный DE104ML 35/35-0.1</v>
          </cell>
          <cell r="C27" t="str">
            <v>м2</v>
          </cell>
          <cell r="D27">
            <v>2052.21</v>
          </cell>
          <cell r="E27" t="str">
            <v>170 от 21.08.2017 (191)</v>
          </cell>
          <cell r="F27" t="str">
            <v>ООО "ПЕТРОИЗОЛИТ"</v>
          </cell>
        </row>
        <row r="28">
          <cell r="A28" t="str">
            <v>DE 104 ML 35/35-0,15</v>
          </cell>
          <cell r="B28" t="str">
            <v>Стеклотекстолит фольгированный DE104ML 35/35-0.15</v>
          </cell>
          <cell r="C28" t="str">
            <v>м2</v>
          </cell>
          <cell r="D28" t="str">
            <v>2113.23</v>
          </cell>
          <cell r="E28" t="str">
            <v>171 от 21.08.2017 (192)</v>
          </cell>
          <cell r="F28" t="str">
            <v>ООО "ПЕТРОИЗОЛИТ"</v>
          </cell>
        </row>
        <row r="29">
          <cell r="A29" t="str">
            <v>DE 104 ML 35/35-0,20</v>
          </cell>
          <cell r="B29" t="str">
            <v>Стеклотекстолит фольгированный DE104ML 35/35-0.2</v>
          </cell>
          <cell r="C29" t="str">
            <v>м2</v>
          </cell>
          <cell r="D29">
            <v>2479.9</v>
          </cell>
          <cell r="E29" t="str">
            <v>ТН 9 от 13.03.2019 (без)</v>
          </cell>
          <cell r="F29" t="str">
            <v>ООО "ПЕТРОИЗОЛИТ"</v>
          </cell>
        </row>
        <row r="30">
          <cell r="A30" t="str">
            <v>DE 104 ML 35/35-0,25</v>
          </cell>
          <cell r="B30" t="str">
            <v>Стеклотекстолит фольгированный DE104ML 35/35-0.25</v>
          </cell>
          <cell r="C30" t="str">
            <v>м2</v>
          </cell>
          <cell r="D30">
            <v>2566.9299999999998</v>
          </cell>
          <cell r="E30" t="str">
            <v>27 от 18.04.2019 (без)</v>
          </cell>
          <cell r="F30" t="str">
            <v>ООО "Петроизолит поставка"</v>
          </cell>
        </row>
        <row r="31">
          <cell r="A31" t="str">
            <v>DE 104 ML 35/35-0,36</v>
          </cell>
          <cell r="B31" t="str">
            <v>Стеклотекстолит фольгированный DE104ML 35/35-0.36</v>
          </cell>
          <cell r="C31" t="str">
            <v>м2</v>
          </cell>
          <cell r="D31">
            <v>2744.49</v>
          </cell>
          <cell r="E31" t="str">
            <v>ТН 188 от 26.09.2018 (203)</v>
          </cell>
          <cell r="F31" t="str">
            <v>ООО "ПЕТРОИЗОЛИТ"</v>
          </cell>
        </row>
        <row r="32">
          <cell r="A32" t="str">
            <v>DE 104 ML 35/35-0,51</v>
          </cell>
          <cell r="B32" t="str">
            <v>Стеклотекстолит фольгированный DE104ML 35/35-0.51</v>
          </cell>
          <cell r="C32" t="str">
            <v>м2</v>
          </cell>
          <cell r="D32">
            <v>2629.04</v>
          </cell>
          <cell r="E32" t="str">
            <v>spb19070101 от 01.07.2019 (spb190701001)</v>
          </cell>
          <cell r="F32" t="str">
            <v>ООО "Петрокоммерц"</v>
          </cell>
        </row>
        <row r="33">
          <cell r="A33" t="str">
            <v>DE 104 ML 35/35-0,8</v>
          </cell>
          <cell r="B33" t="str">
            <v>Стеклотекстолит фольгированный DE104ML 35/35-0.8</v>
          </cell>
          <cell r="C33" t="str">
            <v>м2</v>
          </cell>
          <cell r="D33">
            <v>1897</v>
          </cell>
          <cell r="E33" t="str">
            <v>spb14081806 от 18.08.2014 (spb140818006)</v>
          </cell>
          <cell r="F33" t="str">
            <v>ООО "Петрокоммерц"</v>
          </cell>
        </row>
        <row r="34">
          <cell r="A34" t="str">
            <v>DE 104 ML 35/35-1.0</v>
          </cell>
          <cell r="B34" t="str">
            <v>Стеклотекстолит фольгированный DE104ML 35/35-1.0</v>
          </cell>
          <cell r="C34" t="str">
            <v>м2</v>
          </cell>
          <cell r="D34">
            <v>2895</v>
          </cell>
          <cell r="E34" t="str">
            <v>1293 от 30.11.2015 (1293)</v>
          </cell>
          <cell r="F34" t="str">
            <v>ООО "БАЛТИЗОЛИТ"</v>
          </cell>
        </row>
        <row r="35">
          <cell r="A35" t="str">
            <v>DE 104 ML 50/50-0.51</v>
          </cell>
          <cell r="B35" t="str">
            <v>Стеклотекстолит фольгированный DE104ML 50/50-0.051</v>
          </cell>
          <cell r="C35" t="str">
            <v>м2</v>
          </cell>
          <cell r="D35">
            <v>2807.56</v>
          </cell>
          <cell r="E35" t="str">
            <v>spb016072607 от 26.07.16 (spb016072607)</v>
          </cell>
          <cell r="F35" t="str">
            <v>ООО "Петрокоммерц"</v>
          </cell>
        </row>
        <row r="36">
          <cell r="A36" t="str">
            <v>DE104ML 18/18-0.8</v>
          </cell>
          <cell r="B36" t="str">
            <v>Стеклотекстолит фольгированный DE104ML 18/18-0.8</v>
          </cell>
          <cell r="C36" t="str">
            <v>м2</v>
          </cell>
          <cell r="D36">
            <v>1563.82</v>
          </cell>
          <cell r="E36" t="str">
            <v>spb14081806 от 18.08.2014 (spb140818006)</v>
          </cell>
          <cell r="F36" t="str">
            <v>ООО "Петрокоммерц"</v>
          </cell>
        </row>
        <row r="37">
          <cell r="A37" t="str">
            <v>FR-4 35/35-0.15</v>
          </cell>
          <cell r="B37" t="str">
            <v>Стеклотекстолит фольгированный FR-4 35/35-0.15</v>
          </cell>
          <cell r="C37" t="str">
            <v>м2</v>
          </cell>
          <cell r="D37">
            <v>2300</v>
          </cell>
          <cell r="E37" t="str">
            <v>56 от 22.11.2010 (59)</v>
          </cell>
          <cell r="F37" t="str">
            <v>ООО "АльфаКом"</v>
          </cell>
        </row>
        <row r="38">
          <cell r="A38" t="str">
            <v>FR-4 35/35-0.8</v>
          </cell>
          <cell r="B38" t="str">
            <v>Стеклотекстолит фольгированный FR-4 35/35-0.8</v>
          </cell>
          <cell r="C38" t="str">
            <v>м2</v>
          </cell>
          <cell r="D38">
            <v>1897</v>
          </cell>
          <cell r="E38" t="str">
            <v>538 от 11.07.2017 (538)</v>
          </cell>
          <cell r="F38" t="str">
            <v>ООО "БАЛТИЗОЛИТ"</v>
          </cell>
        </row>
        <row r="39">
          <cell r="A39" t="str">
            <v>FR-4 МИ 18/18-1.5 1кл.</v>
          </cell>
          <cell r="B39" t="str">
            <v>Стеклотекстолит фольгированный FR-4 МИ 18/18-1.5 1кл.</v>
          </cell>
          <cell r="C39">
            <v>0.32</v>
          </cell>
          <cell r="D39">
            <v>435</v>
          </cell>
          <cell r="E39" t="str">
            <v>199 от 24.04.2012 (199)</v>
          </cell>
          <cell r="F39" t="str">
            <v>ООО "БАЛТИЗОЛИТ СПб"</v>
          </cell>
        </row>
        <row r="40">
          <cell r="A40" t="str">
            <v>FR-4 МИ 50/50-2.0</v>
          </cell>
          <cell r="B40" t="str">
            <v>Стеклотекстолит фольгированный FR-4 МИ 50/50-2.0</v>
          </cell>
          <cell r="C40">
            <v>1</v>
          </cell>
          <cell r="D40">
            <v>485</v>
          </cell>
          <cell r="E40" t="str">
            <v>936 от 28.10.2013 (1355)</v>
          </cell>
          <cell r="F40" t="str">
            <v>ООО "БАЛТИЗОЛИТ СПб"</v>
          </cell>
        </row>
        <row r="41">
          <cell r="A41" t="str">
            <v>Neoganth LS PREDIP (предактивация)</v>
          </cell>
          <cell r="B41" t="str">
            <v>Предактиватор NEOGANTH LS PRE DIP</v>
          </cell>
          <cell r="C41" t="str">
            <v>кг</v>
          </cell>
          <cell r="D41">
            <v>367</v>
          </cell>
          <cell r="E41" t="str">
            <v>ax220 от 17.03.2017 (ax220)</v>
          </cell>
          <cell r="F41" t="str">
            <v>ООО "Атотех-Хемета"</v>
          </cell>
        </row>
        <row r="42">
          <cell r="A42" t="str">
            <v>Neoganth LS REDUCER (восстановитель)</v>
          </cell>
          <cell r="B42" t="str">
            <v>Восстановитель NEOGANTH LS REDUCER</v>
          </cell>
          <cell r="C42" t="str">
            <v>кг</v>
          </cell>
          <cell r="D42">
            <v>3526.54</v>
          </cell>
          <cell r="E42" t="str">
            <v>ax12 от 11.01.2019 универс.док.</v>
          </cell>
          <cell r="F42" t="str">
            <v>ООО "Атотех-Хемета"</v>
          </cell>
        </row>
        <row r="43">
          <cell r="A43" t="str">
            <v>RO4350B 0.168-035/035</v>
          </cell>
          <cell r="B43" t="str">
            <v xml:space="preserve">Материал фольгированный RO4350B-35/35-0.168 </v>
          </cell>
          <cell r="C43" t="str">
            <v>м2</v>
          </cell>
          <cell r="D43">
            <v>35262.04</v>
          </cell>
          <cell r="E43" t="str">
            <v>593 от 02.11.2015 (1131)</v>
          </cell>
          <cell r="F43" t="str">
            <v>ООО "ЭлекТрейд-М"</v>
          </cell>
        </row>
        <row r="44">
          <cell r="A44" t="str">
            <v>RO4350B 0.254-017/017</v>
          </cell>
          <cell r="B44" t="str">
            <v xml:space="preserve">Материал фольгированный RO4350B-18/18-0.254 </v>
          </cell>
          <cell r="C44" t="str">
            <v>м2</v>
          </cell>
          <cell r="D44">
            <v>29963.68</v>
          </cell>
          <cell r="E44" t="str">
            <v>156 от 18.04.2016 (303 от18.04.16)</v>
          </cell>
          <cell r="F44" t="str">
            <v>ООО "ЭлекТрейд-М"</v>
          </cell>
        </row>
        <row r="45">
          <cell r="A45" t="str">
            <v>RO4350B 0.254-035/035</v>
          </cell>
          <cell r="B45" t="str">
            <v xml:space="preserve">Материал фольгированный RO4350B-35/35-0.254 </v>
          </cell>
          <cell r="C45" t="str">
            <v>м2</v>
          </cell>
          <cell r="D45">
            <v>32384.99</v>
          </cell>
          <cell r="E45" t="str">
            <v>389 от 11.08.2016 (712)</v>
          </cell>
          <cell r="F45" t="str">
            <v>ООО "ЭлекТрейд-М"</v>
          </cell>
        </row>
        <row r="46">
          <cell r="A46" t="str">
            <v>RO4350B 0.508-017/017</v>
          </cell>
          <cell r="B46" t="str">
            <v xml:space="preserve">Материал фольгированный RO4350B-18/18-0.508 </v>
          </cell>
          <cell r="C46" t="str">
            <v>м2</v>
          </cell>
          <cell r="D46">
            <v>35871.870000000003</v>
          </cell>
          <cell r="E46" t="str">
            <v>589 от 22.11.2016 (1137)</v>
          </cell>
          <cell r="F46" t="str">
            <v>ООО "ЭлекТрейд-М"</v>
          </cell>
        </row>
        <row r="47">
          <cell r="A47" t="str">
            <v>RO4350B 0.508-035/035</v>
          </cell>
          <cell r="B47" t="str">
            <v xml:space="preserve">Материал фольгированный RO4350B-35/35-0.508 </v>
          </cell>
          <cell r="C47" t="str">
            <v>м2</v>
          </cell>
          <cell r="D47">
            <v>36016.959999999999</v>
          </cell>
          <cell r="E47" t="str">
            <v>593 от 02.11.2015 (1131)</v>
          </cell>
          <cell r="F47" t="str">
            <v>ООО "ЭлекТрейд-М"</v>
          </cell>
        </row>
        <row r="48">
          <cell r="A48" t="str">
            <v>RO4350B 0.762-035/035</v>
          </cell>
          <cell r="B48" t="str">
            <v>Материал фольгированный RO4350B 0.762-035/035</v>
          </cell>
          <cell r="C48" t="str">
            <v>м2</v>
          </cell>
          <cell r="D48">
            <v>36955.21</v>
          </cell>
          <cell r="E48" t="str">
            <v>156 от 18.04.2016 (303 от18.04.16)</v>
          </cell>
          <cell r="F48" t="str">
            <v>ООО "ЭлекТрейд-М"</v>
          </cell>
        </row>
        <row r="49">
          <cell r="A49" t="str">
            <v>RO4350B-17/17-0.508</v>
          </cell>
          <cell r="B49" t="str">
            <v>Стеклотекстолит фольгированный RO4350B-17/17-0.508</v>
          </cell>
          <cell r="C49" t="str">
            <v>м2</v>
          </cell>
          <cell r="D49">
            <v>45430</v>
          </cell>
        </row>
        <row r="50">
          <cell r="A50" t="str">
            <v>Азотная кислота</v>
          </cell>
          <cell r="B50" t="str">
            <v>Кислота азотная</v>
          </cell>
          <cell r="C50" t="str">
            <v>кг</v>
          </cell>
          <cell r="D50">
            <v>74</v>
          </cell>
          <cell r="E50" t="str">
            <v>217 от 23.10.2014 (217)</v>
          </cell>
          <cell r="F50" t="str">
            <v>ООО "Реахим"</v>
          </cell>
        </row>
        <row r="51">
          <cell r="A51" t="str">
            <v>Активатор AUNIC ACT</v>
          </cell>
          <cell r="B51" t="str">
            <v>Активатор AUNIC ACTIVATOR</v>
          </cell>
          <cell r="C51" t="str">
            <v>кг</v>
          </cell>
          <cell r="D51">
            <v>3500</v>
          </cell>
          <cell r="E51" t="str">
            <v>ах991 от 24.10.2017 (991)</v>
          </cell>
          <cell r="F51" t="str">
            <v>ООО "Атотех-Хемета"</v>
          </cell>
        </row>
        <row r="52">
          <cell r="A52" t="str">
            <v>Активатор BONDFILM ACTIVATOR</v>
          </cell>
          <cell r="B52" t="str">
            <v>Активатор BONDFILM ACTIVATOR</v>
          </cell>
          <cell r="C52" t="str">
            <v>кг</v>
          </cell>
          <cell r="D52">
            <v>397.15</v>
          </cell>
          <cell r="E52" t="str">
            <v>ax817 от 11.09.2017 (ax817)</v>
          </cell>
          <cell r="F52" t="str">
            <v>ООО "Атотех-Хемета"</v>
          </cell>
        </row>
        <row r="53">
          <cell r="A53" t="str">
            <v>Алюминий 0.18 (230х395мм)</v>
          </cell>
          <cell r="B53" t="str">
            <v>Алюминий 0.18 (230х395мм)</v>
          </cell>
          <cell r="C53" t="str">
            <v>м2</v>
          </cell>
          <cell r="D53">
            <v>655.89</v>
          </cell>
          <cell r="E53" t="str">
            <v>719 от 22.10.2018 (719)</v>
          </cell>
          <cell r="F53" t="str">
            <v>ООО "Торговый дом Абсолют"</v>
          </cell>
        </row>
        <row r="54">
          <cell r="A54" t="str">
            <v>Алюминий 0.18 (280х395мм)</v>
          </cell>
          <cell r="B54" t="str">
            <v>Алюминий 0.18 (280х395мм)</v>
          </cell>
          <cell r="C54" t="str">
            <v>м2</v>
          </cell>
          <cell r="D54">
            <v>680.48</v>
          </cell>
          <cell r="E54" t="str">
            <v>719 от 22.10.2018 (719)</v>
          </cell>
          <cell r="F54" t="str">
            <v>ООО "Торговый дом Абсолют"</v>
          </cell>
        </row>
        <row r="55">
          <cell r="A55" t="str">
            <v>Аммиак водный</v>
          </cell>
          <cell r="B55" t="str">
            <v>Аммиак водный</v>
          </cell>
          <cell r="C55" t="str">
            <v>кг</v>
          </cell>
          <cell r="D55">
            <v>53</v>
          </cell>
          <cell r="E55" t="str">
            <v>26 от 10.02.2016 (Без СФ)</v>
          </cell>
          <cell r="F55" t="str">
            <v>ООО "ППФ"Химпроект"</v>
          </cell>
        </row>
        <row r="56">
          <cell r="A56" t="str">
            <v>Аммоний надсернокислый</v>
          </cell>
          <cell r="B56" t="str">
            <v>Аммоний надсернокислый</v>
          </cell>
          <cell r="C56" t="str">
            <v>кг</v>
          </cell>
          <cell r="D56">
            <v>160</v>
          </cell>
          <cell r="E56" t="str">
            <v>77 от 16.05.2018 (Без СФ)</v>
          </cell>
          <cell r="F56" t="str">
            <v>ООО "ППФ"Химпроект"</v>
          </cell>
        </row>
        <row r="57">
          <cell r="A57" t="str">
            <v>Аммоний хлористый</v>
          </cell>
          <cell r="B57" t="str">
            <v>Аммоний хлористый</v>
          </cell>
          <cell r="C57" t="str">
            <v>кг</v>
          </cell>
          <cell r="D57">
            <v>82</v>
          </cell>
          <cell r="E57" t="str">
            <v>17713 от 18.09.2018(Без СФ)</v>
          </cell>
          <cell r="F57" t="str">
            <v>АО "ЛенРеактив"</v>
          </cell>
        </row>
        <row r="58">
          <cell r="A58" t="str">
            <v>Аноды медные АМФ</v>
          </cell>
          <cell r="B58" t="str">
            <v>Аноды медные АМФ</v>
          </cell>
          <cell r="C58" t="str">
            <v>кг</v>
          </cell>
          <cell r="D58">
            <v>818.62</v>
          </cell>
          <cell r="E58" t="str">
            <v>spb017051025 от 10.05.2017 (spb0170510025 )</v>
          </cell>
          <cell r="F58" t="str">
            <v>ООО "Петрокоммерц"</v>
          </cell>
        </row>
        <row r="59">
          <cell r="A59" t="str">
            <v>Батист x/б отбеленный</v>
          </cell>
          <cell r="B59" t="str">
            <v>ткань х/б Батист отбеленный</v>
          </cell>
          <cell r="C59" t="str">
            <v>м2</v>
          </cell>
          <cell r="D59">
            <v>147.62</v>
          </cell>
          <cell r="E59" t="str">
            <v>23 от 18.01.2017(Без СФ)</v>
          </cell>
          <cell r="F59" t="str">
            <v>ООО "Хлопкотекс"</v>
          </cell>
        </row>
        <row r="60">
          <cell r="A60" t="str">
            <v>Борная кислота</v>
          </cell>
          <cell r="B60" t="str">
            <v>Кислота борная</v>
          </cell>
          <cell r="C60" t="str">
            <v>кг</v>
          </cell>
          <cell r="D60">
            <v>202</v>
          </cell>
          <cell r="E60" t="str">
            <v>17713 от 18.09.2018(Без СФ)</v>
          </cell>
          <cell r="F60" t="str">
            <v>АО "ЛенРеактив"</v>
          </cell>
        </row>
        <row r="61">
          <cell r="A61" t="str">
            <v>Бумага для очистки валика</v>
          </cell>
          <cell r="B61" t="str">
            <v>бумага д/очистки валика (уп 5х50л 238х330мм)</v>
          </cell>
          <cell r="C61" t="str">
            <v>м2</v>
          </cell>
          <cell r="D61">
            <v>872</v>
          </cell>
          <cell r="E61" t="str">
            <v>905 от 27.10.2015</v>
          </cell>
          <cell r="F61" t="str">
            <v>ООО "Торговый дом Абсолют"</v>
          </cell>
        </row>
        <row r="62">
          <cell r="A62" t="str">
            <v>Бязь</v>
          </cell>
          <cell r="B62" t="str">
            <v>Ткань х/б бязевой группы</v>
          </cell>
          <cell r="C62" t="str">
            <v>м2</v>
          </cell>
          <cell r="D62">
            <v>45.23</v>
          </cell>
          <cell r="E62" t="str">
            <v>11023 от 17.11.2016</v>
          </cell>
          <cell r="F62" t="str">
            <v>ООО "Белорусский Текстильный Центр"</v>
          </cell>
        </row>
        <row r="63">
          <cell r="A63" t="str">
            <v>Восстановитель SECURIGANTH P500 REDUCTION</v>
          </cell>
          <cell r="B63" t="str">
            <v>Восстановитель SECURIGANTH P500 REDUCTION CONDITIONER</v>
          </cell>
          <cell r="C63" t="str">
            <v>кг</v>
          </cell>
          <cell r="D63">
            <v>1169.76</v>
          </cell>
          <cell r="E63" t="str">
            <v xml:space="preserve">ax12 от 11.01.2019 </v>
          </cell>
          <cell r="F63" t="str">
            <v>ООО "Атотех-Хемета"</v>
          </cell>
        </row>
        <row r="64">
          <cell r="A64" t="str">
            <v>Восстановитель меди CU-REDUCTION SOLUTION</v>
          </cell>
          <cell r="B64" t="str">
            <v>Восстановитель меди CU-REDUCTION SOLUTION</v>
          </cell>
          <cell r="C64" t="str">
            <v>кг</v>
          </cell>
          <cell r="D64">
            <v>254.56</v>
          </cell>
          <cell r="E64" t="str">
            <v>ax855 от 17.08.2018 (без)</v>
          </cell>
          <cell r="F64" t="str">
            <v>ООО "Атотех-Хемета"</v>
          </cell>
        </row>
        <row r="65">
          <cell r="A65" t="str">
            <v>Гетинакс-1 0,5-1 мм</v>
          </cell>
          <cell r="B65" t="str">
            <v>Гетинакс -1 1.0мм</v>
          </cell>
          <cell r="C65" t="str">
            <v>кг</v>
          </cell>
          <cell r="D65">
            <v>382</v>
          </cell>
          <cell r="E65" t="str">
            <v>184 от 21.02.2019 (184)</v>
          </cell>
          <cell r="F65" t="str">
            <v>ООО "БАЛТПРОМИЗОЛИТ"</v>
          </cell>
        </row>
        <row r="66">
          <cell r="A66" t="str">
            <v>Гетинакс-1 1,5 мм</v>
          </cell>
          <cell r="B66" t="str">
            <v>Гетинакс -1 1.5мм</v>
          </cell>
          <cell r="C66" t="str">
            <v>кг</v>
          </cell>
          <cell r="D66">
            <v>361</v>
          </cell>
          <cell r="E66" t="str">
            <v>184 от 21.02.2019 (184)</v>
          </cell>
          <cell r="F66" t="str">
            <v>ООО "ПЕТРОИЗОЛИТ"</v>
          </cell>
        </row>
        <row r="67">
          <cell r="A67" t="str">
            <v>Добавка "AUNIC EN "C"</v>
          </cell>
          <cell r="B67" t="str">
            <v>Добавка AUNIC EN "C"</v>
          </cell>
          <cell r="C67" t="str">
            <v>кг</v>
          </cell>
          <cell r="D67">
            <v>958.34</v>
          </cell>
          <cell r="E67" t="str">
            <v>ax000000745 от 04.12.2015 (ax0000000745)</v>
          </cell>
          <cell r="F67" t="str">
            <v>ООО "Атотех-Хемета"</v>
          </cell>
        </row>
        <row r="68">
          <cell r="A68" t="str">
            <v>Добавка AUNIC EN "A"</v>
          </cell>
          <cell r="B68" t="str">
            <v>Добавка AUNIC EN "A"</v>
          </cell>
          <cell r="C68" t="str">
            <v>кг</v>
          </cell>
          <cell r="D68">
            <v>705.42</v>
          </cell>
          <cell r="E68" t="str">
            <v>ax855 от 17.08.2018 (без)</v>
          </cell>
          <cell r="F68" t="str">
            <v>ООО "Атотех-Хемета"</v>
          </cell>
        </row>
        <row r="69">
          <cell r="A69" t="str">
            <v>Добавка AUNIC EN "B"</v>
          </cell>
          <cell r="B69" t="str">
            <v>Добавка AUNIC EN "B"</v>
          </cell>
          <cell r="C69" t="str">
            <v>кг</v>
          </cell>
          <cell r="D69">
            <v>633.91</v>
          </cell>
          <cell r="E69" t="str">
            <v>ax817 от 11.09.2017 (ax817)</v>
          </cell>
          <cell r="F69" t="str">
            <v>ООО "Атотех-Хемета"</v>
          </cell>
        </row>
        <row r="70">
          <cell r="A70" t="str">
            <v>Добавка AUNIC IG "A"</v>
          </cell>
          <cell r="B70" t="str">
            <v>Добавка AUNIC IG "A"</v>
          </cell>
          <cell r="C70" t="str">
            <v>кг</v>
          </cell>
          <cell r="D70">
            <v>1015</v>
          </cell>
          <cell r="E70" t="str">
            <v>84 от 26.02.2013 (84)</v>
          </cell>
          <cell r="F70" t="str">
            <v>ООО "Атотех-Хемета"</v>
          </cell>
        </row>
        <row r="71">
          <cell r="A71" t="str">
            <v>Добавка NOVIGANTH HC ADDITIVE</v>
          </cell>
          <cell r="B71" t="str">
            <v>Добавка NOVIGANTH HC ADDITIVE</v>
          </cell>
          <cell r="C71" t="str">
            <v>кг</v>
          </cell>
          <cell r="D71">
            <v>1495.95</v>
          </cell>
          <cell r="E71" t="str">
            <v>ax855 от 17.08.2018 (без)</v>
          </cell>
          <cell r="F71" t="str">
            <v>ООО "Атотех-Хемета"</v>
          </cell>
        </row>
        <row r="72">
          <cell r="A72" t="str">
            <v>Добавка STH ADDITIVE</v>
          </cell>
          <cell r="B72" t="str">
            <v>Добавка STH ADDITIVE</v>
          </cell>
          <cell r="C72" t="str">
            <v>кг</v>
          </cell>
          <cell r="D72">
            <v>984.12</v>
          </cell>
          <cell r="E72" t="str">
            <v>ax220 от 17.03.2017 (ax220)</v>
          </cell>
          <cell r="F72" t="str">
            <v>ООО "Атотех-Хемета"</v>
          </cell>
        </row>
        <row r="73">
          <cell r="A73" t="str">
            <v>Добавка Sulfotech SP Additive</v>
          </cell>
          <cell r="B73" t="str">
            <v>Добавка SULFOTECH SP ADDITIVE</v>
          </cell>
          <cell r="C73" t="str">
            <v>кг</v>
          </cell>
          <cell r="D73">
            <v>947.74</v>
          </cell>
          <cell r="E73" t="str">
            <v>ax991 от 24.10.2017 (безСФ)</v>
          </cell>
          <cell r="F73" t="str">
            <v>ООО "Атотех-Хемета"</v>
          </cell>
        </row>
        <row r="74">
          <cell r="A74" t="str">
            <v>Дозирующий раствор SECURIGANTH Р500</v>
          </cell>
          <cell r="B74" t="str">
            <v>Дозир. раствор SECURIGANTH P500 DOSING SOLUTION</v>
          </cell>
          <cell r="C74" t="str">
            <v>кг</v>
          </cell>
          <cell r="D74">
            <v>1349.5</v>
          </cell>
          <cell r="E74" t="str">
            <v>ax855 от 17.08.2018 (ax855)</v>
          </cell>
          <cell r="F74" t="str">
            <v>ООО "Атотех-Хемета"</v>
          </cell>
        </row>
        <row r="75">
          <cell r="A75" t="str">
            <v>Дополнительные</v>
          </cell>
          <cell r="B75" t="str">
            <v>Дополнительные</v>
          </cell>
          <cell r="C75" t="str">
            <v>руб/м кв.</v>
          </cell>
          <cell r="D75">
            <v>180</v>
          </cell>
        </row>
        <row r="76">
          <cell r="A76" t="str">
            <v>Защитная паяльная маска Dynamask 5030 (сухая)</v>
          </cell>
          <cell r="B76" t="str">
            <v>Защитная паяльная маска Dynamask 5030 (сухая)</v>
          </cell>
          <cell r="C76" t="str">
            <v>м2</v>
          </cell>
          <cell r="D76">
            <v>1216.56</v>
          </cell>
          <cell r="E76" t="str">
            <v>spb019042210 от 22.04.2019 (spb0190422010)</v>
          </cell>
          <cell r="F76" t="str">
            <v>ООО "Петрокоммерц"</v>
          </cell>
        </row>
        <row r="77">
          <cell r="A77" t="str">
            <v>Защитная паяльная маска XV501 T-4 SM Green (жидкая)</v>
          </cell>
          <cell r="B77" t="str">
            <v>Защитная паяльная маска XV501 T-4 Green (жидкая).</v>
          </cell>
          <cell r="C77" t="str">
            <v>кг</v>
          </cell>
          <cell r="D77">
            <v>2186.38</v>
          </cell>
          <cell r="E77" t="str">
            <v>spb018120501 от 05.12.2018 (spb0181205001)</v>
          </cell>
          <cell r="F77" t="str">
            <v>ООО "Петрокоммерц"</v>
          </cell>
        </row>
        <row r="78">
          <cell r="A78" t="str">
            <v>Калий дицианоаурат (1) чда</v>
          </cell>
          <cell r="B78" t="str">
            <v>Калий дицианоаурат (I) (68,23%) чда</v>
          </cell>
          <cell r="C78" t="str">
            <v>г</v>
          </cell>
          <cell r="D78">
            <v>1322.08</v>
          </cell>
          <cell r="E78" t="str">
            <v>6218 от 25.11.2014 (6218)</v>
          </cell>
          <cell r="F78" t="str">
            <v>ОАО "АУРАТ"</v>
          </cell>
        </row>
        <row r="79">
          <cell r="A79" t="str">
            <v>Кислота борфтористоводородная</v>
          </cell>
          <cell r="B79" t="str">
            <v>Кислота борфтористоводородная</v>
          </cell>
          <cell r="C79" t="str">
            <v>кг</v>
          </cell>
          <cell r="D79">
            <v>246</v>
          </cell>
          <cell r="E79" t="str">
            <v>208 от 14.03.2018 (Без СФ)</v>
          </cell>
          <cell r="F79" t="str">
            <v>ООО "Балтпромизолит"</v>
          </cell>
        </row>
        <row r="80">
          <cell r="A80" t="str">
            <v>Кислота серная</v>
          </cell>
          <cell r="B80" t="str">
            <v>Кислота серная</v>
          </cell>
          <cell r="C80" t="str">
            <v>кг</v>
          </cell>
          <cell r="D80">
            <v>48</v>
          </cell>
          <cell r="E80" t="str">
            <v>26от10.02.16 (Без СФ)</v>
          </cell>
          <cell r="F80" t="str">
            <v>ООО "ППФ"Химпроект"</v>
          </cell>
        </row>
        <row r="81">
          <cell r="A81" t="str">
            <v>Кислота соляная</v>
          </cell>
          <cell r="B81" t="str">
            <v>Кислота соляная</v>
          </cell>
          <cell r="C81" t="str">
            <v>кг</v>
          </cell>
          <cell r="D81">
            <v>46</v>
          </cell>
          <cell r="E81" t="str">
            <v>96 от 13.04.2017 (Без СФ)</v>
          </cell>
          <cell r="F81" t="str">
            <v>ООО "ППФ"Химпроект"</v>
          </cell>
        </row>
        <row r="82">
          <cell r="A82" t="str">
            <v>Краска белая термоотвердаемая Mark 3.1</v>
          </cell>
          <cell r="B82" t="str">
            <v>Краска белая термоотверждаемая Mark 3.1</v>
          </cell>
          <cell r="C82" t="str">
            <v>кг</v>
          </cell>
          <cell r="D82" t="str">
            <v>16357.14</v>
          </cell>
          <cell r="E82" t="str">
            <v>346 от 16.08.2017 (346)</v>
          </cell>
          <cell r="F82" t="str">
            <v>ООО "Балтпромизолит"</v>
          </cell>
        </row>
        <row r="83">
          <cell r="A83" t="str">
            <v>Лента Креп</v>
          </cell>
          <cell r="B83" t="str">
            <v>Лента Креп</v>
          </cell>
          <cell r="C83" t="str">
            <v>шт</v>
          </cell>
          <cell r="D83">
            <v>36.86</v>
          </cell>
          <cell r="E83" t="str">
            <v>103 от 09.06.2015</v>
          </cell>
          <cell r="F83" t="str">
            <v>ООО "Расма"</v>
          </cell>
        </row>
        <row r="84">
          <cell r="A84" t="str">
            <v>Лента малярная</v>
          </cell>
          <cell r="B84" t="str">
            <v>лента малярная S</v>
          </cell>
          <cell r="C84" t="str">
            <v>шт</v>
          </cell>
          <cell r="D84">
            <v>149</v>
          </cell>
          <cell r="E84" t="str">
            <v>чек 43 тов.чек 69 от 15.09.2015</v>
          </cell>
          <cell r="F84" t="str">
            <v>ООО "Максидом"</v>
          </cell>
        </row>
        <row r="85">
          <cell r="A85" t="str">
            <v>Маркировочная краска XV501 T-4 SM White (жидк.)</v>
          </cell>
          <cell r="B85" t="str">
            <v>Маркировочная краска XV501 T-4 SM White (жидкая)</v>
          </cell>
          <cell r="C85" t="str">
            <v>кг</v>
          </cell>
          <cell r="D85">
            <v>2209.84</v>
          </cell>
          <cell r="E85" t="str">
            <v>spb019031304 от 13.03.2019 (spb0160313004)</v>
          </cell>
          <cell r="F85" t="str">
            <v>ООО "Петрокоммерц"</v>
          </cell>
        </row>
        <row r="86">
          <cell r="A86" t="str">
            <v>Материал фольгированный RO435B-35-35-0.101</v>
          </cell>
          <cell r="B86" t="str">
            <v>Материал фольгированный RO435B-35-35-0.101</v>
          </cell>
          <cell r="C86" t="str">
            <v>м2</v>
          </cell>
          <cell r="D86">
            <v>27754.240000000002</v>
          </cell>
          <cell r="E86" t="str">
            <v>126 от21.03.16(244 от21.03.16)</v>
          </cell>
          <cell r="F86" t="str">
            <v>ООО "ЭлекТрейд-М"</v>
          </cell>
        </row>
        <row r="87">
          <cell r="A87" t="str">
            <v>Материал фольгированный RO4360G2-18/18-0.508</v>
          </cell>
          <cell r="B87" t="str">
            <v xml:space="preserve">Материал фольгированный RO4360G2-18/18-0.508 </v>
          </cell>
          <cell r="C87" t="str">
            <v>м2</v>
          </cell>
          <cell r="D87">
            <v>40534.379999999997</v>
          </cell>
          <cell r="E87" t="str">
            <v>328 от 01.07.2015 (643)</v>
          </cell>
          <cell r="F87" t="str">
            <v>ООО "ЭлекТрейд-М"</v>
          </cell>
        </row>
        <row r="88">
          <cell r="A88" t="str">
            <v>Материал фольгированный RO4360G2-18/18-1.524</v>
          </cell>
          <cell r="B88" t="str">
            <v xml:space="preserve">Материал фольгированный RO4360G2-18/18-1.524 </v>
          </cell>
          <cell r="C88" t="str">
            <v>м2</v>
          </cell>
          <cell r="D88">
            <v>81858.36</v>
          </cell>
          <cell r="E88" t="str">
            <v>328 от 01.07.2015 (643)</v>
          </cell>
          <cell r="F88" t="str">
            <v>ООО "ЭлекТрейд-М"</v>
          </cell>
        </row>
        <row r="89">
          <cell r="A89" t="str">
            <v>Медь двухлористая 2-водная</v>
          </cell>
          <cell r="B89" t="str">
            <v>Медь двухлористая 2-водная</v>
          </cell>
          <cell r="C89" t="str">
            <v>кг</v>
          </cell>
          <cell r="D89">
            <v>500</v>
          </cell>
          <cell r="E89" t="str">
            <v>539 от 21.11.2013</v>
          </cell>
          <cell r="F89" t="str">
            <v>ООО "Реахим"</v>
          </cell>
        </row>
        <row r="90">
          <cell r="A90" t="str">
            <v>Медь сернокислая 5-водная</v>
          </cell>
          <cell r="B90" t="str">
            <v>Медь сернокислая 5-водная</v>
          </cell>
          <cell r="C90" t="str">
            <v>кг</v>
          </cell>
          <cell r="D90">
            <v>490</v>
          </cell>
          <cell r="E90" t="str">
            <v>127 от 04.10.2018 (Без СФ)</v>
          </cell>
          <cell r="F90" t="str">
            <v>ООО "ППФ"Химпроект"</v>
          </cell>
        </row>
        <row r="91">
          <cell r="A91" t="str">
            <v>Меламин 0.5</v>
          </cell>
          <cell r="B91" t="str">
            <v>Меламин 0.5</v>
          </cell>
          <cell r="C91" t="str">
            <v>м2</v>
          </cell>
          <cell r="D91">
            <v>385.63</v>
          </cell>
          <cell r="E91" t="str">
            <v>742 от 18.09.2015 (742)</v>
          </cell>
          <cell r="F91" t="str">
            <v>ООО "Торговый дом Абсолют"</v>
          </cell>
        </row>
        <row r="92">
          <cell r="A92" t="str">
            <v>МИ1222.9-2-105-1.5 1кл.</v>
          </cell>
          <cell r="B92" t="str">
            <v>Стеклотекстолит фольгированный МИ1222.9-2-105-1.5 1кл.</v>
          </cell>
          <cell r="C92">
            <v>0.22900000000000001</v>
          </cell>
          <cell r="D92">
            <v>1377</v>
          </cell>
          <cell r="E92" t="str">
            <v>414 от 03.05.2018 (414)</v>
          </cell>
          <cell r="F92" t="str">
            <v>ООО "БАЛТПРОМИЗОЛИТ "</v>
          </cell>
        </row>
        <row r="93">
          <cell r="A93" t="str">
            <v>МИ1222.9-2-105-2.0 1кл.</v>
          </cell>
          <cell r="B93" t="str">
            <v>Стеклотекстолит фольгированный МИ1222.9-2-105-2.0 1кл.</v>
          </cell>
          <cell r="C93">
            <v>0.125</v>
          </cell>
          <cell r="D93">
            <v>1377</v>
          </cell>
          <cell r="E93" t="str">
            <v>415 от 03.05.2018 (415)</v>
          </cell>
          <cell r="F93" t="str">
            <v>ООО "БАЛТПРОМИЗОЛИТ "</v>
          </cell>
        </row>
        <row r="94">
          <cell r="A94" t="str">
            <v>МИ1222.9-2-18-1.0 1кл.</v>
          </cell>
          <cell r="B94" t="str">
            <v>Стеклотекстолит фольгированный МИ1222.9-2-18-1.0 1кл</v>
          </cell>
          <cell r="C94">
            <v>0.43478</v>
          </cell>
          <cell r="D94">
            <v>499</v>
          </cell>
          <cell r="E94" t="str">
            <v>532 от 01.07.2013 (659)</v>
          </cell>
          <cell r="F94" t="str">
            <v>ООО "БАЛТИЗОЛИТ СПб"</v>
          </cell>
        </row>
        <row r="95">
          <cell r="A95" t="str">
            <v>МИ1222.9-2-18-1.5 1кл.</v>
          </cell>
          <cell r="B95" t="str">
            <v>Стеклотекстолит фольгированный МИ1222.9-2-18-1.5 1кл</v>
          </cell>
          <cell r="C95">
            <v>0.31947999999999999</v>
          </cell>
          <cell r="D95">
            <v>819</v>
          </cell>
          <cell r="E95" t="str">
            <v>339 от 17.03.2016 (339)</v>
          </cell>
          <cell r="F95" t="str">
            <v>ООО "БАЛТИЗОЛИТ"</v>
          </cell>
        </row>
        <row r="96">
          <cell r="A96" t="str">
            <v>МИ1222.9-2-18-2.0 1кл.</v>
          </cell>
          <cell r="B96" t="str">
            <v>Стеклотекстолит фольгированный МИ1222.9-2-18-2.0 1кл</v>
          </cell>
          <cell r="C96">
            <v>0.26178000000000001</v>
          </cell>
          <cell r="D96">
            <v>816</v>
          </cell>
          <cell r="E96" t="str">
            <v>335 от 17.03.2016 (335)</v>
          </cell>
          <cell r="F96" t="str">
            <v>ООО "БАЛТИЗОЛИТ"</v>
          </cell>
        </row>
        <row r="97">
          <cell r="A97" t="str">
            <v>МИ1222.9-2-35-1.0 1кл.</v>
          </cell>
          <cell r="B97" t="str">
            <v>Стеклотекстолит фольгированный МИ1222.9-2-35-1.0 1кл</v>
          </cell>
          <cell r="C97">
            <v>0.41299999999999998</v>
          </cell>
          <cell r="D97">
            <v>922</v>
          </cell>
          <cell r="E97" t="str">
            <v>338 от 17.03.2016 (338)</v>
          </cell>
          <cell r="F97" t="str">
            <v>ООО "БАЛТИЗОЛИТ "</v>
          </cell>
        </row>
        <row r="98">
          <cell r="A98" t="str">
            <v>МИ1222.9-2-35-1.5 1кл.</v>
          </cell>
          <cell r="B98" t="str">
            <v>Стеклотекстолит фольгированный МИ1222.9-2-35-1.5 1кл</v>
          </cell>
          <cell r="C98">
            <v>0.28699999999999998</v>
          </cell>
          <cell r="D98">
            <v>964</v>
          </cell>
          <cell r="E98" t="str">
            <v>45 от 23.01.2019 (45)</v>
          </cell>
          <cell r="F98" t="str">
            <v>ООО "БАЛТПРОМИЗОЛИТ "</v>
          </cell>
        </row>
        <row r="99">
          <cell r="A99" t="str">
            <v>МИ1222.9-2-35-2.0 1кл.</v>
          </cell>
          <cell r="B99" t="str">
            <v>Стеклотекстолит фольгированный МИ1222.9-2-35-2.0 1кл</v>
          </cell>
          <cell r="C99">
            <v>0.22700000000000001</v>
          </cell>
          <cell r="D99">
            <v>964</v>
          </cell>
          <cell r="E99" t="str">
            <v>44 от 23.01.2019 (44)</v>
          </cell>
          <cell r="F99" t="str">
            <v>ООО "БАЛТПРОМИЗОЛИТ "</v>
          </cell>
        </row>
        <row r="100">
          <cell r="A100" t="str">
            <v>МИ1222.9-2-35-2.5 1кл.</v>
          </cell>
          <cell r="B100" t="str">
            <v>Стеклотекстолит фольгированный МИ1222.9-2-35-2.5 1кл.</v>
          </cell>
          <cell r="C100">
            <v>0.185</v>
          </cell>
          <cell r="D100">
            <v>839</v>
          </cell>
          <cell r="E100" t="str">
            <v>465 от 22.09.2017 (465)</v>
          </cell>
          <cell r="F100" t="str">
            <v>ООО "БАЛТПРОМИЗОЛИТ "</v>
          </cell>
        </row>
        <row r="101">
          <cell r="A101" t="str">
            <v>МИ1222.9-2-50-1.0 1кл.</v>
          </cell>
          <cell r="B101" t="str">
            <v>Стеклотекстолит фольгированный МИ1222.9-2-50-1.0 1кл.</v>
          </cell>
          <cell r="C101">
            <v>0.36099999999999999</v>
          </cell>
          <cell r="D101">
            <v>435</v>
          </cell>
          <cell r="E101" t="str">
            <v>1722 от 30.11.2010 (1722)</v>
          </cell>
        </row>
        <row r="102">
          <cell r="A102" t="str">
            <v>МИ1222.9-2-50-1.5 1кл.</v>
          </cell>
          <cell r="B102" t="str">
            <v>Стеклотекстолит фольгированный МИ1222.9-2-50-1.5 1кл</v>
          </cell>
          <cell r="C102">
            <v>0.25</v>
          </cell>
          <cell r="D102">
            <v>951</v>
          </cell>
          <cell r="E102" t="str">
            <v>209 от 14.03.2018 (209)</v>
          </cell>
          <cell r="F102" t="str">
            <v>ООО "БАЛТПРОМИЗОЛИТ"</v>
          </cell>
        </row>
        <row r="103">
          <cell r="A103" t="str">
            <v>МИ1222.9-2-50-2.0 1кл</v>
          </cell>
          <cell r="B103" t="str">
            <v>Стеклотекстолит фольгированный МИ1222.9-2-50-2.0 1кл</v>
          </cell>
          <cell r="C103">
            <v>0.22</v>
          </cell>
          <cell r="D103">
            <v>929</v>
          </cell>
          <cell r="E103" t="str">
            <v>1005 от 05.10.2018 (1005)</v>
          </cell>
          <cell r="F103" t="str">
            <v>ООО "БАЛТПРОМИЗОЛИТ"</v>
          </cell>
        </row>
        <row r="104">
          <cell r="A104" t="str">
            <v>Микротравитель MICROETCH SF</v>
          </cell>
          <cell r="B104" t="str">
            <v>Микротравитель MICROTECH SF</v>
          </cell>
          <cell r="C104" t="str">
            <v>кг</v>
          </cell>
          <cell r="D104">
            <v>466.4</v>
          </cell>
          <cell r="E104" t="str">
            <v>569 от 04.12.2015 (569)</v>
          </cell>
          <cell r="F104" t="str">
            <v>ООО "Атотех-Хемета"</v>
          </cell>
        </row>
        <row r="105">
          <cell r="A105" t="str">
            <v>Модификатор BONDFILM PART A</v>
          </cell>
          <cell r="B105" t="str">
            <v>Модификатор BONDFILM PART A</v>
          </cell>
          <cell r="C105" t="str">
            <v>кг</v>
          </cell>
          <cell r="D105">
            <v>501.46</v>
          </cell>
          <cell r="E105" t="str">
            <v>ax855 от 17.08.2018 (без)</v>
          </cell>
          <cell r="F105" t="str">
            <v>ООО "Атотех-Хемета"</v>
          </cell>
        </row>
        <row r="106">
          <cell r="A106" t="str">
            <v>Набухатель SECURIGANTH P SWELLER</v>
          </cell>
          <cell r="B106" t="str">
            <v>Набухатель SECURIGANTH P SWELLER</v>
          </cell>
          <cell r="C106" t="str">
            <v>кг</v>
          </cell>
          <cell r="D106">
            <v>584.27</v>
          </cell>
          <cell r="E106" t="str">
            <v>ax855 от 17.08.2018 (без)</v>
          </cell>
          <cell r="F106" t="str">
            <v>ООО "Атотех-Хемета"</v>
          </cell>
        </row>
        <row r="107">
          <cell r="A107" t="str">
            <v>Натрий надсернокислый</v>
          </cell>
          <cell r="B107" t="str">
            <v>Натрий надсернокислый</v>
          </cell>
          <cell r="C107" t="str">
            <v>кг</v>
          </cell>
          <cell r="D107">
            <v>299</v>
          </cell>
          <cell r="E107" t="str">
            <v>7 от 17.01.2018 (Без СФ)</v>
          </cell>
          <cell r="F107" t="str">
            <v>ООО "ППФ"Химпроект"</v>
          </cell>
        </row>
        <row r="108">
          <cell r="A108" t="str">
            <v>Натрий углекислый</v>
          </cell>
          <cell r="B108" t="str">
            <v>Натрий углекислый</v>
          </cell>
          <cell r="C108" t="str">
            <v>кг</v>
          </cell>
          <cell r="D108">
            <v>190</v>
          </cell>
          <cell r="E108" t="str">
            <v>127 от 04.10.2018 (Без СФ)</v>
          </cell>
          <cell r="F108" t="str">
            <v>ООО "ППФ"Химпроект"</v>
          </cell>
        </row>
        <row r="109">
          <cell r="A109" t="str">
            <v>Натрия гидроокись</v>
          </cell>
          <cell r="B109" t="str">
            <v>Натрий гидроокись</v>
          </cell>
          <cell r="C109" t="str">
            <v>кг</v>
          </cell>
          <cell r="D109">
            <v>194</v>
          </cell>
          <cell r="E109" t="str">
            <v>1241 от 29.01.2019(Без СФ)</v>
          </cell>
          <cell r="F109" t="str">
            <v>ЗАО "ЛенРеактив"</v>
          </cell>
        </row>
        <row r="110">
          <cell r="A110" t="str">
            <v>Нет или Материал Заказчика</v>
          </cell>
          <cell r="B110" t="str">
            <v>Нет</v>
          </cell>
          <cell r="C110" t="str">
            <v>м2</v>
          </cell>
          <cell r="D110">
            <v>0</v>
          </cell>
        </row>
        <row r="111">
          <cell r="A111" t="str">
            <v>Олово металлическое (аноды оловянные)</v>
          </cell>
          <cell r="B111" t="str">
            <v>Олово металлическое (аноды оловянные)</v>
          </cell>
          <cell r="C111" t="str">
            <v>кг</v>
          </cell>
          <cell r="D111">
            <v>1981</v>
          </cell>
          <cell r="E111" t="str">
            <v>1471 от 22.11.2016 (1471)</v>
          </cell>
          <cell r="F111" t="str">
            <v>ООО "БАЛТИЗОЛИТ"</v>
          </cell>
        </row>
        <row r="112">
          <cell r="A112" t="str">
            <v>Олово сернокислое (олова сульфат)</v>
          </cell>
          <cell r="B112" t="str">
            <v>Олово сернокислое (олова сульфат)</v>
          </cell>
          <cell r="C112" t="str">
            <v>кг</v>
          </cell>
          <cell r="D112">
            <v>2312.69</v>
          </cell>
          <cell r="E112" t="str">
            <v>spb14111004 от 10.11.2014 (spb141110004)</v>
          </cell>
          <cell r="F112" t="str">
            <v>ООО "Петрокоммерц"</v>
          </cell>
        </row>
        <row r="113">
          <cell r="A113" t="str">
            <v>Очиститель AUNIC CLN</v>
          </cell>
          <cell r="B113" t="str">
            <v>Очиститель AUNIC CLEANER</v>
          </cell>
          <cell r="C113" t="str">
            <v>кг</v>
          </cell>
          <cell r="D113">
            <v>542.26</v>
          </cell>
          <cell r="E113" t="str">
            <v>ах991 от 24.10.2017 (991)</v>
          </cell>
          <cell r="F113" t="str">
            <v>ООО "Атотех-Хемета"</v>
          </cell>
        </row>
        <row r="114">
          <cell r="A114" t="str">
            <v>Очиститель BONDFILM REINIGER ALK</v>
          </cell>
          <cell r="B114" t="str">
            <v>Очиститель BONDFILM REINIGER ALK</v>
          </cell>
          <cell r="C114" t="str">
            <v>кг</v>
          </cell>
          <cell r="D114">
            <v>470.02</v>
          </cell>
          <cell r="E114" t="str">
            <v>ax855 от 17.08.2018 (ax855)</v>
          </cell>
          <cell r="F114" t="str">
            <v>ООО "Атотех-Хемета"</v>
          </cell>
        </row>
        <row r="115">
          <cell r="A115" t="str">
            <v>Очиститель Screen opener K2</v>
          </cell>
          <cell r="B115" t="str">
            <v>Очиститель Screen opener K2</v>
          </cell>
          <cell r="C115" t="str">
            <v>кг</v>
          </cell>
          <cell r="D115">
            <v>373.21</v>
          </cell>
          <cell r="E115" t="str">
            <v>ЦП008271 от 19.04.2018 (ЦП00000996)</v>
          </cell>
          <cell r="F115" t="str">
            <v>ООО "Итрако"</v>
          </cell>
        </row>
        <row r="116">
          <cell r="A116" t="str">
            <v>Очиститель SECURIGANTH 902 CLEANER</v>
          </cell>
          <cell r="B116" t="str">
            <v>Очиститель SECURIGANTH 902 CLEANER</v>
          </cell>
          <cell r="C116" t="str">
            <v>кг</v>
          </cell>
          <cell r="D116">
            <v>1131.17</v>
          </cell>
          <cell r="E116" t="str">
            <v>ax465 от 14.05.2018 (без)</v>
          </cell>
          <cell r="F116" t="str">
            <v>ООО "Атотех-Хемета"</v>
          </cell>
        </row>
        <row r="117">
          <cell r="A117" t="str">
            <v>Пакет с защелкой полиэтиленовый</v>
          </cell>
          <cell r="B117" t="str">
            <v>Пакет с защелкой полиэтиленовый</v>
          </cell>
          <cell r="C117" t="str">
            <v>шт</v>
          </cell>
          <cell r="D117">
            <v>1.6</v>
          </cell>
          <cell r="E117" t="str">
            <v>166 от 04.09.2015</v>
          </cell>
          <cell r="F117" t="str">
            <v>ООО "Расма"</v>
          </cell>
        </row>
        <row r="118">
          <cell r="A118" t="str">
            <v>Пеногаситель</v>
          </cell>
          <cell r="B118" t="str">
            <v>Пеногаситель</v>
          </cell>
          <cell r="C118" t="str">
            <v>кг</v>
          </cell>
          <cell r="D118">
            <v>1115.8900000000001</v>
          </cell>
          <cell r="E118" t="str">
            <v>430 от 19.06.2018 (430)</v>
          </cell>
          <cell r="F118" t="str">
            <v>ООО "Торговый дом Абсолют"</v>
          </cell>
        </row>
        <row r="119">
          <cell r="A119" t="str">
            <v>Перекись водорода</v>
          </cell>
          <cell r="B119" t="str">
            <v>Перекись водорода</v>
          </cell>
          <cell r="C119" t="str">
            <v>кг</v>
          </cell>
          <cell r="D119">
            <v>82</v>
          </cell>
          <cell r="E119" t="str">
            <v>7 от 17.01.18 (Без СФ)</v>
          </cell>
          <cell r="F119" t="str">
            <v>ООО "ППФ"Химпроект"</v>
          </cell>
        </row>
        <row r="120">
          <cell r="A120" t="str">
            <v>Плёнка отслаиваемая полиэфирная PACOTHANE</v>
          </cell>
          <cell r="B120" t="str">
            <v>Пленка отслаиваемая полиэфирная PACOTHANE</v>
          </cell>
          <cell r="C120" t="str">
            <v>м2</v>
          </cell>
          <cell r="D120">
            <v>227.46</v>
          </cell>
          <cell r="E120" t="str">
            <v>168 от 14.03.2018 (168)</v>
          </cell>
          <cell r="F120" t="str">
            <v>ООО "Торговый дом Абсолют"</v>
          </cell>
        </row>
        <row r="121">
          <cell r="A121" t="str">
            <v>Пленка стрейч</v>
          </cell>
          <cell r="B121" t="str">
            <v>пленка упаковочная 50см/17мк (120) упаковочная</v>
          </cell>
          <cell r="C121" t="str">
            <v>шт</v>
          </cell>
          <cell r="D121">
            <v>185.59</v>
          </cell>
          <cell r="E121" t="str">
            <v>191 от 01.10.2015</v>
          </cell>
          <cell r="F121" t="str">
            <v>ООО "Расма"</v>
          </cell>
        </row>
        <row r="122">
          <cell r="A122" t="str">
            <v>Припой ПОС-61</v>
          </cell>
          <cell r="B122" t="str">
            <v>Припой ПОС-61</v>
          </cell>
          <cell r="C122" t="str">
            <v>кг</v>
          </cell>
          <cell r="D122">
            <v>1488</v>
          </cell>
          <cell r="E122" t="str">
            <v>183 от 21.02.2019 (183)</v>
          </cell>
          <cell r="F122" t="str">
            <v>ООО "БАЛТПРОМИЗОЛИТ"</v>
          </cell>
        </row>
        <row r="123">
          <cell r="A123" t="str">
            <v>Проявитель KODAK ACCUMAX Rapid Access</v>
          </cell>
          <cell r="B123" t="str">
            <v>Проявитель KODAK</v>
          </cell>
          <cell r="C123" t="str">
            <v>кг</v>
          </cell>
          <cell r="D123">
            <v>373.26</v>
          </cell>
          <cell r="E123" t="str">
            <v>spb019031304 от 13.03.2019 (0190313004)</v>
          </cell>
          <cell r="F123" t="str">
            <v>ООО "Петрокоммерц"</v>
          </cell>
        </row>
        <row r="124">
          <cell r="A124" t="str">
            <v>Разбавитель XZ 101 (для защитной маски XV 501T)</v>
          </cell>
          <cell r="B124" t="str">
            <v>Разбавитель XZ 101 (для защитной маски XV 501T)</v>
          </cell>
          <cell r="C124" t="str">
            <v>кг</v>
          </cell>
          <cell r="D124">
            <v>941.45</v>
          </cell>
          <cell r="E124" t="str">
            <v>spb018110911 от 09.11.2018</v>
          </cell>
          <cell r="F124" t="str">
            <v>ООО "Петрокоммерц"</v>
          </cell>
        </row>
        <row r="125">
          <cell r="A125" t="str">
            <v>Разбавитель XZ 107 (для защитной маски XV 501T-4)</v>
          </cell>
          <cell r="B125" t="str">
            <v>Разбавитель XZ 107 (для защитной маски XV 501T-4)</v>
          </cell>
          <cell r="C125" t="str">
            <v>кг</v>
          </cell>
          <cell r="D125">
            <v>780</v>
          </cell>
          <cell r="E125" t="str">
            <v>spb015070704 от 08.07.2015  (spb0150708004)</v>
          </cell>
          <cell r="F125" t="str">
            <v>ООО "Петрокоммерц"</v>
          </cell>
        </row>
        <row r="126">
          <cell r="A126" t="str">
            <v>Растворитель 646</v>
          </cell>
          <cell r="B126" t="str">
            <v>Растворитель 646</v>
          </cell>
          <cell r="C126" t="str">
            <v>кг</v>
          </cell>
          <cell r="D126">
            <v>120.86</v>
          </cell>
          <cell r="E126" t="str">
            <v>чек 3625 тов. Чек 103 от 09.12.2015</v>
          </cell>
          <cell r="F126" t="str">
            <v>ООО "Квадро"</v>
          </cell>
        </row>
        <row r="127">
          <cell r="A127" t="str">
            <v>Сверло твердосплавное d 0,25 ...0,60 мм, отв/шт</v>
          </cell>
          <cell r="B127" t="str">
            <v>сверло д1=0,3, д2=3,175 твердосплавное</v>
          </cell>
          <cell r="C127" t="str">
            <v>шт</v>
          </cell>
          <cell r="D127">
            <v>150</v>
          </cell>
          <cell r="E127" t="str">
            <v>1304 от 1.12.2015</v>
          </cell>
          <cell r="F127" t="str">
            <v>ООО "БАЛТИЗОЛИТ"</v>
          </cell>
        </row>
        <row r="128">
          <cell r="A128" t="str">
            <v>Сверло твердосплавное d 0,70…2,05 мм, отв/шт</v>
          </cell>
          <cell r="B128" t="str">
            <v>Сверло твердосплавное, отв/шт</v>
          </cell>
          <cell r="C128" t="str">
            <v>шт</v>
          </cell>
          <cell r="D128">
            <v>85.5</v>
          </cell>
          <cell r="E128" t="str">
            <v>665 от 20.06.2019</v>
          </cell>
          <cell r="F128" t="str">
            <v>ООО "БАЛТПРОМИЗОЛИТ"</v>
          </cell>
        </row>
        <row r="129">
          <cell r="A129" t="str">
            <v>Сода кальцинированная</v>
          </cell>
          <cell r="B129" t="str">
            <v>Сода кальцинированная</v>
          </cell>
          <cell r="C129" t="str">
            <v>кг</v>
          </cell>
          <cell r="D129">
            <v>36</v>
          </cell>
          <cell r="E129" t="str">
            <v>113 от 16.08.2018 (Без СФ)</v>
          </cell>
          <cell r="F129" t="str">
            <v>ООО "ППФ"Химпроект"</v>
          </cell>
        </row>
        <row r="130">
          <cell r="A130" t="str">
            <v>Состав д/приготовл. AUNIC MAKE-UP</v>
          </cell>
          <cell r="B130" t="str">
            <v>Состав для приготовления AUNIC MAKE-UP</v>
          </cell>
          <cell r="C130" t="str">
            <v>кг</v>
          </cell>
          <cell r="D130">
            <v>759.94</v>
          </cell>
          <cell r="E130" t="str">
            <v>ax278 от 19.03.2019 (ax278)</v>
          </cell>
          <cell r="F130" t="str">
            <v>ООО "Атотех-Хемета"</v>
          </cell>
        </row>
        <row r="131">
          <cell r="A131" t="str">
            <v>Состав д/приготовл. BONDFILM STARTER</v>
          </cell>
          <cell r="B131" t="str">
            <v>Состав для приготовления BONDFILM STARTER</v>
          </cell>
          <cell r="C131" t="str">
            <v>кг</v>
          </cell>
          <cell r="D131">
            <v>373.54</v>
          </cell>
          <cell r="E131" t="str">
            <v>ax991 от 24.10.2017 (ax991)</v>
          </cell>
          <cell r="F131" t="str">
            <v>ООО "Атотех-Хемета"</v>
          </cell>
        </row>
        <row r="132">
          <cell r="A132" t="str">
            <v>Состав д/приготовл. NOVIGANT HC MAKE-UP</v>
          </cell>
          <cell r="B132" t="str">
            <v>Состав для приготовления NOVIGANTH HC MAKE-UP</v>
          </cell>
          <cell r="C132" t="str">
            <v>кг</v>
          </cell>
          <cell r="D132">
            <v>1121.22</v>
          </cell>
          <cell r="E132" t="str">
            <v>45 от 02.02.2015 (45)</v>
          </cell>
          <cell r="F132" t="str">
            <v>ООО "Атотех-Хемета"</v>
          </cell>
        </row>
        <row r="133">
          <cell r="A133" t="str">
            <v>Состав для гальванизации СUPROSTAR LP-1</v>
          </cell>
          <cell r="B133" t="str">
            <v>Состав для гальванизации CUPROSTAR LP-1</v>
          </cell>
          <cell r="C133" t="str">
            <v>кг</v>
          </cell>
          <cell r="D133">
            <v>5975.84</v>
          </cell>
          <cell r="E133" t="str">
            <v>4990088870 от 27.09.2019 (500016039)</v>
          </cell>
          <cell r="F133" t="str">
            <v>АО "Омиа Алгол Рус"</v>
          </cell>
        </row>
        <row r="134">
          <cell r="A134" t="str">
            <v>Состав для удаления олова</v>
          </cell>
          <cell r="B134" t="str">
            <v>Состав для удаления олова</v>
          </cell>
          <cell r="C134" t="str">
            <v>кг</v>
          </cell>
          <cell r="D134">
            <v>241.53</v>
          </cell>
          <cell r="E134" t="str">
            <v>ax855 от 17.08.2018 (без)</v>
          </cell>
          <cell r="F134" t="str">
            <v>ООО "Атотех-Хемета"</v>
          </cell>
        </row>
        <row r="135">
          <cell r="A135" t="str">
            <v>Среднегодовой расход вспомогательных материалов</v>
          </cell>
          <cell r="B135" t="str">
            <v>Среднегодовой расход вспомогательных материалов</v>
          </cell>
          <cell r="D135">
            <v>150</v>
          </cell>
        </row>
        <row r="136">
          <cell r="A136" t="str">
            <v>Среднегодовой расход материалов лаборатории</v>
          </cell>
          <cell r="B136" t="str">
            <v>Среднегодовой расход материалов лаборатории</v>
          </cell>
          <cell r="D136">
            <v>30</v>
          </cell>
        </row>
        <row r="137">
          <cell r="A137" t="str">
            <v>Стабилизатор NOVIGANTH HC STABILIZER</v>
          </cell>
          <cell r="B137" t="str">
            <v>Стабилизатор NOVIGANTH HC STABILIZER</v>
          </cell>
          <cell r="C137" t="str">
            <v>кг</v>
          </cell>
          <cell r="D137">
            <v>2499.88</v>
          </cell>
          <cell r="E137" t="str">
            <v>spb14112501 от 25.11.2014 (spb141125001)</v>
          </cell>
          <cell r="F137" t="str">
            <v>ООО "Петрокоммерц"</v>
          </cell>
        </row>
        <row r="138">
          <cell r="A138" t="str">
            <v>Стеклотекстолит электротехн. СТЭФ-1 вс 3.0</v>
          </cell>
          <cell r="B138" t="str">
            <v>Стеклотекстолит электротехнический СТЭФ-1 вс 3.0</v>
          </cell>
          <cell r="C138">
            <v>1</v>
          </cell>
          <cell r="D138">
            <v>449</v>
          </cell>
          <cell r="E138" t="str">
            <v>1068 от 06.10.2015 (1068)</v>
          </cell>
          <cell r="F138" t="str">
            <v>ООО "БАЛТИЗОЛИТ"</v>
          </cell>
        </row>
        <row r="139">
          <cell r="A139" t="str">
            <v>Стеклоткань прокладочная DE 104ML 1080 AT01</v>
          </cell>
          <cell r="B139" t="str">
            <v>Стеклоткань прокладочная DE104ML 1080 AT01</v>
          </cell>
          <cell r="C139" t="str">
            <v>м2</v>
          </cell>
          <cell r="D139">
            <v>367.74</v>
          </cell>
          <cell r="E139" t="str">
            <v>spb19070102 от 01.07.2019 (spb190701002)</v>
          </cell>
          <cell r="F139" t="str">
            <v>ООО "Петрокоммерц"</v>
          </cell>
        </row>
        <row r="140">
          <cell r="A140" t="str">
            <v>Стеклоткань прокладочная RO4450B 0.091</v>
          </cell>
          <cell r="B140" t="str">
            <v>Стеклоткань прокладочная RO4450B 0.091</v>
          </cell>
          <cell r="C140" t="str">
            <v>м2</v>
          </cell>
          <cell r="D140">
            <v>7052.41</v>
          </cell>
          <cell r="E140" t="str">
            <v>254 от 08.06.2016 (482)</v>
          </cell>
          <cell r="F140" t="str">
            <v>ООО "ЭлекТрейд-М"</v>
          </cell>
        </row>
        <row r="141">
          <cell r="A141" t="str">
            <v>Стеклоткань прокладочная СТП-4 0,062</v>
          </cell>
          <cell r="B141" t="str">
            <v>Стеклоткань прокладочная СТП-4 0,062</v>
          </cell>
          <cell r="C141" t="str">
            <v>м2</v>
          </cell>
          <cell r="D141">
            <v>304.20999999999998</v>
          </cell>
          <cell r="E141" t="str">
            <v>500 от 21.04.2016 (500)</v>
          </cell>
          <cell r="F141" t="str">
            <v>ООО "БАЛТИЗОЛИТ"</v>
          </cell>
        </row>
        <row r="142">
          <cell r="A142" t="str">
            <v>СТФ-1-35-0.13 1кл.</v>
          </cell>
          <cell r="B142" t="str">
            <v>Стеклотекстолит фольгированный СТФ-1-35-0.13 1кл.</v>
          </cell>
          <cell r="C142">
            <v>1.8109999999999999</v>
          </cell>
          <cell r="D142">
            <v>1590</v>
          </cell>
          <cell r="E142" t="str">
            <v>713 от 01.06.2010 (713)</v>
          </cell>
          <cell r="F142" t="str">
            <v>ООО "Торговый дом МолдавИзолит""</v>
          </cell>
        </row>
        <row r="143">
          <cell r="A143" t="str">
            <v>СТФ-1-35-0.2 1кл.</v>
          </cell>
          <cell r="B143" t="str">
            <v>Стеклотекстолит фольгированный СТФ-1-35-0.2 1кл.</v>
          </cell>
          <cell r="C143">
            <v>1.46</v>
          </cell>
          <cell r="D143">
            <v>1305</v>
          </cell>
          <cell r="E143" t="str">
            <v>408 от 28.08.2007 (408)</v>
          </cell>
          <cell r="F143" t="str">
            <v>ООО "Вектор-электроника"</v>
          </cell>
        </row>
        <row r="144">
          <cell r="A144" t="str">
            <v>СТФ2-18-0,18 1 кл</v>
          </cell>
          <cell r="B144" t="str">
            <v>Стеклотекстолит фольгированный СТФ2-18-0.18 1кл</v>
          </cell>
          <cell r="C144" t="str">
            <v>м2</v>
          </cell>
          <cell r="D144">
            <v>1526.67</v>
          </cell>
        </row>
        <row r="145">
          <cell r="A145" t="str">
            <v>СТФ2-18-0,2 1 кл</v>
          </cell>
          <cell r="B145" t="str">
            <v>СТФ2-18-0.2 1 кл</v>
          </cell>
          <cell r="C145" t="str">
            <v>м2</v>
          </cell>
          <cell r="D145">
            <v>1498.3739999999998</v>
          </cell>
        </row>
        <row r="146">
          <cell r="A146" t="str">
            <v>СТФ-2-18-0.13 1кл.</v>
          </cell>
          <cell r="B146" t="str">
            <v>Стеклотекстолит фольгированный СТФ2-18-0.13 1кл</v>
          </cell>
          <cell r="C146">
            <v>1.8149999999999999</v>
          </cell>
          <cell r="D146">
            <v>2640</v>
          </cell>
          <cell r="E146" t="str">
            <v>381 от 11.12.2014 (385)</v>
          </cell>
          <cell r="F146" t="str">
            <v>ООО "БАЛТИЗОЛИТ"</v>
          </cell>
        </row>
        <row r="147">
          <cell r="A147" t="str">
            <v>СТФ-2-18-0.13 1кл. "ОС"</v>
          </cell>
          <cell r="B147" t="str">
            <v>Стеклотекстолит фольгированный СТФ2-18-0.13 1кл.</v>
          </cell>
          <cell r="C147">
            <v>1.8149999999999999</v>
          </cell>
          <cell r="D147">
            <v>2070</v>
          </cell>
          <cell r="E147" t="str">
            <v>381 от 11.12.2014 (385)</v>
          </cell>
          <cell r="F147" t="str">
            <v>ООО "БАЛТИЗОЛИТ"</v>
          </cell>
        </row>
        <row r="148">
          <cell r="A148" t="str">
            <v>СТФ-2-18-0.18 1кл.</v>
          </cell>
          <cell r="B148" t="str">
            <v>Стеклотекстолит фольгированный СТФ2-18-0.18 1кл</v>
          </cell>
          <cell r="C148">
            <v>1.462</v>
          </cell>
          <cell r="D148">
            <v>3038.92</v>
          </cell>
          <cell r="E148" t="str">
            <v>206 от 14.03.2018 (206)</v>
          </cell>
          <cell r="F148" t="str">
            <v>ООО "БАЛТПРОМИЗОЛИТ"</v>
          </cell>
        </row>
        <row r="149">
          <cell r="A149" t="str">
            <v>СТФ-2-18-0.18 1кл. "ОС"</v>
          </cell>
          <cell r="B149" t="str">
            <v>Стеклотекстолит фольгированный СТФ2-18-0.18 1кл.</v>
          </cell>
          <cell r="C149">
            <v>1.462</v>
          </cell>
          <cell r="D149">
            <v>1815</v>
          </cell>
          <cell r="E149" t="str">
            <v>383 от 08.04.2015 (384)</v>
          </cell>
          <cell r="F149" t="str">
            <v>ООО "БАЛТИЗОЛИТ"</v>
          </cell>
        </row>
        <row r="150">
          <cell r="A150" t="str">
            <v>СТФ-2-18-0.2 1кл</v>
          </cell>
          <cell r="B150" t="str">
            <v>Стеклотекстолит фольгированный СТФ-2-18-0.2 1кл</v>
          </cell>
          <cell r="C150">
            <v>1</v>
          </cell>
          <cell r="D150">
            <v>1860</v>
          </cell>
          <cell r="E150" t="str">
            <v>81 от 13.05.2013 (91)</v>
          </cell>
          <cell r="F150" t="str">
            <v>ООО "АльфаКом"</v>
          </cell>
        </row>
        <row r="151">
          <cell r="A151" t="str">
            <v>СТФ2-35-0,1 1 кл</v>
          </cell>
          <cell r="B151" t="str">
            <v xml:space="preserve">Стеклотекстолит фольгированный СТФ2-35-0.1 1кл </v>
          </cell>
          <cell r="C151" t="str">
            <v>м2</v>
          </cell>
          <cell r="D151">
            <v>1866.3119999999999</v>
          </cell>
        </row>
        <row r="152">
          <cell r="A152" t="str">
            <v>СТФ2-35-0,2 1 кл</v>
          </cell>
          <cell r="B152" t="str">
            <v>Стеклотекстолит фольгированный СТФ2-35-0.2 1кл</v>
          </cell>
          <cell r="C152" t="str">
            <v>м2</v>
          </cell>
          <cell r="D152">
            <v>2209.6799999999998</v>
          </cell>
        </row>
        <row r="153">
          <cell r="A153" t="str">
            <v>СТФ2-35-0,25 1 кл</v>
          </cell>
          <cell r="B153" t="str">
            <v>СТФ2-35-0,25 1 кл</v>
          </cell>
          <cell r="C153" t="str">
            <v>м2</v>
          </cell>
          <cell r="D153">
            <v>2016</v>
          </cell>
        </row>
        <row r="154">
          <cell r="A154" t="str">
            <v>СТФ-2-35-0.1 1кл</v>
          </cell>
          <cell r="B154" t="str">
            <v xml:space="preserve">Стеклотекстолит фольгированный СТФ2-35-0.1 1кл </v>
          </cell>
          <cell r="C154">
            <v>1</v>
          </cell>
          <cell r="D154">
            <v>1840</v>
          </cell>
          <cell r="E154" t="str">
            <v>381 от 11.12.2014 (385)</v>
          </cell>
          <cell r="F154" t="str">
            <v>ООО "БАЛТИЗОЛИТ"</v>
          </cell>
        </row>
        <row r="155">
          <cell r="A155" t="str">
            <v xml:space="preserve">СТФ-2-35-0.13 1кл. </v>
          </cell>
          <cell r="B155" t="str">
            <v xml:space="preserve">Стеклотекстолит фольгированный СТФ-2-35-0.13 1кл. </v>
          </cell>
          <cell r="C155">
            <v>1.167</v>
          </cell>
          <cell r="D155">
            <v>2690</v>
          </cell>
          <cell r="E155" t="str">
            <v>500 от 21.04.2016 (500)</v>
          </cell>
          <cell r="F155" t="str">
            <v>ООО "БАЛТИЗОЛИТ"</v>
          </cell>
        </row>
        <row r="156">
          <cell r="A156" t="str">
            <v>СТФ-2-35-0.2 1кл.</v>
          </cell>
          <cell r="B156" t="str">
            <v>Стеклотекстолит фольгированный СТФ2-35-0.2 1кл</v>
          </cell>
          <cell r="C156">
            <v>1.462</v>
          </cell>
          <cell r="D156">
            <v>2000</v>
          </cell>
          <cell r="E156" t="str">
            <v>1041 от 02.12.2013 (1460)</v>
          </cell>
          <cell r="F156" t="str">
            <v>ООО "БАЛТИЗОЛИТ СПб"</v>
          </cell>
        </row>
        <row r="157">
          <cell r="A157" t="str">
            <v>СТФ-2-35-0.2 1кл. "ОС"</v>
          </cell>
          <cell r="B157" t="str">
            <v>Стеклотекстолит фольгированный СТФ2-35-0.2 1кл</v>
          </cell>
          <cell r="C157">
            <v>1.462</v>
          </cell>
          <cell r="D157">
            <v>1114</v>
          </cell>
          <cell r="E157" t="str">
            <v>738 от 11.05.2011 (738)</v>
          </cell>
          <cell r="F157" t="str">
            <v>ООО "Торговый дом МолдавИзолит""</v>
          </cell>
        </row>
        <row r="158">
          <cell r="A158" t="str">
            <v>СТФ-2-35-2.5 1кл.</v>
          </cell>
          <cell r="B158" t="str">
            <v>Стеклотекстолит фольгированный СТФ-2-35-2.5 1кл.</v>
          </cell>
          <cell r="C158">
            <v>0.187</v>
          </cell>
          <cell r="D158">
            <v>435</v>
          </cell>
          <cell r="E158" t="str">
            <v>46 от 07.02.2008 (46)</v>
          </cell>
          <cell r="F158" t="str">
            <v>ООО "Вектор-электроника"</v>
          </cell>
        </row>
        <row r="159">
          <cell r="A159" t="str">
            <v>СТФ-2-35-3.0 1кл.</v>
          </cell>
          <cell r="B159" t="str">
            <v>Стеклотекстолит фольгированный СТФ-2-35-3.0 1кл.</v>
          </cell>
          <cell r="C159">
            <v>0.158</v>
          </cell>
          <cell r="D159">
            <v>398</v>
          </cell>
          <cell r="E159" t="str">
            <v>108 от 25.06.2007 (108)</v>
          </cell>
          <cell r="F159" t="str">
            <v>ООО "Гравит"</v>
          </cell>
        </row>
        <row r="160">
          <cell r="A160" t="str">
            <v>СТФ-2-50-2.0 1кл.</v>
          </cell>
          <cell r="B160" t="str">
            <v>Стеклотекстолит фольгированный СТФ-2-50-2.0 1кл.</v>
          </cell>
          <cell r="C160">
            <v>0.214</v>
          </cell>
          <cell r="D160">
            <v>413</v>
          </cell>
        </row>
        <row r="161">
          <cell r="A161" t="str">
            <v>Сумка ПНД</v>
          </cell>
          <cell r="B161" t="str">
            <v>Сумка ПНД</v>
          </cell>
          <cell r="C161" t="str">
            <v>шт</v>
          </cell>
          <cell r="D161">
            <v>3.38</v>
          </cell>
          <cell r="E161" t="str">
            <v>236 от 30.11.2015</v>
          </cell>
          <cell r="F161" t="str">
            <v>ООО "Расма"</v>
          </cell>
        </row>
        <row r="162">
          <cell r="A162" t="str">
            <v>Тринатрийфосфат</v>
          </cell>
          <cell r="B162" t="str">
            <v>Тринатрийфосфат</v>
          </cell>
          <cell r="C162" t="str">
            <v>кг</v>
          </cell>
          <cell r="D162">
            <v>75</v>
          </cell>
          <cell r="E162" t="str">
            <v>57 от 26.06.2019 (без)</v>
          </cell>
          <cell r="F162" t="str">
            <v>ООО "ППФ"Химпроект"</v>
          </cell>
        </row>
        <row r="163">
          <cell r="A163" t="str">
            <v>Фиксаж KODAK 3000</v>
          </cell>
          <cell r="B163" t="str">
            <v>Фиксаж KODAK</v>
          </cell>
          <cell r="C163" t="str">
            <v>кг</v>
          </cell>
          <cell r="D163">
            <v>271.97000000000003</v>
          </cell>
          <cell r="E163" t="str">
            <v>1015 от 08.08.2016 (1015)</v>
          </cell>
          <cell r="F163" t="str">
            <v>ООО "БАЛТИЗОЛИТ"</v>
          </cell>
        </row>
        <row r="164">
          <cell r="A164" t="str">
            <v>Флюс</v>
          </cell>
          <cell r="B164" t="str">
            <v>Флюс</v>
          </cell>
          <cell r="C164" t="str">
            <v>кг</v>
          </cell>
          <cell r="D164" t="str">
            <v>824.46</v>
          </cell>
          <cell r="E164" t="str">
            <v>4990080484 от 27.05.2019 (500007832)</v>
          </cell>
          <cell r="F164" t="str">
            <v>АО "Омиа Алгол Рус"</v>
          </cell>
        </row>
        <row r="165">
          <cell r="A165" t="str">
            <v>Фольга медная 70 мкм</v>
          </cell>
          <cell r="B165" t="str">
            <v>Фольга медная 70 мкм</v>
          </cell>
          <cell r="C165" t="str">
            <v>м2</v>
          </cell>
          <cell r="D165">
            <v>1461.48</v>
          </cell>
          <cell r="E165" t="str">
            <v>spb14112503 от 25.11.2014 (spb141125003)</v>
          </cell>
          <cell r="F165" t="str">
            <v>ООО "Петрокоммерц"</v>
          </cell>
        </row>
        <row r="166">
          <cell r="A166" t="str">
            <v>Фотоплёнка KODAK ARD-7</v>
          </cell>
          <cell r="B166" t="str">
            <v>Фотопленка KODAK APR-7</v>
          </cell>
          <cell r="C166" t="str">
            <v>м2</v>
          </cell>
          <cell r="D166">
            <v>852.81</v>
          </cell>
          <cell r="E166" t="str">
            <v>spb19070103 от 01.07.2019 (spb190701003)</v>
          </cell>
          <cell r="F166" t="str">
            <v>ООО "Петрокоммерц"</v>
          </cell>
        </row>
        <row r="167">
          <cell r="A167" t="str">
            <v>Фоторезист Riston 40мкм</v>
          </cell>
          <cell r="B167" t="str">
            <v>Фоторезист сухой пленочный 40 мкм</v>
          </cell>
          <cell r="C167" t="str">
            <v>м2</v>
          </cell>
          <cell r="D167" t="str">
            <v>135.04</v>
          </cell>
          <cell r="E167" t="str">
            <v>spb19070102 от 01.07.2019 (spb190701002)</v>
          </cell>
          <cell r="F167" t="str">
            <v>ООО "Петрокоммерц"</v>
          </cell>
        </row>
        <row r="168">
          <cell r="A168" t="str">
            <v>Фоторезист Riston 50мкм</v>
          </cell>
          <cell r="B168" t="str">
            <v>Фоторезист сухой пленочный 50 мкм</v>
          </cell>
          <cell r="C168" t="str">
            <v>м2</v>
          </cell>
          <cell r="D168">
            <v>202.27</v>
          </cell>
          <cell r="E168" t="str">
            <v>151 от 18.03.2020 (151)</v>
          </cell>
          <cell r="F168" t="str">
            <v>ООО "Абсолют электроника"</v>
          </cell>
        </row>
        <row r="169">
          <cell r="A169" t="str">
            <v>Фреза твердосплавная</v>
          </cell>
          <cell r="B169" t="str">
            <v>Фреза твердосплавная, м/шт</v>
          </cell>
          <cell r="C169" t="str">
            <v>шт</v>
          </cell>
          <cell r="D169">
            <v>139</v>
          </cell>
          <cell r="E169" t="str">
            <v>578 от 19.10.2017</v>
          </cell>
          <cell r="F169" t="str">
            <v>ООО "БАЛТПРОМИЗОЛИТ"</v>
          </cell>
        </row>
        <row r="170">
          <cell r="A170" t="str">
            <v>Чернила для Legend</v>
          </cell>
          <cell r="B170" t="str">
            <v>ЧР Legend</v>
          </cell>
          <cell r="C170" t="str">
            <v>кг</v>
          </cell>
          <cell r="D170">
            <v>10000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 трудоемкости"/>
    </sheetNames>
    <sheetDataSet>
      <sheetData sheetId="0">
        <row r="1">
          <cell r="A1" t="str">
            <v>К3</v>
          </cell>
          <cell r="B1">
            <v>1.3</v>
          </cell>
          <cell r="C1"/>
          <cell r="E1"/>
          <cell r="F1"/>
          <cell r="G1"/>
        </row>
        <row r="2">
          <cell r="A2" t="str">
            <v>К4</v>
          </cell>
          <cell r="B2">
            <v>1.5</v>
          </cell>
          <cell r="C2"/>
          <cell r="E2"/>
          <cell r="F2"/>
          <cell r="G2"/>
        </row>
        <row r="3">
          <cell r="A3" t="str">
            <v>К5</v>
          </cell>
          <cell r="B3">
            <v>2</v>
          </cell>
          <cell r="C3"/>
          <cell r="D3"/>
          <cell r="E3"/>
          <cell r="F3"/>
        </row>
        <row r="5">
          <cell r="A5" t="str">
            <v>№п/п</v>
          </cell>
          <cell r="B5" t="str">
            <v>Наименование операции</v>
          </cell>
          <cell r="C5" t="str">
            <v>Из протокола</v>
          </cell>
          <cell r="D5" t="str">
            <v>на 1дм2 заг-ки 3 кл. точн., час/дм2</v>
          </cell>
          <cell r="E5" t="str">
            <v>на 1 дм2 заг-ки 4 кл. точн., час/дм2</v>
          </cell>
          <cell r="F5" t="str">
            <v>на 1 дм2 заг-ки 5 кл. точн., час/дм2</v>
          </cell>
          <cell r="G5" t="str">
            <v>Альтернативное название из протокола проеведения хронометража</v>
          </cell>
        </row>
        <row r="6">
          <cell r="A6"/>
          <cell r="B6" t="str">
            <v>Подготовительные</v>
          </cell>
          <cell r="C6"/>
          <cell r="D6"/>
          <cell r="E6"/>
          <cell r="F6"/>
          <cell r="G6"/>
        </row>
        <row r="7">
          <cell r="A7">
            <v>1</v>
          </cell>
          <cell r="B7" t="str">
            <v>Изготовление фотошаблонов</v>
          </cell>
          <cell r="C7"/>
          <cell r="D7">
            <v>1.056</v>
          </cell>
          <cell r="E7">
            <v>1.1759999999999999</v>
          </cell>
          <cell r="F7">
            <v>1.236</v>
          </cell>
          <cell r="G7"/>
        </row>
        <row r="8">
          <cell r="A8">
            <v>1.1000000000000001</v>
          </cell>
          <cell r="B8" t="str">
            <v>Изготовленние шаблонов без пробивки (маска,маркировка)</v>
          </cell>
          <cell r="C8"/>
          <cell r="D8">
            <v>0.4</v>
          </cell>
          <cell r="E8">
            <v>0.6</v>
          </cell>
          <cell r="F8">
            <v>1</v>
          </cell>
          <cell r="G8"/>
        </row>
        <row r="9">
          <cell r="A9">
            <v>2</v>
          </cell>
          <cell r="B9" t="str">
            <v>Проверка, паспортизация, ретушь ФШ</v>
          </cell>
          <cell r="C9"/>
          <cell r="D9">
            <v>0.45599999999999996</v>
          </cell>
          <cell r="E9">
            <v>0.58799999999999997</v>
          </cell>
          <cell r="F9">
            <v>0.75600000000000001</v>
          </cell>
          <cell r="G9"/>
        </row>
        <row r="10">
          <cell r="A10">
            <v>2.1</v>
          </cell>
          <cell r="B10" t="str">
            <v>Изготовленние шаблонов без пробивки (маска,маркировка)</v>
          </cell>
          <cell r="C10"/>
          <cell r="D10">
            <v>0.3</v>
          </cell>
          <cell r="E10">
            <v>0.4</v>
          </cell>
          <cell r="F10">
            <v>0.7</v>
          </cell>
          <cell r="G10"/>
        </row>
        <row r="11">
          <cell r="A11">
            <v>3</v>
          </cell>
          <cell r="B11" t="str">
            <v>Изготовление мастер-плат для фрезерования</v>
          </cell>
          <cell r="C11"/>
          <cell r="D11">
            <v>0.375</v>
          </cell>
          <cell r="E11">
            <v>0.375</v>
          </cell>
          <cell r="F11">
            <v>0.375</v>
          </cell>
          <cell r="G11"/>
        </row>
        <row r="12">
          <cell r="A12"/>
          <cell r="B12" t="str">
            <v>Основные операции</v>
          </cell>
          <cell r="C12"/>
          <cell r="D12"/>
          <cell r="E12"/>
          <cell r="F12"/>
          <cell r="G12"/>
        </row>
        <row r="13">
          <cell r="A13">
            <v>1</v>
          </cell>
          <cell r="B13" t="str">
            <v>Заготовительная</v>
          </cell>
          <cell r="C13">
            <v>2.4E-2</v>
          </cell>
          <cell r="D13">
            <v>3.1200000000000002E-2</v>
          </cell>
          <cell r="E13">
            <v>3.6000000000000004E-2</v>
          </cell>
          <cell r="F13">
            <v>4.8000000000000001E-2</v>
          </cell>
          <cell r="G13" t="str">
            <v>Нарезка заготовок</v>
          </cell>
        </row>
        <row r="14">
          <cell r="A14">
            <v>2</v>
          </cell>
          <cell r="B14" t="str">
            <v>Подготовка поверхности химическая</v>
          </cell>
          <cell r="C14">
            <v>6.0000000000000001E-3</v>
          </cell>
          <cell r="D14">
            <v>7.8000000000000005E-3</v>
          </cell>
          <cell r="E14">
            <v>9.0000000000000011E-3</v>
          </cell>
          <cell r="F14">
            <v>1.2E-2</v>
          </cell>
          <cell r="G14"/>
        </row>
        <row r="15">
          <cell r="A15">
            <v>3</v>
          </cell>
          <cell r="B15" t="str">
            <v>Нанесение пленочного фоторезиста</v>
          </cell>
          <cell r="C15">
            <v>7.0000000000000001E-3</v>
          </cell>
          <cell r="D15">
            <v>9.1000000000000004E-3</v>
          </cell>
          <cell r="E15">
            <v>1.0500000000000001E-2</v>
          </cell>
          <cell r="F15">
            <v>1.4E-2</v>
          </cell>
          <cell r="G15"/>
        </row>
        <row r="16">
          <cell r="A16">
            <v>4</v>
          </cell>
          <cell r="B16" t="str">
            <v>Пробивка базовых отверстий</v>
          </cell>
          <cell r="C16">
            <v>2.5999999999999999E-3</v>
          </cell>
          <cell r="D16">
            <v>3.3799999999999998E-3</v>
          </cell>
          <cell r="E16">
            <v>3.8999999999999998E-3</v>
          </cell>
          <cell r="F16">
            <v>5.1999999999999998E-3</v>
          </cell>
          <cell r="G16" t="str">
            <v>Сверление базовых отверстий</v>
          </cell>
        </row>
        <row r="17">
          <cell r="A17">
            <v>5</v>
          </cell>
          <cell r="B17" t="str">
            <v>Экспонирование</v>
          </cell>
          <cell r="C17">
            <v>4.0000000000000001E-3</v>
          </cell>
          <cell r="D17">
            <v>5.2000000000000006E-3</v>
          </cell>
          <cell r="E17">
            <v>6.0000000000000001E-3</v>
          </cell>
          <cell r="F17">
            <v>8.0000000000000002E-3</v>
          </cell>
          <cell r="G17"/>
        </row>
        <row r="18">
          <cell r="A18">
            <v>6</v>
          </cell>
          <cell r="B18" t="str">
            <v>Проявление</v>
          </cell>
          <cell r="C18">
            <v>5.0000000000000001E-3</v>
          </cell>
          <cell r="D18">
            <v>6.5000000000000006E-3</v>
          </cell>
          <cell r="E18">
            <v>7.4999999999999997E-3</v>
          </cell>
          <cell r="F18">
            <v>0.01</v>
          </cell>
          <cell r="G18"/>
        </row>
        <row r="19">
          <cell r="A19">
            <v>7</v>
          </cell>
          <cell r="B19" t="str">
            <v>Ретуширование</v>
          </cell>
          <cell r="C19">
            <v>2.1000000000000001E-2</v>
          </cell>
          <cell r="D19">
            <v>2.7300000000000001E-2</v>
          </cell>
          <cell r="E19">
            <v>3.15E-2</v>
          </cell>
          <cell r="F19">
            <v>4.2000000000000003E-2</v>
          </cell>
          <cell r="G19"/>
        </row>
        <row r="20">
          <cell r="A20">
            <v>8</v>
          </cell>
          <cell r="B20" t="str">
            <v>Травление (кислое)</v>
          </cell>
          <cell r="C20">
            <v>4.0000000000000001E-3</v>
          </cell>
          <cell r="D20">
            <v>5.2000000000000006E-3</v>
          </cell>
          <cell r="E20">
            <v>6.0000000000000001E-3</v>
          </cell>
          <cell r="F20">
            <v>8.0000000000000002E-3</v>
          </cell>
          <cell r="G20"/>
        </row>
        <row r="21">
          <cell r="A21">
            <v>9</v>
          </cell>
          <cell r="B21" t="str">
            <v>Снятие пленочного фоторезиста</v>
          </cell>
          <cell r="C21">
            <v>3.4000000000000002E-2</v>
          </cell>
          <cell r="D21">
            <v>4.4200000000000003E-2</v>
          </cell>
          <cell r="E21">
            <v>5.1000000000000004E-2</v>
          </cell>
          <cell r="F21">
            <v>6.8000000000000005E-2</v>
          </cell>
          <cell r="G21"/>
        </row>
        <row r="22">
          <cell r="A22">
            <v>10</v>
          </cell>
          <cell r="B22" t="str">
            <v>Подрезка, ремонт внутренних слоев</v>
          </cell>
          <cell r="C22">
            <v>2.1000000000000001E-2</v>
          </cell>
          <cell r="D22">
            <v>2.7300000000000001E-2</v>
          </cell>
          <cell r="E22">
            <v>3.15E-2</v>
          </cell>
          <cell r="F22">
            <v>4.2000000000000003E-2</v>
          </cell>
          <cell r="G22"/>
        </row>
        <row r="23">
          <cell r="A23">
            <v>11</v>
          </cell>
          <cell r="B23" t="str">
            <v>Видеоконтроль слоев (ORION) МПП</v>
          </cell>
          <cell r="C23"/>
          <cell r="D23">
            <v>6.6666666666666662E-3</v>
          </cell>
          <cell r="E23">
            <v>1.1111111111111112E-2</v>
          </cell>
          <cell r="F23">
            <v>1.7777777777777778E-2</v>
          </cell>
          <cell r="G23"/>
        </row>
        <row r="24">
          <cell r="A24">
            <v>12</v>
          </cell>
          <cell r="B24" t="str">
            <v>Нанесение адгезионного слоя</v>
          </cell>
          <cell r="C24">
            <v>7.0000000000000001E-3</v>
          </cell>
          <cell r="D24">
            <v>9.1000000000000004E-3</v>
          </cell>
          <cell r="E24">
            <v>1.0500000000000001E-2</v>
          </cell>
          <cell r="F24">
            <v>1.4E-2</v>
          </cell>
          <cell r="G24" t="str">
            <v>подготовка поверхности мех</v>
          </cell>
        </row>
        <row r="25">
          <cell r="A25"/>
          <cell r="B25" t="str">
            <v>Сумма на слой</v>
          </cell>
          <cell r="C25"/>
          <cell r="D25">
            <v>0.18294666666666665</v>
          </cell>
          <cell r="E25">
            <v>0.21451111111111115</v>
          </cell>
          <cell r="F25">
            <v>0.28897777777777778</v>
          </cell>
          <cell r="G25"/>
        </row>
        <row r="26">
          <cell r="A26"/>
          <cell r="B26"/>
          <cell r="C26"/>
          <cell r="D26"/>
          <cell r="E26"/>
          <cell r="F26"/>
          <cell r="G26"/>
        </row>
        <row r="27">
          <cell r="A27">
            <v>13</v>
          </cell>
          <cell r="B27" t="str">
            <v>Проверка комплектности, прессование, термостабилизация</v>
          </cell>
          <cell r="C27"/>
          <cell r="D27">
            <v>7.7000000000000013E-2</v>
          </cell>
          <cell r="E27">
            <v>8.8000000000000009E-2</v>
          </cell>
          <cell r="F27">
            <v>0.11000000000000001</v>
          </cell>
          <cell r="G27"/>
        </row>
        <row r="28">
          <cell r="A28">
            <v>14</v>
          </cell>
          <cell r="B28" t="str">
            <v>Промывка водой под высоким давлением</v>
          </cell>
          <cell r="C28">
            <v>8.3000000000000004E-2</v>
          </cell>
          <cell r="D28">
            <v>0.10790000000000001</v>
          </cell>
          <cell r="E28">
            <v>0.1245</v>
          </cell>
          <cell r="F28">
            <v>0.16600000000000001</v>
          </cell>
          <cell r="G28"/>
        </row>
        <row r="29">
          <cell r="A29">
            <v>15</v>
          </cell>
          <cell r="B29" t="str">
            <v>Дисмеринг</v>
          </cell>
          <cell r="C29">
            <v>3.0000000000000001E-3</v>
          </cell>
          <cell r="D29">
            <v>3.9000000000000003E-3</v>
          </cell>
          <cell r="E29">
            <v>4.5000000000000005E-3</v>
          </cell>
          <cell r="F29">
            <v>6.0000000000000001E-3</v>
          </cell>
          <cell r="G29"/>
        </row>
        <row r="30">
          <cell r="A30">
            <v>16</v>
          </cell>
          <cell r="B30" t="str">
            <v>Промывка водой под высоким давлением</v>
          </cell>
          <cell r="C30">
            <v>8.3000000000000004E-2</v>
          </cell>
          <cell r="D30">
            <v>0.10790000000000001</v>
          </cell>
          <cell r="E30">
            <v>0.1245</v>
          </cell>
          <cell r="F30">
            <v>0.16600000000000001</v>
          </cell>
          <cell r="G30"/>
        </row>
        <row r="31">
          <cell r="A31">
            <v>17</v>
          </cell>
          <cell r="B31" t="str">
            <v>Химическое меднение и затяжка</v>
          </cell>
          <cell r="C31">
            <v>3.0000000000000001E-3</v>
          </cell>
          <cell r="D31">
            <v>3.9000000000000003E-3</v>
          </cell>
          <cell r="E31">
            <v>4.5000000000000005E-3</v>
          </cell>
          <cell r="F31">
            <v>6.0000000000000001E-3</v>
          </cell>
          <cell r="G31"/>
        </row>
        <row r="32">
          <cell r="A32">
            <v>18</v>
          </cell>
          <cell r="B32" t="str">
            <v>Подготовка поверхности механическая</v>
          </cell>
          <cell r="C32">
            <v>7.0000000000000001E-3</v>
          </cell>
          <cell r="D32">
            <v>9.1000000000000004E-3</v>
          </cell>
          <cell r="E32">
            <v>1.0500000000000001E-2</v>
          </cell>
          <cell r="F32">
            <v>1.4E-2</v>
          </cell>
          <cell r="G32"/>
        </row>
        <row r="33">
          <cell r="A33">
            <v>19</v>
          </cell>
          <cell r="B33" t="str">
            <v>Получение рисунка схемы</v>
          </cell>
          <cell r="C33">
            <v>9.0000000000000011E-3</v>
          </cell>
          <cell r="D33">
            <v>1.1700000000000002E-2</v>
          </cell>
          <cell r="E33">
            <v>1.3500000000000002E-2</v>
          </cell>
          <cell r="F33">
            <v>1.8000000000000002E-2</v>
          </cell>
          <cell r="G33" t="str">
            <v>экспонирование и проявление</v>
          </cell>
        </row>
        <row r="34">
          <cell r="A34">
            <v>20</v>
          </cell>
          <cell r="B34" t="str">
            <v>Ретуширование</v>
          </cell>
          <cell r="C34">
            <v>2.1000000000000001E-2</v>
          </cell>
          <cell r="D34">
            <v>2.7300000000000001E-2</v>
          </cell>
          <cell r="E34">
            <v>3.15E-2</v>
          </cell>
          <cell r="F34">
            <v>4.2000000000000003E-2</v>
          </cell>
          <cell r="G34"/>
        </row>
        <row r="35">
          <cell r="A35">
            <v>21</v>
          </cell>
          <cell r="B35" t="str">
            <v>Гальваническое меднение и оловянирование</v>
          </cell>
          <cell r="C35">
            <v>3.0000000000000001E-3</v>
          </cell>
          <cell r="D35">
            <v>3.9000000000000003E-3</v>
          </cell>
          <cell r="E35">
            <v>4.5000000000000005E-3</v>
          </cell>
          <cell r="F35">
            <v>6.0000000000000001E-3</v>
          </cell>
          <cell r="G35"/>
        </row>
        <row r="36">
          <cell r="A36">
            <v>22</v>
          </cell>
          <cell r="B36" t="str">
            <v>Снятие фоторезиста</v>
          </cell>
          <cell r="C36">
            <v>3.4000000000000002E-2</v>
          </cell>
          <cell r="D36">
            <v>4.4200000000000003E-2</v>
          </cell>
          <cell r="E36">
            <v>5.1000000000000004E-2</v>
          </cell>
          <cell r="F36">
            <v>6.8000000000000005E-2</v>
          </cell>
          <cell r="G36"/>
        </row>
        <row r="37">
          <cell r="A37">
            <v>23</v>
          </cell>
          <cell r="B37" t="str">
            <v>Ретуширование</v>
          </cell>
          <cell r="C37">
            <v>2.1000000000000001E-2</v>
          </cell>
          <cell r="D37">
            <v>2.7300000000000001E-2</v>
          </cell>
          <cell r="E37">
            <v>3.15E-2</v>
          </cell>
          <cell r="F37">
            <v>4.2000000000000003E-2</v>
          </cell>
          <cell r="G37"/>
        </row>
        <row r="38">
          <cell r="A38">
            <v>24</v>
          </cell>
          <cell r="B38" t="str">
            <v>Травление</v>
          </cell>
          <cell r="C38">
            <v>0.01</v>
          </cell>
          <cell r="D38">
            <v>1.3000000000000001E-2</v>
          </cell>
          <cell r="E38">
            <v>1.4999999999999999E-2</v>
          </cell>
          <cell r="F38">
            <v>0.02</v>
          </cell>
          <cell r="G38" t="str">
            <v>в щелочном</v>
          </cell>
        </row>
        <row r="39">
          <cell r="A39">
            <v>25</v>
          </cell>
          <cell r="B39" t="str">
            <v>Дезоксидирование в линии кислого травления</v>
          </cell>
          <cell r="C39">
            <v>0.05</v>
          </cell>
          <cell r="D39">
            <v>6.5000000000000002E-2</v>
          </cell>
          <cell r="E39">
            <v>7.5000000000000011E-2</v>
          </cell>
          <cell r="F39">
            <v>0.1</v>
          </cell>
          <cell r="G39"/>
        </row>
        <row r="40">
          <cell r="A40">
            <v>26</v>
          </cell>
          <cell r="B40" t="str">
            <v>Промывка водой под высоким давлением</v>
          </cell>
          <cell r="C40">
            <v>8.3000000000000004E-2</v>
          </cell>
          <cell r="D40">
            <v>0.10790000000000001</v>
          </cell>
          <cell r="E40">
            <v>0.1245</v>
          </cell>
          <cell r="F40">
            <v>0.16600000000000001</v>
          </cell>
          <cell r="G40"/>
        </row>
        <row r="41">
          <cell r="A41">
            <v>27</v>
          </cell>
          <cell r="B41" t="str">
            <v>Контроль КЗ по шинам питания</v>
          </cell>
          <cell r="C41">
            <v>2.2222222222222222E-3</v>
          </cell>
          <cell r="D41">
            <v>2.8888888888888892E-3</v>
          </cell>
          <cell r="E41">
            <v>3.3333333333333331E-3</v>
          </cell>
          <cell r="F41">
            <v>4.4444444444444444E-3</v>
          </cell>
          <cell r="G41" t="str">
            <v>контроль сопр изоляции</v>
          </cell>
        </row>
        <row r="42">
          <cell r="A42">
            <v>28</v>
          </cell>
          <cell r="B42" t="str">
            <v>Подрезка, ремонт рисунка</v>
          </cell>
          <cell r="C42">
            <v>2.1000000000000001E-2</v>
          </cell>
          <cell r="D42">
            <v>2.7300000000000001E-2</v>
          </cell>
          <cell r="E42">
            <v>3.15E-2</v>
          </cell>
          <cell r="F42">
            <v>4.2000000000000003E-2</v>
          </cell>
          <cell r="G42"/>
        </row>
        <row r="43">
          <cell r="A43">
            <v>29</v>
          </cell>
          <cell r="B43" t="str">
            <v>Расчистка (под микрос1.2ом)</v>
          </cell>
          <cell r="C43">
            <v>4.0000000000000001E-3</v>
          </cell>
          <cell r="D43">
            <v>5.2000000000000006E-3</v>
          </cell>
          <cell r="E43">
            <v>6.0000000000000001E-3</v>
          </cell>
          <cell r="F43">
            <v>8.0000000000000002E-3</v>
          </cell>
          <cell r="G43"/>
        </row>
        <row r="44">
          <cell r="A44">
            <v>30</v>
          </cell>
          <cell r="B44" t="str">
            <v xml:space="preserve">Финишная промывка </v>
          </cell>
          <cell r="C44">
            <v>8.3000000000000004E-2</v>
          </cell>
          <cell r="D44">
            <v>0.10790000000000001</v>
          </cell>
          <cell r="E44">
            <v>0.1245</v>
          </cell>
          <cell r="F44">
            <v>0.16600000000000001</v>
          </cell>
          <cell r="G44"/>
        </row>
        <row r="45">
          <cell r="A45">
            <v>31</v>
          </cell>
          <cell r="B45" t="str">
            <v>Технический контроль</v>
          </cell>
          <cell r="C45"/>
          <cell r="D45">
            <v>2.2000000000000002E-2</v>
          </cell>
          <cell r="E45">
            <v>2.7500000000000004E-2</v>
          </cell>
          <cell r="F45">
            <v>5.5000000000000007E-2</v>
          </cell>
          <cell r="G45"/>
        </row>
        <row r="46">
          <cell r="A46">
            <v>32</v>
          </cell>
          <cell r="B46" t="str">
            <v>Упаковочная</v>
          </cell>
          <cell r="C46">
            <v>4.4444444444444444E-3</v>
          </cell>
          <cell r="D46">
            <v>5.7777777777777784E-3</v>
          </cell>
          <cell r="E46">
            <v>6.6666666666666662E-3</v>
          </cell>
          <cell r="F46">
            <v>8.8888888888888889E-3</v>
          </cell>
          <cell r="G46"/>
        </row>
        <row r="47">
          <cell r="A47"/>
          <cell r="B47" t="str">
            <v>Сумма (То)</v>
          </cell>
          <cell r="C47"/>
          <cell r="D47">
            <v>0.78106666666666669</v>
          </cell>
          <cell r="E47">
            <v>0.90250000000000008</v>
          </cell>
          <cell r="F47">
            <v>1.2143333333333335</v>
          </cell>
          <cell r="G47"/>
        </row>
        <row r="48">
          <cell r="A48"/>
          <cell r="B48" t="str">
            <v>Дополнительные операции</v>
          </cell>
          <cell r="C48"/>
          <cell r="D48"/>
          <cell r="E48"/>
          <cell r="F48"/>
          <cell r="G48"/>
        </row>
        <row r="49">
          <cell r="A49">
            <v>1</v>
          </cell>
          <cell r="B49" t="str">
            <v>Сверление, на отверстие</v>
          </cell>
          <cell r="C49">
            <v>2.5999999999999998E-4</v>
          </cell>
          <cell r="D49">
            <v>3.3799999999999998E-4</v>
          </cell>
          <cell r="E49">
            <v>3.8999999999999994E-4</v>
          </cell>
          <cell r="F49">
            <v>5.1999999999999995E-4</v>
          </cell>
          <cell r="G49"/>
        </row>
        <row r="50">
          <cell r="A50">
            <v>2</v>
          </cell>
          <cell r="B50" t="str">
            <v>Нанесение сплава ГОР ПОС-61</v>
          </cell>
          <cell r="C50">
            <v>1.4E-2</v>
          </cell>
          <cell r="D50">
            <v>1.8200000000000001E-2</v>
          </cell>
          <cell r="E50">
            <v>2.1000000000000001E-2</v>
          </cell>
          <cell r="F50">
            <v>2.8000000000000001E-2</v>
          </cell>
          <cell r="G50"/>
        </row>
        <row r="51">
          <cell r="A51">
            <v>8</v>
          </cell>
          <cell r="B51" t="str">
            <v xml:space="preserve">Нанесение защитной маски:    </v>
          </cell>
          <cell r="C51"/>
          <cell r="D51"/>
          <cell r="E51"/>
          <cell r="F51"/>
          <cell r="G51"/>
        </row>
        <row r="52">
          <cell r="A52">
            <v>9</v>
          </cell>
          <cell r="B52" t="str">
            <v>СЗПМ,  при одностороннем маскировании, час/дм2</v>
          </cell>
          <cell r="C52">
            <v>5.4599999999999996E-2</v>
          </cell>
          <cell r="D52">
            <v>7.0980000000000001E-2</v>
          </cell>
          <cell r="E52">
            <v>8.1900000000000001E-2</v>
          </cell>
          <cell r="F52">
            <v>0.10919999999999999</v>
          </cell>
          <cell r="G52"/>
        </row>
        <row r="53">
          <cell r="A53">
            <v>10</v>
          </cell>
          <cell r="B53" t="str">
            <v>СЗПМ, при двустороннем маскировании, час/дм2</v>
          </cell>
          <cell r="C53">
            <v>8.1900000000000001E-2</v>
          </cell>
          <cell r="D53">
            <v>0.10647000000000001</v>
          </cell>
          <cell r="E53">
            <v>0.12285</v>
          </cell>
          <cell r="F53">
            <v>0.1638</v>
          </cell>
          <cell r="G53"/>
        </row>
        <row r="54">
          <cell r="A54">
            <v>11</v>
          </cell>
          <cell r="B54" t="str">
            <v>ЖЗПМ, при одностороннем маскировании, час/дм2</v>
          </cell>
          <cell r="C54">
            <v>8.3999999999999991E-2</v>
          </cell>
          <cell r="D54">
            <v>0.10919999999999999</v>
          </cell>
          <cell r="E54">
            <v>0.126</v>
          </cell>
          <cell r="F54">
            <v>0.16799999999999998</v>
          </cell>
          <cell r="G54"/>
        </row>
        <row r="55">
          <cell r="A55">
            <v>12</v>
          </cell>
          <cell r="B55" t="str">
            <v>ЖЗПМ, при двустороннем маскировании, час/дм2</v>
          </cell>
          <cell r="C55">
            <v>0.126</v>
          </cell>
          <cell r="D55">
            <v>0.1638</v>
          </cell>
          <cell r="E55">
            <v>0.189</v>
          </cell>
          <cell r="F55">
            <v>0.252</v>
          </cell>
          <cell r="G55"/>
        </row>
        <row r="56">
          <cell r="A56">
            <v>13</v>
          </cell>
          <cell r="B56" t="str">
            <v>Ручная маркировка, час/шт.</v>
          </cell>
          <cell r="C56">
            <v>2.3E-2</v>
          </cell>
          <cell r="D56">
            <v>2.9899999999999999E-2</v>
          </cell>
          <cell r="E56">
            <v>3.4500000000000003E-2</v>
          </cell>
          <cell r="F56">
            <v>4.5999999999999999E-2</v>
          </cell>
          <cell r="G56"/>
        </row>
        <row r="57">
          <cell r="A57">
            <v>14</v>
          </cell>
          <cell r="B57" t="str">
            <v>Маркировка термоотверждающей краской на Legend:</v>
          </cell>
          <cell r="C57"/>
          <cell r="D57"/>
          <cell r="E57"/>
          <cell r="F57"/>
          <cell r="G57"/>
        </row>
        <row r="58">
          <cell r="A58">
            <v>14.1</v>
          </cell>
          <cell r="B58" t="str">
            <v xml:space="preserve"> с одной стороны,час/дм2</v>
          </cell>
          <cell r="C58"/>
          <cell r="D58">
            <v>1.4999999999999999E-2</v>
          </cell>
          <cell r="E58">
            <v>1.4999999999999999E-2</v>
          </cell>
          <cell r="F58">
            <v>1.4999999999999999E-2</v>
          </cell>
          <cell r="G58"/>
        </row>
        <row r="59">
          <cell r="A59">
            <v>14.2</v>
          </cell>
          <cell r="B59" t="str">
            <v xml:space="preserve"> с двух сторон, час/дм2</v>
          </cell>
          <cell r="C59"/>
          <cell r="D59">
            <v>2.5000000000000001E-2</v>
          </cell>
          <cell r="E59">
            <v>2.5000000000000001E-2</v>
          </cell>
          <cell r="F59">
            <v>2.5000000000000001E-2</v>
          </cell>
          <cell r="G59"/>
        </row>
        <row r="60">
          <cell r="A60">
            <v>15</v>
          </cell>
          <cell r="B60" t="str">
            <v>Фотомаркировка:</v>
          </cell>
          <cell r="C60"/>
          <cell r="D60"/>
          <cell r="E60"/>
          <cell r="F60"/>
          <cell r="G60"/>
        </row>
        <row r="61">
          <cell r="A61">
            <v>15.1</v>
          </cell>
          <cell r="B61" t="str">
            <v xml:space="preserve"> с одной стороны,час/дм2</v>
          </cell>
          <cell r="C61">
            <v>0.10099999999999999</v>
          </cell>
          <cell r="D61">
            <v>0.1313</v>
          </cell>
          <cell r="E61">
            <v>0.1515</v>
          </cell>
          <cell r="F61">
            <v>0.20199999999999999</v>
          </cell>
          <cell r="G61"/>
        </row>
        <row r="62">
          <cell r="A62">
            <v>15.2</v>
          </cell>
          <cell r="B62" t="str">
            <v xml:space="preserve"> с двух сторон, час/дм2</v>
          </cell>
          <cell r="C62">
            <v>0.1515</v>
          </cell>
          <cell r="D62">
            <v>0.19695000000000001</v>
          </cell>
          <cell r="E62">
            <v>0.22725000000000001</v>
          </cell>
          <cell r="F62">
            <v>0.30299999999999999</v>
          </cell>
          <cell r="G62"/>
        </row>
        <row r="63">
          <cell r="A63">
            <v>16</v>
          </cell>
          <cell r="B63" t="str">
            <v>Иммерсионное золочение, час/загот.</v>
          </cell>
          <cell r="C63">
            <v>1.4999999999999999E-2</v>
          </cell>
          <cell r="D63">
            <v>1.95E-2</v>
          </cell>
          <cell r="E63">
            <v>2.2499999999999999E-2</v>
          </cell>
          <cell r="F63">
            <v>0.03</v>
          </cell>
          <cell r="G63"/>
        </row>
        <row r="64">
          <cell r="A64">
            <v>17</v>
          </cell>
          <cell r="B64" t="str">
            <v>Изготовление мастер-платы для пробивки шаблона</v>
          </cell>
          <cell r="C64"/>
          <cell r="D64"/>
          <cell r="E64"/>
          <cell r="F64"/>
          <cell r="G64"/>
        </row>
        <row r="65">
          <cell r="A65">
            <v>17.100000000000001</v>
          </cell>
          <cell r="B65" t="str">
            <v xml:space="preserve"> Заготовительная 230х395</v>
          </cell>
          <cell r="C65"/>
          <cell r="D65">
            <v>0.5</v>
          </cell>
          <cell r="E65">
            <v>0.5</v>
          </cell>
          <cell r="F65">
            <v>0.7</v>
          </cell>
          <cell r="G65"/>
        </row>
        <row r="66">
          <cell r="A66"/>
          <cell r="B66" t="str">
            <v>280х395</v>
          </cell>
          <cell r="C66"/>
          <cell r="D66">
            <v>0.6</v>
          </cell>
          <cell r="E66">
            <v>0.6</v>
          </cell>
          <cell r="F66">
            <v>0.8</v>
          </cell>
          <cell r="G66"/>
        </row>
        <row r="67">
          <cell r="A67"/>
          <cell r="B67" t="str">
            <v>485х585</v>
          </cell>
          <cell r="C67"/>
          <cell r="D67">
            <v>0.7</v>
          </cell>
          <cell r="E67">
            <v>0.7</v>
          </cell>
          <cell r="F67">
            <v>0.9</v>
          </cell>
          <cell r="G67"/>
        </row>
        <row r="68">
          <cell r="A68">
            <v>17.2</v>
          </cell>
          <cell r="B68" t="str">
            <v>Сверление, на отверстие</v>
          </cell>
          <cell r="C68"/>
          <cell r="D68">
            <v>3.3799999999999998E-4</v>
          </cell>
          <cell r="E68">
            <v>3.8999999999999994E-4</v>
          </cell>
          <cell r="F68">
            <v>5.1999999999999995E-4</v>
          </cell>
          <cell r="G68"/>
        </row>
        <row r="69">
          <cell r="A69">
            <v>17.3</v>
          </cell>
          <cell r="B69" t="str">
            <v>Пробивка ФШ 230х395</v>
          </cell>
          <cell r="C69"/>
          <cell r="D69">
            <v>0.5</v>
          </cell>
          <cell r="E69">
            <v>0.5</v>
          </cell>
          <cell r="F69">
            <v>0.5</v>
          </cell>
          <cell r="G69"/>
        </row>
        <row r="70">
          <cell r="A70"/>
          <cell r="B70" t="str">
            <v>280х395</v>
          </cell>
          <cell r="C70"/>
          <cell r="D70">
            <v>0.6</v>
          </cell>
          <cell r="E70">
            <v>0.6</v>
          </cell>
          <cell r="F70">
            <v>0.6</v>
          </cell>
          <cell r="G70"/>
        </row>
        <row r="71">
          <cell r="A71"/>
          <cell r="B71" t="str">
            <v>485х585</v>
          </cell>
          <cell r="C71"/>
          <cell r="D71">
            <v>0.7</v>
          </cell>
          <cell r="E71">
            <v>0.7</v>
          </cell>
          <cell r="F71">
            <v>0.7</v>
          </cell>
          <cell r="G71"/>
        </row>
        <row r="72">
          <cell r="A72">
            <v>17.399999999999999</v>
          </cell>
          <cell r="B72" t="str">
            <v>Приг., нанесение эмульсии и экспонирование МП 230х395</v>
          </cell>
          <cell r="C72"/>
          <cell r="D72">
            <v>0.54</v>
          </cell>
          <cell r="E72">
            <v>0.66</v>
          </cell>
          <cell r="F72">
            <v>0.78</v>
          </cell>
          <cell r="G72"/>
        </row>
        <row r="73">
          <cell r="A73"/>
          <cell r="B73" t="str">
            <v>280х395</v>
          </cell>
          <cell r="C73"/>
          <cell r="D73">
            <v>0.54</v>
          </cell>
          <cell r="E73">
            <v>0.54</v>
          </cell>
          <cell r="F73">
            <v>0.78</v>
          </cell>
          <cell r="G73"/>
        </row>
        <row r="74">
          <cell r="A74"/>
          <cell r="B74" t="str">
            <v>485х585</v>
          </cell>
          <cell r="C74"/>
          <cell r="D74">
            <v>0.84</v>
          </cell>
          <cell r="E74">
            <v>0.96</v>
          </cell>
          <cell r="F74">
            <v>1.08</v>
          </cell>
          <cell r="G74"/>
        </row>
        <row r="75">
          <cell r="A75">
            <v>17.5</v>
          </cell>
          <cell r="B75" t="str">
            <v>Технологический контроль 230х395</v>
          </cell>
          <cell r="C75"/>
          <cell r="D75">
            <v>0.12</v>
          </cell>
          <cell r="E75">
            <v>0.18</v>
          </cell>
          <cell r="F75">
            <v>0.3</v>
          </cell>
          <cell r="G75"/>
        </row>
        <row r="76">
          <cell r="A76"/>
          <cell r="B76" t="str">
            <v>280х395</v>
          </cell>
          <cell r="C76"/>
          <cell r="D76">
            <v>0.18</v>
          </cell>
          <cell r="E76">
            <v>0.24</v>
          </cell>
          <cell r="F76">
            <v>0.36</v>
          </cell>
          <cell r="G76"/>
        </row>
        <row r="77">
          <cell r="A77"/>
          <cell r="B77" t="str">
            <v>485х585</v>
          </cell>
          <cell r="C77"/>
          <cell r="D77">
            <v>0.3</v>
          </cell>
          <cell r="E77">
            <v>0.48</v>
          </cell>
          <cell r="F77">
            <v>0.72</v>
          </cell>
          <cell r="G77"/>
        </row>
        <row r="78">
          <cell r="A78">
            <v>18</v>
          </cell>
          <cell r="B78" t="str">
            <v xml:space="preserve">Изготовление мастер-платы для проверки программы сверления </v>
          </cell>
          <cell r="C78"/>
          <cell r="D78"/>
          <cell r="E78"/>
          <cell r="F78"/>
          <cell r="G78"/>
        </row>
        <row r="79">
          <cell r="A79">
            <v>18.100000000000001</v>
          </cell>
          <cell r="B79" t="str">
            <v xml:space="preserve"> Заготовительная 230х395</v>
          </cell>
          <cell r="C79"/>
          <cell r="D79">
            <v>0.5</v>
          </cell>
          <cell r="E79">
            <v>0.5</v>
          </cell>
          <cell r="F79">
            <v>0.7</v>
          </cell>
          <cell r="G79"/>
        </row>
        <row r="80">
          <cell r="A80"/>
          <cell r="B80" t="str">
            <v>280х395</v>
          </cell>
          <cell r="C80"/>
          <cell r="D80">
            <v>0.6</v>
          </cell>
          <cell r="E80">
            <v>0.6</v>
          </cell>
          <cell r="F80">
            <v>0.8</v>
          </cell>
          <cell r="G80"/>
        </row>
        <row r="81">
          <cell r="A81"/>
          <cell r="B81" t="str">
            <v>485х585</v>
          </cell>
          <cell r="C81"/>
          <cell r="D81">
            <v>0.7</v>
          </cell>
          <cell r="E81">
            <v>0.7</v>
          </cell>
          <cell r="F81">
            <v>0.9</v>
          </cell>
          <cell r="G81"/>
        </row>
        <row r="82">
          <cell r="A82">
            <v>18.2</v>
          </cell>
          <cell r="B82" t="str">
            <v>Сверление, на отверстие</v>
          </cell>
          <cell r="C82"/>
          <cell r="D82">
            <v>3.3799999999999998E-4</v>
          </cell>
          <cell r="E82">
            <v>3.8999999999999994E-4</v>
          </cell>
          <cell r="F82">
            <v>5.1999999999999995E-4</v>
          </cell>
          <cell r="G82"/>
        </row>
        <row r="83">
          <cell r="A83">
            <v>18.3</v>
          </cell>
          <cell r="B83" t="str">
            <v>Технологический контроль 230х395</v>
          </cell>
          <cell r="C83"/>
          <cell r="D83">
            <v>0.6</v>
          </cell>
          <cell r="E83">
            <v>0.10559999999999999</v>
          </cell>
          <cell r="F83">
            <v>0.84</v>
          </cell>
          <cell r="G83"/>
        </row>
        <row r="84">
          <cell r="A84"/>
          <cell r="B84" t="str">
            <v>280х395</v>
          </cell>
          <cell r="C84"/>
          <cell r="D84">
            <v>0.6</v>
          </cell>
          <cell r="E84">
            <v>0.72</v>
          </cell>
          <cell r="F84">
            <v>0.84</v>
          </cell>
          <cell r="G84"/>
        </row>
        <row r="85">
          <cell r="A85"/>
          <cell r="B85" t="str">
            <v>485х585</v>
          </cell>
          <cell r="C85"/>
          <cell r="D85">
            <v>0.84</v>
          </cell>
          <cell r="E85">
            <v>0.96</v>
          </cell>
          <cell r="F85">
            <v>1.08</v>
          </cell>
          <cell r="G85"/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C135" totalsRowShown="0" headerRowDxfId="5" dataDxfId="4" tableBorderDxfId="3">
  <autoFilter ref="A1:C135"/>
  <tableColumns count="3">
    <tableColumn id="1" name="ID" dataDxfId="2"/>
    <tableColumn id="2" name="Наименование материала" dataDxfId="1"/>
    <tableColumn id="3" name="Тип стеклоткани 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106"/>
  <sheetViews>
    <sheetView tabSelected="1" zoomScaleNormal="100" workbookViewId="0">
      <selection activeCell="C4" sqref="C4:G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1" width="15.42578125" customWidth="1"/>
    <col min="12" max="15" width="6" customWidth="1"/>
    <col min="16" max="16" width="7.140625" bestFit="1" customWidth="1"/>
  </cols>
  <sheetData>
    <row r="1" spans="2:16" x14ac:dyDescent="0.2">
      <c r="G1" s="44"/>
    </row>
    <row r="2" spans="2:16" x14ac:dyDescent="0.2">
      <c r="B2" s="386" t="s">
        <v>224</v>
      </c>
      <c r="C2" s="386"/>
      <c r="D2" s="386"/>
      <c r="E2" s="386"/>
      <c r="F2" s="386"/>
      <c r="G2" s="386"/>
    </row>
    <row r="3" spans="2:16" ht="12" customHeight="1" thickBot="1" x14ac:dyDescent="0.25">
      <c r="B3" s="386"/>
      <c r="C3" s="386"/>
      <c r="D3" s="386"/>
      <c r="E3" s="386"/>
      <c r="F3" s="386"/>
      <c r="G3" s="386"/>
    </row>
    <row r="4" spans="2:16" ht="15.75" customHeight="1" thickBot="1" x14ac:dyDescent="0.25">
      <c r="B4" s="75" t="s">
        <v>6</v>
      </c>
      <c r="C4" s="389" t="s">
        <v>6</v>
      </c>
      <c r="D4" s="389"/>
      <c r="E4" s="389"/>
      <c r="F4" s="389"/>
      <c r="G4" s="390"/>
    </row>
    <row r="5" spans="2:16" ht="13.5" thickBot="1" x14ac:dyDescent="0.25">
      <c r="B5" s="75" t="s">
        <v>7</v>
      </c>
      <c r="C5" s="391" t="s">
        <v>130</v>
      </c>
      <c r="D5" s="392"/>
      <c r="E5" s="393"/>
      <c r="F5" s="46" t="s">
        <v>174</v>
      </c>
      <c r="G5" s="37"/>
    </row>
    <row r="6" spans="2:16" ht="13.5" thickBot="1" x14ac:dyDescent="0.25">
      <c r="B6" s="12" t="s">
        <v>8</v>
      </c>
      <c r="C6" s="394" t="s">
        <v>131</v>
      </c>
      <c r="D6" s="395"/>
      <c r="E6" s="395"/>
      <c r="F6" s="396"/>
      <c r="G6" s="13"/>
      <c r="I6" t="s">
        <v>229</v>
      </c>
      <c r="O6" t="s">
        <v>231</v>
      </c>
    </row>
    <row r="7" spans="2:16" ht="16.5" thickBot="1" x14ac:dyDescent="0.3">
      <c r="B7" s="12" t="s">
        <v>9</v>
      </c>
      <c r="C7" s="9">
        <v>20</v>
      </c>
      <c r="E7" s="384" t="s">
        <v>125</v>
      </c>
      <c r="F7" s="385"/>
      <c r="G7" s="15">
        <v>6</v>
      </c>
      <c r="I7" s="262" t="str">
        <f>IF(layers=1,"ОПП",IF(layers=2,"ДПП","МПП"))</f>
        <v>МПП</v>
      </c>
      <c r="O7" s="399">
        <f>Цена_одной_без_НДС</f>
        <v>14893</v>
      </c>
      <c r="P7" s="399"/>
    </row>
    <row r="8" spans="2:16" ht="13.5" thickBot="1" x14ac:dyDescent="0.25">
      <c r="B8" s="12" t="s">
        <v>32</v>
      </c>
      <c r="C8" s="15">
        <v>1</v>
      </c>
      <c r="D8" s="8"/>
      <c r="E8" s="397" t="s">
        <v>124</v>
      </c>
      <c r="F8" s="398"/>
      <c r="G8" s="72">
        <v>0</v>
      </c>
    </row>
    <row r="9" spans="2:16" ht="13.5" thickBot="1" x14ac:dyDescent="0.25">
      <c r="B9" s="12" t="s">
        <v>225</v>
      </c>
      <c r="C9" s="38">
        <v>20</v>
      </c>
      <c r="D9" s="8"/>
      <c r="E9" s="345" t="s">
        <v>115</v>
      </c>
      <c r="F9" s="346"/>
      <c r="G9" s="73">
        <v>1.5</v>
      </c>
    </row>
    <row r="10" spans="2:16" ht="13.5" thickBot="1" x14ac:dyDescent="0.25">
      <c r="B10" s="12" t="s">
        <v>10</v>
      </c>
      <c r="C10" s="15">
        <v>3</v>
      </c>
      <c r="D10" s="8"/>
      <c r="E10" s="358" t="s">
        <v>156</v>
      </c>
      <c r="F10" s="355"/>
      <c r="G10" s="49">
        <v>2</v>
      </c>
      <c r="I10" s="346" t="s">
        <v>77</v>
      </c>
      <c r="J10" s="383"/>
      <c r="K10" s="383"/>
      <c r="L10" s="383"/>
      <c r="M10" s="383"/>
      <c r="N10" s="383"/>
      <c r="O10" s="383"/>
      <c r="P10" s="206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8</v>
      </c>
      <c r="D11" s="8"/>
      <c r="E11" s="387" t="s">
        <v>157</v>
      </c>
      <c r="F11" s="388"/>
      <c r="G11" s="49" t="s">
        <v>419</v>
      </c>
      <c r="I11" s="346" t="s">
        <v>78</v>
      </c>
      <c r="J11" s="383"/>
      <c r="K11" s="383"/>
      <c r="L11" s="383"/>
      <c r="M11" s="383"/>
      <c r="N11" s="383"/>
      <c r="O11" s="383"/>
      <c r="P11" s="206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129</v>
      </c>
      <c r="C12" s="15">
        <v>1</v>
      </c>
      <c r="D12" s="8"/>
      <c r="E12" s="345" t="s">
        <v>158</v>
      </c>
      <c r="F12" s="346"/>
      <c r="G12" s="49" t="s">
        <v>246</v>
      </c>
      <c r="I12" s="366" t="s">
        <v>159</v>
      </c>
      <c r="J12" s="367"/>
      <c r="K12" s="367"/>
      <c r="L12" s="367"/>
      <c r="M12" s="367"/>
      <c r="N12" s="367"/>
      <c r="O12" s="367"/>
      <c r="P12" s="206">
        <f>IF(ISERROR(SEARCH("2",marktype)),IF(ISERROR(SEARCH("1",marktype)),0,1),2)</f>
        <v>2</v>
      </c>
    </row>
    <row r="13" spans="2:16" ht="13.5" thickBot="1" x14ac:dyDescent="0.25">
      <c r="B13" s="21" t="s">
        <v>11</v>
      </c>
      <c r="C13" s="33">
        <v>1</v>
      </c>
      <c r="D13" s="8"/>
      <c r="E13" s="189" t="s">
        <v>74</v>
      </c>
      <c r="F13" s="53"/>
      <c r="G13" s="71">
        <v>1</v>
      </c>
      <c r="I13" s="355" t="s">
        <v>245</v>
      </c>
      <c r="J13" s="356"/>
      <c r="K13" s="356"/>
      <c r="L13" s="356"/>
      <c r="M13" s="356"/>
      <c r="N13" s="356"/>
      <c r="O13" s="369"/>
      <c r="P13" s="207">
        <f>IF(marktype=0,0,IF(NOT(ISERROR(SEARCH("egen",marktype))),2,IF(NOT(ISERROR(SEARCH("фм",marktype))),1,3)))</f>
        <v>2</v>
      </c>
    </row>
    <row r="14" spans="2:16" ht="13.5" thickBot="1" x14ac:dyDescent="0.25">
      <c r="B14" s="45" t="s">
        <v>12</v>
      </c>
      <c r="C14" s="33">
        <v>1.6</v>
      </c>
      <c r="D14" s="8"/>
      <c r="E14" s="345" t="s">
        <v>172</v>
      </c>
      <c r="F14" s="346"/>
      <c r="G14" s="15">
        <v>1</v>
      </c>
    </row>
    <row r="15" spans="2:16" ht="13.9" customHeight="1" thickBot="1" x14ac:dyDescent="0.25">
      <c r="B15" s="12" t="s">
        <v>24</v>
      </c>
      <c r="C15" s="16">
        <v>2.8</v>
      </c>
      <c r="E15" s="345" t="s">
        <v>167</v>
      </c>
      <c r="F15" s="346"/>
      <c r="G15" s="66">
        <v>2</v>
      </c>
    </row>
    <row r="16" spans="2:16" ht="13.5" thickBot="1" x14ac:dyDescent="0.25">
      <c r="B16" s="20" t="s">
        <v>13</v>
      </c>
      <c r="C16" s="16">
        <v>3.95</v>
      </c>
      <c r="D16" s="8"/>
      <c r="E16" s="345" t="s">
        <v>75</v>
      </c>
      <c r="F16" s="346"/>
      <c r="G16" s="68">
        <v>1</v>
      </c>
      <c r="H16" t="s">
        <v>155</v>
      </c>
      <c r="I16" t="s">
        <v>148</v>
      </c>
      <c r="J16" t="s">
        <v>149</v>
      </c>
      <c r="K16" t="s">
        <v>150</v>
      </c>
      <c r="L16" t="s">
        <v>151</v>
      </c>
      <c r="M16" t="s">
        <v>152</v>
      </c>
      <c r="N16" t="s">
        <v>148</v>
      </c>
      <c r="O16" t="s">
        <v>153</v>
      </c>
      <c r="P16" t="s">
        <v>154</v>
      </c>
    </row>
    <row r="17" spans="2:16" ht="13.5" thickBot="1" x14ac:dyDescent="0.25">
      <c r="B17" s="12" t="s">
        <v>15</v>
      </c>
      <c r="C17" s="15">
        <v>3</v>
      </c>
      <c r="D17" s="8"/>
      <c r="E17" s="377" t="s">
        <v>169</v>
      </c>
      <c r="F17" s="378"/>
      <c r="G17" s="254" t="s">
        <v>171</v>
      </c>
      <c r="H17" s="50">
        <f>CEILING((Коэфстоиостизолота*колво_ламелей*Ширина_ламелей*Длина_ламелей/100+труёмзол1пл)*numbers*IF(колво_ламелей*1&gt;0,1,0),1)</f>
        <v>0</v>
      </c>
      <c r="I17" s="50">
        <f>LEN(ламели)</f>
        <v>9</v>
      </c>
      <c r="J17" s="50">
        <f>SEARCH(" ",ламели)</f>
        <v>2</v>
      </c>
      <c r="K17" s="50">
        <f>IF(ISERR(SEARCH("х",ламели)),SEARCH("x",ламели),SEARCH("х",ламели))</f>
        <v>6</v>
      </c>
      <c r="L17" s="50" t="str">
        <f>LEFT(ламели,J17)</f>
        <v xml:space="preserve">0 </v>
      </c>
      <c r="M17" s="50" t="str">
        <f>MID(ламели,J17,K17-J17)</f>
        <v xml:space="preserve"> 0.0</v>
      </c>
      <c r="N17" s="50" t="str">
        <f>RIGHT(ламели,I17-K17)</f>
        <v>0.0</v>
      </c>
      <c r="O17" s="212">
        <f>81.832/10000*калийдецианоауреат/1000/0.68</f>
        <v>0</v>
      </c>
      <c r="P17" s="212">
        <f>0.1833*Цнч</f>
        <v>272.468118</v>
      </c>
    </row>
    <row r="18" spans="2:16" ht="13.9" customHeight="1" thickBot="1" x14ac:dyDescent="0.25">
      <c r="B18" s="12" t="s">
        <v>14</v>
      </c>
      <c r="C18" s="210">
        <f>CEILING(П/Плат_на_заготовке,1)</f>
        <v>7</v>
      </c>
      <c r="D18" s="8"/>
      <c r="E18" s="345" t="s">
        <v>79</v>
      </c>
      <c r="F18" s="346"/>
      <c r="G18" s="138">
        <v>0</v>
      </c>
    </row>
    <row r="19" spans="2:16" ht="13.9" customHeight="1" thickBot="1" x14ac:dyDescent="0.25">
      <c r="B19" s="74" t="s">
        <v>16</v>
      </c>
      <c r="C19" s="15">
        <v>2</v>
      </c>
      <c r="E19" s="379" t="s">
        <v>26</v>
      </c>
      <c r="F19" s="380"/>
      <c r="G19" s="196">
        <v>0</v>
      </c>
      <c r="H19" s="198"/>
      <c r="I19" s="197"/>
      <c r="J19" s="197"/>
      <c r="K19" s="197"/>
    </row>
    <row r="20" spans="2:16" ht="13.9" customHeight="1" thickBot="1" x14ac:dyDescent="0.25">
      <c r="B20" s="74" t="s">
        <v>42</v>
      </c>
      <c r="C20" s="15">
        <v>6</v>
      </c>
      <c r="E20" s="381" t="s">
        <v>140</v>
      </c>
      <c r="F20" s="382"/>
      <c r="G20" s="194">
        <v>1</v>
      </c>
      <c r="H20" s="195"/>
      <c r="I20" s="197"/>
      <c r="J20" s="197"/>
      <c r="K20" s="197"/>
    </row>
    <row r="21" spans="2:16" ht="13.9" customHeight="1" thickBot="1" x14ac:dyDescent="0.25">
      <c r="B21" s="74" t="s">
        <v>43</v>
      </c>
      <c r="C21" s="72">
        <v>0</v>
      </c>
      <c r="E21" s="375" t="s">
        <v>141</v>
      </c>
      <c r="F21" s="366"/>
      <c r="G21" s="49">
        <v>600</v>
      </c>
      <c r="I21" s="41" t="s">
        <v>232</v>
      </c>
    </row>
    <row r="22" spans="2:16" ht="13.9" customHeight="1" thickBot="1" x14ac:dyDescent="0.25">
      <c r="B22" s="53" t="s">
        <v>80</v>
      </c>
      <c r="C22" s="70">
        <v>200</v>
      </c>
      <c r="E22" s="362" t="s">
        <v>126</v>
      </c>
      <c r="F22" s="376"/>
      <c r="G22" s="91">
        <v>1</v>
      </c>
      <c r="I22" t="s">
        <v>230</v>
      </c>
      <c r="K22" t="b">
        <f>layers-1&gt;1</f>
        <v>1</v>
      </c>
    </row>
    <row r="23" spans="2:16" ht="13.5" thickBot="1" x14ac:dyDescent="0.25">
      <c r="B23" s="53" t="s">
        <v>76</v>
      </c>
      <c r="C23" s="70">
        <v>2000</v>
      </c>
      <c r="E23" s="375" t="s">
        <v>44</v>
      </c>
      <c r="F23" s="366"/>
      <c r="G23" s="16">
        <v>1.1000000000000001</v>
      </c>
      <c r="I23" t="s">
        <v>234</v>
      </c>
      <c r="K23">
        <f>MIN(3,Класс_точности)-2</f>
        <v>1</v>
      </c>
    </row>
    <row r="24" spans="2:16" ht="13.5" thickBot="1" x14ac:dyDescent="0.25">
      <c r="B24" s="188"/>
      <c r="C24" s="191">
        <f>НомерТекстолитаИзТЗ1</f>
        <v>16</v>
      </c>
      <c r="D24" s="192">
        <f>НомерТекстолитаИзТЗ2</f>
        <v>16</v>
      </c>
      <c r="E24" s="371" t="s">
        <v>118</v>
      </c>
      <c r="F24" s="372"/>
      <c r="G24" s="211">
        <f>КолвоЛистовИзТЗ</f>
        <v>4</v>
      </c>
      <c r="I24" t="s">
        <v>233</v>
      </c>
      <c r="K24">
        <f>INDEX(Изготовление_шаблонов,1,ст_тё)</f>
        <v>1.056</v>
      </c>
    </row>
    <row r="25" spans="2:16" hidden="1" x14ac:dyDescent="0.2">
      <c r="E25" s="149"/>
      <c r="F25" s="149"/>
      <c r="G25" s="150"/>
      <c r="I25" t="s">
        <v>235</v>
      </c>
      <c r="K25">
        <f>INDEX(Проверка__паспортизация__ретушь_ФШ,1,ст_тё)</f>
        <v>0.45599999999999996</v>
      </c>
    </row>
    <row r="26" spans="2:16" hidden="1" x14ac:dyDescent="0.2">
      <c r="E26" s="149"/>
      <c r="F26" s="149"/>
      <c r="G26" s="150"/>
    </row>
    <row r="27" spans="2:16" hidden="1" x14ac:dyDescent="0.2">
      <c r="E27" s="149"/>
      <c r="F27" s="149"/>
      <c r="G27" s="150"/>
    </row>
    <row r="28" spans="2:16" hidden="1" x14ac:dyDescent="0.2">
      <c r="E28" s="149"/>
      <c r="F28" s="149"/>
      <c r="G28" s="150"/>
    </row>
    <row r="29" spans="2:16" hidden="1" x14ac:dyDescent="0.2">
      <c r="E29" s="149"/>
      <c r="F29" s="149"/>
      <c r="G29" s="150"/>
    </row>
    <row r="30" spans="2:16" hidden="1" x14ac:dyDescent="0.2">
      <c r="E30" s="149"/>
      <c r="F30" s="149"/>
      <c r="G30" s="150"/>
    </row>
    <row r="31" spans="2:16" hidden="1" x14ac:dyDescent="0.2">
      <c r="E31" s="149"/>
      <c r="F31" s="149"/>
      <c r="G31" s="150"/>
    </row>
    <row r="32" spans="2:16" hidden="1" x14ac:dyDescent="0.2">
      <c r="E32" s="149"/>
      <c r="F32" s="149"/>
      <c r="G32" s="150"/>
    </row>
    <row r="33" spans="2:11" hidden="1" x14ac:dyDescent="0.2">
      <c r="E33" s="149"/>
      <c r="F33" s="149"/>
      <c r="G33" s="150"/>
    </row>
    <row r="34" spans="2:11" hidden="1" x14ac:dyDescent="0.2">
      <c r="E34" s="149"/>
      <c r="F34" s="149"/>
      <c r="G34" s="150"/>
    </row>
    <row r="35" spans="2:11" hidden="1" x14ac:dyDescent="0.2">
      <c r="E35" s="149"/>
      <c r="F35" s="149"/>
      <c r="G35" s="150"/>
    </row>
    <row r="36" spans="2:11" hidden="1" x14ac:dyDescent="0.2">
      <c r="E36" s="149"/>
      <c r="F36" s="149"/>
      <c r="G36" s="150"/>
    </row>
    <row r="37" spans="2:11" hidden="1" x14ac:dyDescent="0.2">
      <c r="E37" s="149"/>
      <c r="F37" s="149"/>
      <c r="G37" s="150"/>
    </row>
    <row r="38" spans="2:11" hidden="1" x14ac:dyDescent="0.2">
      <c r="E38" s="149"/>
      <c r="F38" s="149"/>
      <c r="G38" s="150"/>
    </row>
    <row r="39" spans="2:11" hidden="1" x14ac:dyDescent="0.2">
      <c r="E39" s="149"/>
      <c r="F39" s="149"/>
      <c r="G39" s="150"/>
    </row>
    <row r="40" spans="2:11" hidden="1" x14ac:dyDescent="0.2">
      <c r="E40" s="149"/>
      <c r="F40" s="149"/>
      <c r="G40" s="150"/>
    </row>
    <row r="41" spans="2:11" hidden="1" x14ac:dyDescent="0.2">
      <c r="E41" s="149"/>
      <c r="F41" s="149"/>
      <c r="G41" s="150"/>
    </row>
    <row r="42" spans="2:11" hidden="1" x14ac:dyDescent="0.2">
      <c r="E42" s="149"/>
      <c r="F42" s="149"/>
      <c r="G42" s="150"/>
    </row>
    <row r="43" spans="2:11" x14ac:dyDescent="0.2">
      <c r="E43" s="149"/>
      <c r="F43" s="149"/>
      <c r="G43" s="150"/>
      <c r="I43" t="s">
        <v>239</v>
      </c>
      <c r="K43">
        <f>IF(MIN(А,В)&lt;2.8,1,IF(MIN(А,В)&lt;4,2,3))</f>
        <v>2</v>
      </c>
    </row>
    <row r="44" spans="2:11" ht="13.5" thickBot="1" x14ac:dyDescent="0.25">
      <c r="B44" s="255"/>
      <c r="C44" s="256"/>
      <c r="D44" s="100"/>
      <c r="E44" s="118"/>
      <c r="F44" s="118"/>
      <c r="G44" s="257"/>
      <c r="I44" t="s">
        <v>236</v>
      </c>
      <c r="K44">
        <f>Трудоемкость_сверления_всех+INDEX(Заготовительная_мп,индекс_заготовки,ст_тё)+INDEX(Пробивка_ФШ_мп,индекс_заготовки,ст_тё)+INDEX(экспонирование_мп,индекс_заготовки,ст_тё)+INDEX(Технологический_контроль_мп,индекс_заготовки,ст_тё)</f>
        <v>2.6636000000000002</v>
      </c>
    </row>
    <row r="45" spans="2:11" x14ac:dyDescent="0.2">
      <c r="B45" s="54" t="s">
        <v>45</v>
      </c>
      <c r="C45" s="55">
        <f>VLOOKUP(N,КсерТабл,2)</f>
        <v>1.05</v>
      </c>
      <c r="E45" s="347" t="s">
        <v>226</v>
      </c>
      <c r="F45" s="348"/>
      <c r="G45" s="349"/>
      <c r="I45" t="s">
        <v>237</v>
      </c>
      <c r="K45">
        <f>Трудоемкость_сверления_всех+INDEX(Заготовительная_мп,индекс_заготовки,ст_тё)+INDEX(Технологический_контроль_пров_мп,индекс_заготовки,ст_тё)</f>
        <v>1.9436</v>
      </c>
    </row>
    <row r="46" spans="2:11" ht="13.5" thickBot="1" x14ac:dyDescent="0.25">
      <c r="B46" s="21" t="s">
        <v>19</v>
      </c>
      <c r="C46" s="55">
        <f>VLOOKUP(Срок_изготовления,КсрТабл,2)</f>
        <v>1</v>
      </c>
      <c r="E46" s="350"/>
      <c r="F46" s="351"/>
      <c r="G46" s="352"/>
      <c r="I46" t="s">
        <v>238</v>
      </c>
      <c r="K46">
        <f>INDEX(Сверление__на_отверстие,1,ст_тё)</f>
        <v>3.3799999999999998E-4</v>
      </c>
    </row>
    <row r="47" spans="2:11" x14ac:dyDescent="0.2">
      <c r="B47" s="90" t="s">
        <v>107</v>
      </c>
      <c r="C47" s="142">
        <f>VLOOKUP(Толщина_платы,КтТабл,2)</f>
        <v>1</v>
      </c>
      <c r="E47" s="259" t="s">
        <v>46</v>
      </c>
      <c r="F47" s="34"/>
      <c r="G47" s="269">
        <v>291.05</v>
      </c>
      <c r="I47" t="s">
        <v>240</v>
      </c>
      <c r="K47">
        <f>Трудоемкость_сверления*(Чо1+Чо2)</f>
        <v>0.74359999999999993</v>
      </c>
    </row>
    <row r="48" spans="2:11" x14ac:dyDescent="0.2">
      <c r="B48" s="90" t="s">
        <v>108</v>
      </c>
      <c r="C48" s="142">
        <f>VLOOKUP(Класс_точности,КвгТабл,2)</f>
        <v>1.1000000000000001</v>
      </c>
      <c r="E48" s="162" t="s">
        <v>48</v>
      </c>
      <c r="F48" s="31"/>
      <c r="G48" s="270">
        <v>30.6</v>
      </c>
      <c r="I48" t="s">
        <v>241</v>
      </c>
      <c r="K48">
        <f>INDEX(Изготовление_мастер_плат_для_фрезерования,1,ст_тё)</f>
        <v>0.375</v>
      </c>
    </row>
    <row r="49" spans="1:12" x14ac:dyDescent="0.2">
      <c r="B49" s="56" t="s">
        <v>47</v>
      </c>
      <c r="C49" s="152">
        <f>1+0.1*(Класс_точности-2)</f>
        <v>1.1000000000000001</v>
      </c>
      <c r="D49" s="2"/>
      <c r="E49" s="162" t="s">
        <v>50</v>
      </c>
      <c r="F49" s="31"/>
      <c r="G49" s="271">
        <v>295</v>
      </c>
      <c r="I49" t="s">
        <v>242</v>
      </c>
      <c r="K49">
        <f>1.2*(0.05+0.1*Рп*0.1*Плат_на_заготовке)*Цнч/Плат_на_заготовке</f>
        <v>122.48430400000001</v>
      </c>
    </row>
    <row r="50" spans="1:12" x14ac:dyDescent="0.2">
      <c r="B50" s="39" t="s">
        <v>49</v>
      </c>
      <c r="C50" s="4">
        <f>П*А1*В1</f>
        <v>32</v>
      </c>
      <c r="D50" s="2"/>
      <c r="E50" s="162" t="s">
        <v>52</v>
      </c>
      <c r="F50" s="31"/>
      <c r="G50" s="271">
        <v>20</v>
      </c>
      <c r="I50" t="s">
        <v>243</v>
      </c>
      <c r="K50">
        <f>1.2*(0.05+0.1*(0.16*2*4)*0.1*Плат_на_заготовке)*Цнч/Плат_на_заготовке</f>
        <v>52.561225600000007</v>
      </c>
    </row>
    <row r="51" spans="1:12" x14ac:dyDescent="0.2">
      <c r="B51" s="57" t="s">
        <v>51</v>
      </c>
      <c r="C51" s="7">
        <f>N*А*В</f>
        <v>77.42</v>
      </c>
      <c r="D51" s="2"/>
      <c r="E51" s="360" t="s">
        <v>190</v>
      </c>
      <c r="F51" s="361"/>
      <c r="G51" s="272">
        <v>1</v>
      </c>
      <c r="I51" t="s">
        <v>244</v>
      </c>
      <c r="K51">
        <f>INDEX(Сумма__То,1,ст_тё)+IF(МПП,INDEX(Сумма_на_слой,1,ст_тё)*Листов_материала,0.024)</f>
        <v>1.5128533333333332</v>
      </c>
      <c r="L51" t="s">
        <v>253</v>
      </c>
    </row>
    <row r="52" spans="1:12" x14ac:dyDescent="0.2">
      <c r="B52" s="21" t="s">
        <v>106</v>
      </c>
      <c r="C52" s="139">
        <f>IF(МПП,(А*В+А1*В1*Плат_на_заготовке)/2*N,Площадь_заготовок)</f>
        <v>55.510000000000005</v>
      </c>
      <c r="D52" s="2"/>
      <c r="E52" s="359" t="s">
        <v>189</v>
      </c>
      <c r="F52" s="359"/>
      <c r="G52" s="270">
        <f>CEILING((ФОТнч+ФОТнч*Социальный_налог/100+Накладные_расходы*ФОТнч/100)*(1+Плановые_накопления/100),0.01)</f>
        <v>1486.46</v>
      </c>
      <c r="I52" t="s">
        <v>420</v>
      </c>
      <c r="K52" t="s">
        <v>421</v>
      </c>
    </row>
    <row r="53" spans="1:12" x14ac:dyDescent="0.2">
      <c r="B53" s="32" t="s">
        <v>28</v>
      </c>
      <c r="C53" s="7">
        <f>(А1+В1)*2</f>
        <v>5.2</v>
      </c>
      <c r="D53" s="2"/>
      <c r="E53" s="305"/>
      <c r="F53" s="2"/>
      <c r="G53" s="306"/>
      <c r="I53" t="s">
        <v>423</v>
      </c>
      <c r="K53" t="str">
        <f>IF(getfield(textolite,1)="",textolite,getfield(textolite,1))</f>
        <v>FV-EP-GC-Cu-35/35</v>
      </c>
    </row>
    <row r="54" spans="1:12" x14ac:dyDescent="0.2">
      <c r="B54" s="32" t="s">
        <v>53</v>
      </c>
      <c r="C54" s="7">
        <f>(А+В)*2</f>
        <v>13.5</v>
      </c>
      <c r="D54" s="2"/>
      <c r="E54" s="118"/>
      <c r="F54" s="2"/>
      <c r="G54" s="8"/>
      <c r="I54" t="s">
        <v>424</v>
      </c>
      <c r="K54" t="str">
        <f>IF(getfield(textolite,2)="","",getfield(textolite,2))</f>
        <v/>
      </c>
    </row>
    <row r="55" spans="1:12" x14ac:dyDescent="0.2">
      <c r="A55" s="19"/>
      <c r="D55" s="2"/>
      <c r="I55" t="s">
        <v>425</v>
      </c>
      <c r="K55">
        <f>IF(getfield(textolite,3)="",CEILING(Количество_слоев/2,1),getfield(textolite,3))</f>
        <v>4</v>
      </c>
    </row>
    <row r="56" spans="1:12" ht="13.5" customHeight="1" x14ac:dyDescent="0.25">
      <c r="A56" s="47"/>
      <c r="B56" s="255"/>
      <c r="C56" s="258"/>
      <c r="D56" s="100"/>
      <c r="E56" s="255"/>
      <c r="F56" s="255"/>
      <c r="G56" s="256"/>
      <c r="I56" t="s">
        <v>422</v>
      </c>
      <c r="K56">
        <f>MATCH(Текстолит1,выбор_материала_табл,0)</f>
        <v>16</v>
      </c>
    </row>
    <row r="57" spans="1:12" x14ac:dyDescent="0.2">
      <c r="B57" s="10" t="s">
        <v>117</v>
      </c>
      <c r="E57" s="24"/>
      <c r="F57" s="2"/>
      <c r="G57" s="76" t="s">
        <v>27</v>
      </c>
      <c r="I57" t="s">
        <v>426</v>
      </c>
      <c r="K57">
        <f>IFERROR(MATCH(Текстолит2,выбор_материала_табл,0),IF(МПП,НомерТекстолитаИзТЗ1,1))</f>
        <v>16</v>
      </c>
    </row>
    <row r="58" spans="1:12" x14ac:dyDescent="0.2">
      <c r="A58" s="94">
        <v>1</v>
      </c>
      <c r="B58" s="21" t="s">
        <v>72</v>
      </c>
      <c r="C58" s="39" t="s">
        <v>81</v>
      </c>
      <c r="D58" s="35"/>
      <c r="E58" s="252">
        <f>Время_констр</f>
        <v>2</v>
      </c>
      <c r="F58" s="140" t="s">
        <v>30</v>
      </c>
      <c r="G58" s="168">
        <f>Время_констр*Цнч</f>
        <v>2972.92</v>
      </c>
      <c r="H58" s="50"/>
    </row>
    <row r="59" spans="1:12" x14ac:dyDescent="0.2">
      <c r="A59" s="363">
        <v>2</v>
      </c>
      <c r="B59" s="373" t="str">
        <f>CONCATENATE("Изготовление фотошаблонов ",Класс_точности," кл. точности")</f>
        <v>Изготовление фотошаблонов 3 кл. точности</v>
      </c>
      <c r="C59" s="261" t="s">
        <v>81</v>
      </c>
      <c r="D59" s="31"/>
      <c r="E59" s="252">
        <f>Время_изготовления_шаблонов</f>
        <v>1.056</v>
      </c>
      <c r="F59" s="140" t="s">
        <v>82</v>
      </c>
      <c r="G59" s="168">
        <f>Цнч*Изготовление_ФШ*E59</f>
        <v>9418.2105600000014</v>
      </c>
      <c r="H59" s="50"/>
    </row>
    <row r="60" spans="1:12" x14ac:dyDescent="0.2">
      <c r="A60" s="364"/>
      <c r="B60" s="374"/>
      <c r="C60" s="261" t="s">
        <v>83</v>
      </c>
      <c r="D60" s="31"/>
      <c r="E60" s="252" t="s">
        <v>90</v>
      </c>
      <c r="F60" s="140" t="s">
        <v>57</v>
      </c>
      <c r="G60" s="168">
        <f>Материалы_ФШ*(1+Плановые_накопления/100)</f>
        <v>1252.03960224</v>
      </c>
      <c r="H60" s="50"/>
      <c r="J60" s="186"/>
      <c r="K60" s="186"/>
    </row>
    <row r="61" spans="1:12" ht="26.45" customHeight="1" x14ac:dyDescent="0.2">
      <c r="A61" s="260">
        <v>3</v>
      </c>
      <c r="B61" s="92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1" s="154" t="s">
        <v>81</v>
      </c>
      <c r="D61" s="34"/>
      <c r="E61" s="253">
        <f>Время_паспортизации_шаблонов</f>
        <v>0.45599999999999996</v>
      </c>
      <c r="F61" s="140" t="s">
        <v>82</v>
      </c>
      <c r="G61" s="168">
        <f>E61*Цнч*Подготовка_ФШ</f>
        <v>0</v>
      </c>
      <c r="H61" s="50"/>
    </row>
    <row r="62" spans="1:12" ht="12" customHeight="1" x14ac:dyDescent="0.2">
      <c r="A62" s="363">
        <v>4</v>
      </c>
      <c r="B62" s="373" t="s">
        <v>100</v>
      </c>
      <c r="C62" s="261" t="s">
        <v>81</v>
      </c>
      <c r="D62" s="31"/>
      <c r="E62" s="252">
        <f>IF(МПП,IF(Изготовление_ФШ&gt;0,мп_пробивки_те+мп_проверки_те,мп_проверки_те),IF(N&gt;9,1.1+Трудоемкость_сверления_всех,0))</f>
        <v>4.6072000000000006</v>
      </c>
      <c r="F62" s="140" t="s">
        <v>84</v>
      </c>
      <c r="G62" s="168">
        <f>E62*Цнч</f>
        <v>6848.4185120000011</v>
      </c>
      <c r="H62" s="50"/>
      <c r="I62" s="186"/>
    </row>
    <row r="63" spans="1:12" x14ac:dyDescent="0.2">
      <c r="A63" s="370"/>
      <c r="B63" s="374"/>
      <c r="C63" s="261" t="s">
        <v>83</v>
      </c>
      <c r="D63" s="35"/>
      <c r="E63" s="252" t="s">
        <v>90</v>
      </c>
      <c r="F63" s="141" t="s">
        <v>57</v>
      </c>
      <c r="G63" s="169">
        <f>IF(G62&gt;0,Материалы_МП*(1+Плановые_накопления/100),0)</f>
        <v>2376.966013968</v>
      </c>
      <c r="H63" s="50"/>
    </row>
    <row r="64" spans="1:12" ht="13.15" customHeight="1" x14ac:dyDescent="0.2">
      <c r="A64" s="94">
        <v>5</v>
      </c>
      <c r="B64" s="267" t="s">
        <v>73</v>
      </c>
      <c r="C64" s="261" t="s">
        <v>81</v>
      </c>
      <c r="D64" s="31"/>
      <c r="E64" s="252">
        <f>IF(МПП,(Время_мастерплат_фрезеровки+Тф)*SIGN(frezcorner),
IF(frezcorner=2,0.3+0.2*(0.05+0.1*((Рп*0.1)*Плат_на_заготовке)),
0.3+1.2*(0.05+0.012*Плат_на_заготовке))*SIGN(frezcorner))</f>
        <v>0.48108000000000001</v>
      </c>
      <c r="F64" s="140" t="s">
        <v>85</v>
      </c>
      <c r="G64" s="168">
        <f>E64*Цнч</f>
        <v>715.10617680000007</v>
      </c>
      <c r="H64" s="50"/>
    </row>
    <row r="65" spans="1:13" x14ac:dyDescent="0.2">
      <c r="A65" s="2"/>
      <c r="B65" s="266" t="s">
        <v>86</v>
      </c>
      <c r="C65" s="14"/>
      <c r="D65" s="14"/>
      <c r="E65" s="30"/>
      <c r="F65" s="14"/>
      <c r="G65" s="268">
        <f>SUM(G58:G64)</f>
        <v>23583.660865008002</v>
      </c>
      <c r="H65" s="50"/>
    </row>
    <row r="66" spans="1:13" x14ac:dyDescent="0.2">
      <c r="A66" s="2"/>
      <c r="B66" s="17"/>
      <c r="C66" s="2"/>
      <c r="D66" s="2"/>
      <c r="E66" s="5"/>
      <c r="F66" s="2"/>
      <c r="G66" s="87"/>
      <c r="H66" s="50"/>
    </row>
    <row r="67" spans="1:13" x14ac:dyDescent="0.2">
      <c r="A67" s="2"/>
      <c r="B67" s="153" t="s">
        <v>116</v>
      </c>
      <c r="D67" s="2"/>
      <c r="E67" s="2"/>
      <c r="F67" s="11"/>
      <c r="G67" s="50"/>
      <c r="H67" s="50"/>
    </row>
    <row r="68" spans="1:13" x14ac:dyDescent="0.2">
      <c r="A68" s="77"/>
      <c r="B68" s="78" t="s">
        <v>87</v>
      </c>
      <c r="C68" s="42"/>
      <c r="D68" s="79"/>
      <c r="E68" s="77" t="s">
        <v>88</v>
      </c>
      <c r="F68" s="80" t="s">
        <v>89</v>
      </c>
      <c r="G68" s="81" t="s">
        <v>27</v>
      </c>
      <c r="H68" s="50"/>
    </row>
    <row r="69" spans="1:13" s="100" customFormat="1" x14ac:dyDescent="0.2">
      <c r="A69" s="96">
        <v>1</v>
      </c>
      <c r="B69" s="220" t="s">
        <v>187</v>
      </c>
      <c r="C69" s="98"/>
      <c r="D69" s="99"/>
      <c r="E69" s="263" t="s">
        <v>90</v>
      </c>
      <c r="F69" s="209" t="s">
        <v>90</v>
      </c>
      <c r="G69" s="163">
        <f>Материалы_основные*(1+Плановые_накопления/100)+ПКИ*(1+НаценкаПКИ/100)</f>
        <v>45135.871046064312</v>
      </c>
      <c r="H69" s="50"/>
      <c r="I69" s="50"/>
      <c r="J69"/>
      <c r="K69"/>
      <c r="L69"/>
      <c r="M69"/>
    </row>
    <row r="70" spans="1:13" s="100" customFormat="1" x14ac:dyDescent="0.2">
      <c r="A70" s="96">
        <v>2</v>
      </c>
      <c r="B70" s="97" t="s">
        <v>91</v>
      </c>
      <c r="C70" s="98"/>
      <c r="D70" s="99"/>
      <c r="E70" s="223">
        <f>То</f>
        <v>1.5128533333333332</v>
      </c>
      <c r="F70" s="124" t="s">
        <v>145</v>
      </c>
      <c r="G70" s="163">
        <f>(E70*Площадь_заготовок_оплачиваемая*Коэффициент_серийности*Коэфф_плотности_и_сложн*Цнч*Квг)</f>
        <v>158597.35869491118</v>
      </c>
      <c r="H70" s="50"/>
      <c r="I70" s="50"/>
      <c r="J70"/>
      <c r="K70"/>
      <c r="L70"/>
      <c r="M70"/>
    </row>
    <row r="71" spans="1:13" s="100" customFormat="1" x14ac:dyDescent="0.2">
      <c r="A71" s="125">
        <v>3</v>
      </c>
      <c r="B71" s="126" t="s">
        <v>102</v>
      </c>
      <c r="C71" s="98"/>
      <c r="D71" s="99"/>
      <c r="E71" s="223">
        <f>Трудоемкость_сверления</f>
        <v>3.3799999999999998E-4</v>
      </c>
      <c r="F71" s="124" t="s">
        <v>186</v>
      </c>
      <c r="G71" s="163">
        <f>(E71*N*(Чо1+Чо2)*Коэффициент_серийности*Коэфф_плотности_и_сложн*Цнч)*Квг</f>
        <v>9830.2670826360027</v>
      </c>
      <c r="H71" s="50"/>
      <c r="I71"/>
      <c r="J71" s="187"/>
      <c r="K71" s="187"/>
      <c r="L71"/>
      <c r="M71"/>
    </row>
    <row r="72" spans="1:13" s="100" customFormat="1" x14ac:dyDescent="0.2">
      <c r="A72" s="289">
        <v>4</v>
      </c>
      <c r="B72" s="128" t="s">
        <v>250</v>
      </c>
      <c r="C72" s="127"/>
      <c r="D72" s="99"/>
      <c r="E72" s="223">
        <f>IF(ФПК=1,IF(Тф1пл&gt;15,Тф1пл,15),IF(Тф2пл&gt;15,Тф2пл,15))*Плат_на_заготовке/Цнч</f>
        <v>0.10608000000000002</v>
      </c>
      <c r="F72" s="90" t="s">
        <v>188</v>
      </c>
      <c r="G72" s="163">
        <f>(E72*N*IF(Кф=0,1,Кф)*Кт*Цнч)</f>
        <v>1103.7857376000002</v>
      </c>
      <c r="H72" s="50"/>
      <c r="I72"/>
      <c r="J72"/>
      <c r="K72"/>
      <c r="L72"/>
      <c r="M72"/>
    </row>
    <row r="73" spans="1:13" s="100" customFormat="1" x14ac:dyDescent="0.2">
      <c r="A73" s="96">
        <v>5</v>
      </c>
      <c r="B73" s="129" t="s">
        <v>92</v>
      </c>
      <c r="D73" s="130"/>
      <c r="E73" s="223">
        <f>1.2*0.055+1.2*0.0125*IF(razr=2,1,nib)*1.1</f>
        <v>0.11550000000000001</v>
      </c>
      <c r="F73" s="130" t="s">
        <v>139</v>
      </c>
      <c r="G73" s="163">
        <f>E73*N*Коэфф_плотности_и_сложн*Кт*Цнч*SIGN(razr)</f>
        <v>1321.9832010000002</v>
      </c>
      <c r="H73" s="50"/>
      <c r="I73" s="187"/>
      <c r="J73"/>
      <c r="K73"/>
      <c r="L73"/>
      <c r="M73"/>
    </row>
    <row r="74" spans="1:13" s="100" customFormat="1" x14ac:dyDescent="0.2">
      <c r="A74" s="353">
        <v>6</v>
      </c>
      <c r="B74" s="126" t="s">
        <v>71</v>
      </c>
      <c r="C74" s="131"/>
      <c r="D74" s="131"/>
      <c r="E74" s="223"/>
      <c r="F74" s="98"/>
      <c r="G74" s="164"/>
      <c r="H74" s="50"/>
      <c r="I74" s="187"/>
      <c r="J74"/>
      <c r="K74"/>
      <c r="L74"/>
      <c r="M74"/>
    </row>
    <row r="75" spans="1:13" s="100" customFormat="1" x14ac:dyDescent="0.2">
      <c r="A75" s="365"/>
      <c r="B75" s="83" t="s">
        <v>163</v>
      </c>
      <c r="C75" s="131"/>
      <c r="D75" s="132"/>
      <c r="E75" s="223">
        <f>IF(Колво_СЗПМ&gt;0,INDEX(СЗПМ,Колво_СЗПМ,ст_тё),0)</f>
        <v>0.10647000000000001</v>
      </c>
      <c r="F75" s="90" t="s">
        <v>137</v>
      </c>
      <c r="G75" s="163">
        <f>E75*Цнч*Площадь_заготовок_оплачиваемая*Км*SIGN(Колво_СЗПМ)</f>
        <v>9663.7212353682025</v>
      </c>
      <c r="H75" s="50"/>
      <c r="I75"/>
      <c r="J75"/>
      <c r="K75"/>
    </row>
    <row r="76" spans="1:13" s="100" customFormat="1" x14ac:dyDescent="0.2">
      <c r="A76" s="365"/>
      <c r="B76" s="117" t="s">
        <v>164</v>
      </c>
      <c r="C76" s="118"/>
      <c r="D76" s="119"/>
      <c r="E76" s="223" t="s">
        <v>90</v>
      </c>
      <c r="F76" s="116"/>
      <c r="G76" s="163">
        <f>Материалы_КМ*(1+Плановые_накопления/100)</f>
        <v>3797.9036282879997</v>
      </c>
      <c r="H76" s="50"/>
      <c r="I76"/>
      <c r="J76"/>
      <c r="K76"/>
    </row>
    <row r="77" spans="1:13" s="100" customFormat="1" x14ac:dyDescent="0.2">
      <c r="A77" s="365"/>
      <c r="B77" s="83" t="s">
        <v>165</v>
      </c>
      <c r="C77" s="131"/>
      <c r="D77" s="132"/>
      <c r="E77" s="223">
        <f>IF(Колво_ЖЗПМ&gt;0,INDEX(СЗПМ,Колво_ЖЗПМ,ст_тё),0)</f>
        <v>0.10647000000000001</v>
      </c>
      <c r="F77" s="90" t="s">
        <v>138</v>
      </c>
      <c r="G77" s="163">
        <f>(E77*Цнч*Площадь_заготовок_оплачиваемая*Км*SIGN(Колво_ЖЗПМ))</f>
        <v>9663.7212353682025</v>
      </c>
      <c r="H77" s="50"/>
      <c r="I77"/>
    </row>
    <row r="78" spans="1:13" s="100" customFormat="1" x14ac:dyDescent="0.2">
      <c r="A78" s="354"/>
      <c r="B78" s="120" t="s">
        <v>166</v>
      </c>
      <c r="C78" s="121"/>
      <c r="D78" s="122"/>
      <c r="E78" s="223" t="s">
        <v>90</v>
      </c>
      <c r="F78" s="116"/>
      <c r="G78" s="163">
        <f>Материалы_ЖМ*(1+Плановые_накопления/100)</f>
        <v>305.81101911360008</v>
      </c>
      <c r="H78" s="50"/>
      <c r="I78"/>
    </row>
    <row r="79" spans="1:13" s="100" customFormat="1" x14ac:dyDescent="0.2">
      <c r="A79" s="353">
        <v>7</v>
      </c>
      <c r="B79" s="133" t="s">
        <v>93</v>
      </c>
      <c r="C79" s="121"/>
      <c r="D79" s="121"/>
      <c r="E79" s="223"/>
      <c r="F79" s="98"/>
      <c r="G79" s="164"/>
      <c r="H79" s="50"/>
    </row>
    <row r="80" spans="1:13" s="100" customFormat="1" x14ac:dyDescent="0.2">
      <c r="A80" s="365"/>
      <c r="B80" s="355" t="s">
        <v>162</v>
      </c>
      <c r="C80" s="356"/>
      <c r="D80" s="357"/>
      <c r="E80" s="223">
        <f>INDEX(Ручная_маркировка,1,ст_тё)</f>
        <v>1</v>
      </c>
      <c r="F80" s="90" t="s">
        <v>123</v>
      </c>
      <c r="G80" s="163">
        <f>(E80*Цнч*П)*G13</f>
        <v>29729.200000000001</v>
      </c>
      <c r="H80" s="50"/>
    </row>
    <row r="81" spans="1:11" s="100" customFormat="1" x14ac:dyDescent="0.2">
      <c r="A81" s="365"/>
      <c r="B81" s="358" t="s">
        <v>161</v>
      </c>
      <c r="C81" s="358"/>
      <c r="D81" s="358"/>
      <c r="E81" s="223">
        <f>IF(ТипМаркировки=0,0,IF(ТипМаркировки=1,INDEX(ФМ,Колво_ФМ,ст_тё),INDEX(Легенда,Колво_ФМ,ст_тё)))</f>
        <v>2.5000000000000001E-2</v>
      </c>
      <c r="F81" s="90" t="s">
        <v>122</v>
      </c>
      <c r="G81" s="163">
        <f>(E81*Цнч*Площадь_заготовок_оплачиваемая)</f>
        <v>2062.8348650000003</v>
      </c>
      <c r="H81" s="50"/>
    </row>
    <row r="82" spans="1:11" s="100" customFormat="1" x14ac:dyDescent="0.2">
      <c r="A82" s="354"/>
      <c r="B82" s="358" t="s">
        <v>160</v>
      </c>
      <c r="C82" s="358"/>
      <c r="D82" s="358"/>
      <c r="E82" s="223" t="s">
        <v>90</v>
      </c>
      <c r="F82" s="123"/>
      <c r="G82" s="163">
        <f>IF(ТипМаркировки=1,Материалы_ФМ,IF(ТипМаркировки=2,Материалы_Legend,0))*(1+Плановые_накопления/100)</f>
        <v>708.476985216</v>
      </c>
      <c r="H82" s="50"/>
    </row>
    <row r="83" spans="1:11" s="100" customFormat="1" x14ac:dyDescent="0.2">
      <c r="A83" s="353">
        <v>8</v>
      </c>
      <c r="B83" s="355" t="s">
        <v>121</v>
      </c>
      <c r="C83" s="356"/>
      <c r="D83" s="357"/>
      <c r="E83" s="264">
        <f>INDEX(ГОР_ПОС,1,ст_тё)</f>
        <v>1.8200000000000001E-2</v>
      </c>
      <c r="F83" s="161" t="s">
        <v>143</v>
      </c>
      <c r="G83" s="165">
        <f>IF(Sи&gt;0,0,E83*Площадь_заготовок_оплачиваемая*Коэффициент_серийности*Коэфф_плотности_и_сложн*Цнч)</f>
        <v>1734.5140678866003</v>
      </c>
      <c r="H83" s="50"/>
    </row>
    <row r="84" spans="1:11" s="100" customFormat="1" x14ac:dyDescent="0.2">
      <c r="A84" s="354"/>
      <c r="B84" s="355" t="s">
        <v>128</v>
      </c>
      <c r="C84" s="356"/>
      <c r="D84" s="357"/>
      <c r="E84" s="223" t="s">
        <v>90</v>
      </c>
      <c r="F84" s="161"/>
      <c r="G84" s="165">
        <f>IF(Sи&gt;0,0,Материалы_ГорПОС)*(1+Плановые_накопления/100)</f>
        <v>606.97525885920004</v>
      </c>
      <c r="H84" s="50"/>
    </row>
    <row r="85" spans="1:11" x14ac:dyDescent="0.2">
      <c r="A85" s="363">
        <v>9</v>
      </c>
      <c r="B85" s="355" t="s">
        <v>170</v>
      </c>
      <c r="C85" s="356"/>
      <c r="D85" s="357"/>
      <c r="E85" s="264">
        <f>INDEX(Иммерсионное_золочение,1,ст_тё)</f>
        <v>1.95E-2</v>
      </c>
      <c r="F85" s="65" t="s">
        <v>144</v>
      </c>
      <c r="G85" s="166">
        <f>IF(Sи&gt;0,E85*Цнч*N,IF(колво_ламелей*1&gt;0,П*труёмзол1пл*0,0))*Коэфф_плотности_и_сложн*Коэффициент_серийности</f>
        <v>0</v>
      </c>
      <c r="H85" s="50"/>
      <c r="I85" s="100"/>
      <c r="J85" s="100"/>
      <c r="K85" s="100"/>
    </row>
    <row r="86" spans="1:11" x14ac:dyDescent="0.2">
      <c r="A86" s="364"/>
      <c r="B86" s="366" t="s">
        <v>94</v>
      </c>
      <c r="C86" s="367"/>
      <c r="D86" s="368"/>
      <c r="E86" s="265" t="s">
        <v>90</v>
      </c>
      <c r="F86" s="39"/>
      <c r="G86" s="167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50"/>
      <c r="I86" s="100"/>
      <c r="J86" s="100"/>
      <c r="K86" s="100"/>
    </row>
    <row r="87" spans="1:11" x14ac:dyDescent="0.2">
      <c r="A87" s="6">
        <v>10</v>
      </c>
      <c r="B87" s="362" t="s">
        <v>26</v>
      </c>
      <c r="C87" s="362"/>
      <c r="D87" s="362"/>
      <c r="E87" s="265" t="s">
        <v>90</v>
      </c>
      <c r="F87" s="90" t="s">
        <v>29</v>
      </c>
      <c r="G87" s="167">
        <f>IF(Электроконтроль=0,0,ROUND(П*Цэкатг,0))</f>
        <v>0</v>
      </c>
      <c r="H87" s="50"/>
      <c r="I87" s="100"/>
    </row>
    <row r="88" spans="1:11" ht="13.5" thickBot="1" x14ac:dyDescent="0.25">
      <c r="A88" s="8"/>
      <c r="B88" s="88"/>
      <c r="C88" s="2"/>
      <c r="D88" s="2"/>
      <c r="E88" s="8"/>
      <c r="F88" s="2"/>
      <c r="G88" s="89"/>
      <c r="I88" s="100"/>
    </row>
    <row r="89" spans="1:11" ht="13.5" thickBot="1" x14ac:dyDescent="0.25">
      <c r="A89" s="29"/>
      <c r="B89" s="84" t="s">
        <v>25</v>
      </c>
      <c r="C89" s="84"/>
      <c r="D89" s="14"/>
      <c r="E89" s="30"/>
      <c r="F89" s="14"/>
      <c r="G89" s="170">
        <f>SUM(G69:G88)</f>
        <v>274262.42405731132</v>
      </c>
    </row>
    <row r="90" spans="1:11" ht="13.5" thickBot="1" x14ac:dyDescent="0.25">
      <c r="A90" s="29"/>
      <c r="B90" s="84" t="s">
        <v>95</v>
      </c>
      <c r="C90" s="69"/>
      <c r="D90" s="14"/>
      <c r="E90" s="30"/>
      <c r="F90" s="14"/>
      <c r="G90" s="170">
        <f>CEILING(Подготовка_сумма+Изготовление_сумма,1)</f>
        <v>297847</v>
      </c>
      <c r="I90" s="50"/>
    </row>
    <row r="91" spans="1:11" ht="13.5" thickBot="1" x14ac:dyDescent="0.25">
      <c r="A91" s="8"/>
      <c r="B91" s="67" t="s">
        <v>96</v>
      </c>
      <c r="C91" s="85"/>
      <c r="D91" s="14"/>
      <c r="E91" s="14"/>
      <c r="F91" s="30"/>
      <c r="G91" s="170">
        <f>_xlfn.CEILING.PRECISE(Итого_сумма*Кср,П)</f>
        <v>297860</v>
      </c>
      <c r="I91" s="134"/>
    </row>
    <row r="92" spans="1:11" ht="13.5" thickBot="1" x14ac:dyDescent="0.25">
      <c r="A92" s="8"/>
      <c r="B92" s="17"/>
      <c r="C92" s="86"/>
      <c r="D92" s="2"/>
      <c r="E92" s="2"/>
      <c r="F92" s="5"/>
      <c r="G92" s="171"/>
      <c r="I92" s="50"/>
      <c r="J92" s="187"/>
      <c r="K92" s="187"/>
    </row>
    <row r="93" spans="1:11" ht="13.5" thickBot="1" x14ac:dyDescent="0.25">
      <c r="A93" s="82"/>
      <c r="E93" t="s">
        <v>31</v>
      </c>
      <c r="F93" s="2"/>
      <c r="G93" s="170">
        <f>ROUNDUP(Итого_окончательное/П,0)</f>
        <v>14893</v>
      </c>
    </row>
    <row r="94" spans="1:11" x14ac:dyDescent="0.2">
      <c r="I94" s="187"/>
    </row>
    <row r="95" spans="1:11" ht="54" customHeight="1" x14ac:dyDescent="0.25">
      <c r="B95" s="93"/>
      <c r="G95" s="185"/>
    </row>
    <row r="96" spans="1:11" hidden="1" x14ac:dyDescent="0.2">
      <c r="I96" s="50"/>
    </row>
    <row r="97" spans="1:8" hidden="1" x14ac:dyDescent="0.2">
      <c r="A97" s="249">
        <v>1</v>
      </c>
      <c r="B97" t="s">
        <v>215</v>
      </c>
      <c r="G97" s="250">
        <f>G60+G63+G69+G76+G78+G82+G84+G86</f>
        <v>54184.043553749114</v>
      </c>
    </row>
    <row r="98" spans="1:8" hidden="1" x14ac:dyDescent="0.2">
      <c r="A98" s="249">
        <v>2</v>
      </c>
      <c r="B98" t="s">
        <v>216</v>
      </c>
      <c r="G98" s="250" t="e">
        <f>#REF!</f>
        <v>#REF!</v>
      </c>
    </row>
    <row r="99" spans="1:8" hidden="1" x14ac:dyDescent="0.2">
      <c r="A99" s="249">
        <v>3</v>
      </c>
      <c r="B99" t="s">
        <v>217</v>
      </c>
      <c r="G99" s="250" t="e">
        <f>Итого_окончательное-G97-G98</f>
        <v>#REF!</v>
      </c>
    </row>
    <row r="100" spans="1:8" hidden="1" x14ac:dyDescent="0.2">
      <c r="A100" s="249" t="s">
        <v>218</v>
      </c>
      <c r="B100" t="s">
        <v>26</v>
      </c>
      <c r="G100" s="251">
        <f>G87</f>
        <v>0</v>
      </c>
    </row>
    <row r="101" spans="1:8" hidden="1" x14ac:dyDescent="0.2">
      <c r="A101" s="249" t="s">
        <v>219</v>
      </c>
      <c r="B101" t="s">
        <v>220</v>
      </c>
      <c r="G101" s="251" t="e">
        <f>(Труд_МПП*Площадь_заготовок_оплачиваемая*Коэффициент_серийности*Коэфф_плотности_и_сложн*Цнч*Квг)</f>
        <v>#NAME?</v>
      </c>
    </row>
    <row r="102" spans="1:8" hidden="1" x14ac:dyDescent="0.2">
      <c r="A102" s="249" t="s">
        <v>221</v>
      </c>
      <c r="B102" t="s">
        <v>222</v>
      </c>
      <c r="G102" s="251" t="e">
        <f>G99-G100-G101</f>
        <v>#REF!</v>
      </c>
      <c r="H102" s="186"/>
    </row>
    <row r="103" spans="1:8" x14ac:dyDescent="0.2">
      <c r="A103" s="249"/>
    </row>
    <row r="104" spans="1:8" x14ac:dyDescent="0.2">
      <c r="A104" s="249"/>
    </row>
    <row r="105" spans="1:8" x14ac:dyDescent="0.2">
      <c r="A105" s="249"/>
    </row>
    <row r="106" spans="1:8" x14ac:dyDescent="0.2">
      <c r="A106" s="249"/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O7:P7"/>
    <mergeCell ref="I12:O12"/>
    <mergeCell ref="I13:O13"/>
    <mergeCell ref="A62:A63"/>
    <mergeCell ref="A59:A60"/>
    <mergeCell ref="E24:F24"/>
    <mergeCell ref="B62:B63"/>
    <mergeCell ref="E21:F21"/>
    <mergeCell ref="E22:F22"/>
    <mergeCell ref="B59:B60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5:G46"/>
    <mergeCell ref="A83:A84"/>
    <mergeCell ref="B84:D84"/>
    <mergeCell ref="B83:D83"/>
    <mergeCell ref="B82:D82"/>
    <mergeCell ref="B81:D81"/>
    <mergeCell ref="B80:D80"/>
    <mergeCell ref="E52:F52"/>
    <mergeCell ref="E51:F51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" r:id="rId4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9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" name="Drop Down 50">
              <controlPr defaultSize="0" print="0" autoLine="0" autoPict="0">
                <anchor>
                  <from>
                    <xdr:col>1</xdr:col>
                    <xdr:colOff>9525</xdr:colOff>
                    <xdr:row>23</xdr:row>
                    <xdr:rowOff>0</xdr:rowOff>
                  </from>
                  <to>
                    <xdr:col>2</xdr:col>
                    <xdr:colOff>885825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6" name="Drop Down 52">
              <controlPr defaultSize="0" print="0" autoLine="0" autoPict="0">
                <anchor>
                  <from>
                    <xdr:col>1</xdr:col>
                    <xdr:colOff>9525</xdr:colOff>
                    <xdr:row>42</xdr:row>
                    <xdr:rowOff>0</xdr:rowOff>
                  </from>
                  <to>
                    <xdr:col>2</xdr:col>
                    <xdr:colOff>885825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7" name="Button 113">
              <controlPr defaultSize="0" print="0" autoFill="0" autoPict="0" macro="[0]!Зафиксировать">
                <anchor moveWithCells="1">
                  <from>
                    <xdr:col>8</xdr:col>
                    <xdr:colOff>19050</xdr:colOff>
                    <xdr:row>7</xdr:row>
                    <xdr:rowOff>104775</xdr:rowOff>
                  </from>
                  <to>
                    <xdr:col>9</xdr:col>
                    <xdr:colOff>457200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58"/>
  <sheetViews>
    <sheetView topLeftCell="A7" workbookViewId="0">
      <selection activeCell="D28" sqref="D28:E30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44" t="s">
        <v>33</v>
      </c>
    </row>
    <row r="2" spans="1:14" x14ac:dyDescent="0.2">
      <c r="B2" t="s">
        <v>1</v>
      </c>
    </row>
    <row r="3" spans="1:14" x14ac:dyDescent="0.2">
      <c r="B3" s="26" t="s">
        <v>0</v>
      </c>
      <c r="C3" s="26"/>
      <c r="E3" t="s">
        <v>109</v>
      </c>
      <c r="M3" s="23"/>
      <c r="N3" s="23"/>
    </row>
    <row r="4" spans="1:14" x14ac:dyDescent="0.2">
      <c r="A4" s="406" t="s">
        <v>183</v>
      </c>
      <c r="B4" s="407"/>
      <c r="E4" t="s">
        <v>184</v>
      </c>
    </row>
    <row r="5" spans="1:14" x14ac:dyDescent="0.2">
      <c r="A5" s="408"/>
      <c r="B5" s="409"/>
      <c r="E5" t="s">
        <v>110</v>
      </c>
      <c r="N5" s="137"/>
    </row>
    <row r="6" spans="1:14" x14ac:dyDescent="0.2">
      <c r="A6" s="410"/>
      <c r="B6" s="411"/>
      <c r="E6" t="s">
        <v>112</v>
      </c>
    </row>
    <row r="7" spans="1:14" x14ac:dyDescent="0.2">
      <c r="A7" s="135" t="s">
        <v>18</v>
      </c>
      <c r="B7" s="136" t="s">
        <v>2</v>
      </c>
      <c r="E7" t="s">
        <v>111</v>
      </c>
    </row>
    <row r="8" spans="1:14" ht="13.5" thickBot="1" x14ac:dyDescent="0.25">
      <c r="A8" s="22" t="s">
        <v>20</v>
      </c>
      <c r="B8" s="9" t="s">
        <v>103</v>
      </c>
    </row>
    <row r="9" spans="1:14" ht="13.5" thickBot="1" x14ac:dyDescent="0.25">
      <c r="A9" s="3">
        <v>1</v>
      </c>
      <c r="B9" s="4">
        <v>1.5</v>
      </c>
      <c r="C9" s="5"/>
      <c r="E9" t="s">
        <v>113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400" t="s">
        <v>114</v>
      </c>
      <c r="E10" s="403" t="s">
        <v>181</v>
      </c>
      <c r="G10" s="400" t="s">
        <v>10</v>
      </c>
      <c r="H10" s="403" t="s">
        <v>182</v>
      </c>
      <c r="J10" s="400" t="s">
        <v>119</v>
      </c>
      <c r="K10" s="403" t="s">
        <v>120</v>
      </c>
    </row>
    <row r="11" spans="1:14" x14ac:dyDescent="0.2">
      <c r="A11" s="6">
        <v>3</v>
      </c>
      <c r="B11" s="7">
        <v>1.3</v>
      </c>
      <c r="C11" s="5"/>
      <c r="D11" s="401"/>
      <c r="E11" s="404"/>
      <c r="G11" s="401"/>
      <c r="H11" s="404"/>
      <c r="J11" s="401"/>
      <c r="K11" s="404"/>
    </row>
    <row r="12" spans="1:14" x14ac:dyDescent="0.2">
      <c r="A12" s="6">
        <v>4</v>
      </c>
      <c r="B12" s="7">
        <v>1.2</v>
      </c>
      <c r="C12" s="5"/>
      <c r="D12" s="401"/>
      <c r="E12" s="404"/>
      <c r="G12" s="401"/>
      <c r="H12" s="404"/>
      <c r="J12" s="401"/>
      <c r="K12" s="404"/>
    </row>
    <row r="13" spans="1:14" ht="13.5" thickBot="1" x14ac:dyDescent="0.25">
      <c r="A13" s="6">
        <v>5</v>
      </c>
      <c r="B13" s="7">
        <v>1.1499999999999999</v>
      </c>
      <c r="C13" s="5"/>
      <c r="D13" s="402"/>
      <c r="E13" s="405"/>
      <c r="G13" s="402"/>
      <c r="H13" s="405"/>
      <c r="J13" s="402"/>
      <c r="K13" s="405"/>
    </row>
    <row r="14" spans="1:14" x14ac:dyDescent="0.2">
      <c r="A14" s="6">
        <v>6</v>
      </c>
      <c r="B14" s="7">
        <v>1.1000000000000001</v>
      </c>
      <c r="C14" s="5"/>
      <c r="D14" s="143">
        <v>0</v>
      </c>
      <c r="E14" s="144">
        <v>1</v>
      </c>
      <c r="G14" s="143">
        <v>3</v>
      </c>
      <c r="H14" s="151">
        <v>1.1000000000000001</v>
      </c>
      <c r="J14" s="155">
        <v>0</v>
      </c>
      <c r="K14" s="158">
        <v>1</v>
      </c>
    </row>
    <row r="15" spans="1:14" x14ac:dyDescent="0.2">
      <c r="A15" s="6">
        <v>7</v>
      </c>
      <c r="B15" s="7">
        <v>1.05</v>
      </c>
      <c r="C15" s="5"/>
      <c r="D15" s="145">
        <v>2</v>
      </c>
      <c r="E15" s="146">
        <v>1.1000000000000001</v>
      </c>
      <c r="G15" s="145">
        <v>4</v>
      </c>
      <c r="H15" s="146">
        <v>1.2</v>
      </c>
      <c r="J15" s="156">
        <v>230</v>
      </c>
      <c r="K15" s="159">
        <v>1</v>
      </c>
    </row>
    <row r="16" spans="1:14" x14ac:dyDescent="0.2">
      <c r="A16" s="6">
        <v>8</v>
      </c>
      <c r="B16" s="7">
        <v>1</v>
      </c>
      <c r="C16" s="5"/>
      <c r="D16" s="145">
        <v>2.5</v>
      </c>
      <c r="E16" s="146">
        <v>1.3</v>
      </c>
      <c r="G16" s="145">
        <v>5</v>
      </c>
      <c r="H16" s="146">
        <v>1.5</v>
      </c>
      <c r="J16" s="156">
        <v>280</v>
      </c>
      <c r="K16" s="159">
        <v>1</v>
      </c>
    </row>
    <row r="17" spans="1:15" ht="13.5" thickBot="1" x14ac:dyDescent="0.25">
      <c r="A17" s="6">
        <v>9</v>
      </c>
      <c r="B17" s="7">
        <v>1</v>
      </c>
      <c r="C17" s="5"/>
      <c r="D17" s="145">
        <v>3</v>
      </c>
      <c r="E17" s="146">
        <v>1.5</v>
      </c>
      <c r="G17" s="147">
        <v>6</v>
      </c>
      <c r="H17" s="148">
        <v>2.5</v>
      </c>
      <c r="J17" s="157">
        <v>485</v>
      </c>
      <c r="K17" s="160">
        <v>1.2</v>
      </c>
    </row>
    <row r="18" spans="1:15" ht="13.5" thickBot="1" x14ac:dyDescent="0.25">
      <c r="A18" s="6">
        <v>10</v>
      </c>
      <c r="B18" s="7">
        <v>1</v>
      </c>
      <c r="C18" s="5"/>
      <c r="D18" s="147">
        <v>3.5</v>
      </c>
      <c r="E18" s="148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26" t="s">
        <v>5</v>
      </c>
      <c r="F22" s="26"/>
      <c r="G22" s="2"/>
      <c r="H22" s="25"/>
    </row>
    <row r="23" spans="1:15" x14ac:dyDescent="0.2">
      <c r="A23" s="6">
        <v>16</v>
      </c>
      <c r="B23" s="7">
        <v>1</v>
      </c>
      <c r="C23" s="5"/>
      <c r="D23" s="412" t="s">
        <v>251</v>
      </c>
      <c r="E23" s="413"/>
      <c r="G23" s="292"/>
      <c r="H23" s="292"/>
    </row>
    <row r="24" spans="1:15" x14ac:dyDescent="0.2">
      <c r="A24" s="6">
        <v>18</v>
      </c>
      <c r="B24" s="7">
        <v>1</v>
      </c>
      <c r="C24" s="5"/>
      <c r="D24" s="414"/>
      <c r="E24" s="415"/>
      <c r="G24" s="292"/>
      <c r="H24" s="292"/>
    </row>
    <row r="25" spans="1:15" x14ac:dyDescent="0.2">
      <c r="A25" s="6">
        <v>19</v>
      </c>
      <c r="B25" s="7">
        <v>1</v>
      </c>
      <c r="C25" s="5"/>
      <c r="D25" s="416"/>
      <c r="E25" s="417"/>
      <c r="G25" s="292"/>
      <c r="H25" s="292"/>
    </row>
    <row r="26" spans="1:15" x14ac:dyDescent="0.2">
      <c r="A26" s="6">
        <v>21</v>
      </c>
      <c r="B26" s="7">
        <v>1</v>
      </c>
      <c r="C26" s="5"/>
      <c r="D26" s="135" t="s">
        <v>21</v>
      </c>
      <c r="E26" s="136" t="s">
        <v>2</v>
      </c>
      <c r="F26" s="18"/>
      <c r="G26" s="290"/>
      <c r="H26" s="291"/>
    </row>
    <row r="27" spans="1:15" ht="13.5" thickBot="1" x14ac:dyDescent="0.25">
      <c r="A27" s="6">
        <v>22</v>
      </c>
      <c r="B27" s="7">
        <v>1</v>
      </c>
      <c r="C27" s="5"/>
      <c r="D27" s="22" t="s">
        <v>23</v>
      </c>
      <c r="E27" s="9" t="s">
        <v>22</v>
      </c>
      <c r="F27" s="27"/>
      <c r="G27" s="291"/>
      <c r="H27" s="18"/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27"/>
      <c r="G28" s="5"/>
      <c r="H28" s="5"/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27"/>
      <c r="G29" s="5"/>
      <c r="H29" s="5"/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5"/>
      <c r="H30" s="5"/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18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7"/>
    </row>
    <row r="34" spans="1:15" x14ac:dyDescent="0.2">
      <c r="A34" s="6">
        <v>49</v>
      </c>
      <c r="B34" s="7">
        <v>1</v>
      </c>
      <c r="C34" s="5"/>
      <c r="M34" s="28"/>
      <c r="N34" s="8"/>
      <c r="O34" s="36"/>
    </row>
    <row r="35" spans="1:15" x14ac:dyDescent="0.2">
      <c r="A35" s="6">
        <v>53</v>
      </c>
      <c r="B35" s="7">
        <v>1</v>
      </c>
      <c r="C35" s="5"/>
      <c r="M35" s="28"/>
      <c r="N35" s="8"/>
      <c r="O35" s="36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28"/>
      <c r="E40" s="8"/>
      <c r="F40" s="2"/>
      <c r="G40" s="28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25"/>
      <c r="L47" s="8"/>
    </row>
    <row r="48" spans="1:15" x14ac:dyDescent="0.2">
      <c r="C48" s="8"/>
      <c r="I48" s="17"/>
      <c r="L48" s="8"/>
      <c r="M48" s="8"/>
      <c r="N48" s="8"/>
    </row>
    <row r="49" spans="1:14" x14ac:dyDescent="0.2">
      <c r="A49" s="17"/>
      <c r="B49" s="8"/>
      <c r="C49" s="8"/>
      <c r="M49" s="8"/>
      <c r="N49" s="8"/>
    </row>
    <row r="50" spans="1:14" x14ac:dyDescent="0.2">
      <c r="A50" s="17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</sheetData>
  <mergeCells count="8">
    <mergeCell ref="J10:J13"/>
    <mergeCell ref="K10:K13"/>
    <mergeCell ref="A4:B6"/>
    <mergeCell ref="D23:E25"/>
    <mergeCell ref="E10:E13"/>
    <mergeCell ref="D10:D13"/>
    <mergeCell ref="G10:G13"/>
    <mergeCell ref="H10:H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R38"/>
  <sheetViews>
    <sheetView workbookViewId="0">
      <selection activeCell="Q5" sqref="Q5"/>
    </sheetView>
  </sheetViews>
  <sheetFormatPr defaultColWidth="9.140625" defaultRowHeight="12.75" x14ac:dyDescent="0.2"/>
  <cols>
    <col min="1" max="1" width="9.140625" style="225"/>
    <col min="2" max="2" width="6.42578125" style="225" customWidth="1"/>
    <col min="3" max="4" width="9.140625" style="225"/>
    <col min="5" max="5" width="28.5703125" style="225" customWidth="1"/>
    <col min="6" max="6" width="3.5703125" style="225" customWidth="1"/>
    <col min="7" max="7" width="6" style="225" customWidth="1"/>
    <col min="8" max="8" width="3.42578125" style="225" customWidth="1"/>
    <col min="9" max="9" width="5.5703125" style="225" customWidth="1"/>
    <col min="10" max="10" width="4.42578125" style="225" customWidth="1"/>
    <col min="11" max="11" width="10.85546875" style="225" customWidth="1"/>
    <col min="12" max="12" width="0" style="225" hidden="1" customWidth="1"/>
    <col min="13" max="17" width="9.140625" style="225"/>
    <col min="18" max="19" width="10.28515625" style="225" bestFit="1" customWidth="1"/>
    <col min="20" max="16384" width="9.140625" style="225"/>
  </cols>
  <sheetData>
    <row r="1" spans="2:18" s="224" customFormat="1" ht="59.25" customHeight="1" x14ac:dyDescent="0.2">
      <c r="B1" s="423">
        <f>Дата_расчета</f>
        <v>0</v>
      </c>
      <c r="C1" s="423"/>
      <c r="D1" s="423"/>
      <c r="F1" s="424" t="s">
        <v>214</v>
      </c>
      <c r="G1" s="424"/>
      <c r="H1" s="424"/>
      <c r="I1" s="424"/>
      <c r="J1" s="424"/>
      <c r="K1" s="424"/>
    </row>
    <row r="2" spans="2:18" ht="9" customHeight="1" x14ac:dyDescent="0.25">
      <c r="K2" s="226"/>
    </row>
    <row r="3" spans="2:18" s="227" customFormat="1" ht="15.75" x14ac:dyDescent="0.25">
      <c r="B3" s="425" t="s">
        <v>193</v>
      </c>
      <c r="C3" s="425"/>
      <c r="D3" s="425"/>
      <c r="E3" s="425"/>
      <c r="F3" s="425"/>
      <c r="G3" s="425"/>
      <c r="H3" s="425"/>
      <c r="I3" s="425"/>
      <c r="J3" s="425"/>
      <c r="K3" s="425"/>
      <c r="N3" s="227" t="s">
        <v>194</v>
      </c>
      <c r="Q3" s="227">
        <v>6</v>
      </c>
      <c r="R3" s="227">
        <f>10^-5</f>
        <v>1.0000000000000001E-5</v>
      </c>
    </row>
    <row r="4" spans="2:18" ht="9.75" customHeight="1" x14ac:dyDescent="0.2">
      <c r="B4" s="228"/>
      <c r="C4" s="228"/>
      <c r="D4" s="228"/>
      <c r="E4" s="228"/>
      <c r="F4" s="228"/>
      <c r="G4" s="228"/>
      <c r="H4" s="228"/>
      <c r="I4" s="228"/>
      <c r="J4" s="228"/>
      <c r="K4" s="228"/>
    </row>
    <row r="5" spans="2:18" ht="15.75" x14ac:dyDescent="0.2">
      <c r="B5" s="426" t="s">
        <v>97</v>
      </c>
      <c r="C5" s="426"/>
      <c r="D5" s="426"/>
      <c r="E5" s="426"/>
      <c r="F5" s="426"/>
      <c r="G5" s="426"/>
      <c r="H5" s="426"/>
      <c r="I5" s="426"/>
      <c r="J5" s="426"/>
      <c r="K5" s="426"/>
      <c r="N5" s="225" t="s">
        <v>195</v>
      </c>
      <c r="Q5" s="225">
        <v>0.2</v>
      </c>
    </row>
    <row r="6" spans="2:18" ht="9" customHeight="1" x14ac:dyDescent="0.2">
      <c r="B6" s="229"/>
      <c r="C6" s="229"/>
      <c r="D6" s="229"/>
      <c r="E6" s="229"/>
      <c r="F6" s="229"/>
      <c r="G6" s="229"/>
      <c r="H6" s="229"/>
      <c r="I6" s="229"/>
      <c r="J6" s="229"/>
      <c r="K6" s="229"/>
    </row>
    <row r="7" spans="2:18" ht="15.75" x14ac:dyDescent="0.2">
      <c r="B7" s="230" t="s">
        <v>6</v>
      </c>
      <c r="C7" s="231"/>
      <c r="D7" s="231"/>
      <c r="E7" s="231"/>
      <c r="F7" s="422" t="str">
        <f>fullname</f>
        <v>Заказчик</v>
      </c>
      <c r="G7" s="422"/>
      <c r="H7" s="422"/>
      <c r="I7" s="422"/>
      <c r="J7" s="422"/>
      <c r="K7" s="422"/>
    </row>
    <row r="8" spans="2:18" ht="15.75" x14ac:dyDescent="0.2">
      <c r="B8" s="230" t="s">
        <v>8</v>
      </c>
      <c r="C8" s="231"/>
      <c r="D8" s="231"/>
      <c r="E8" s="231"/>
      <c r="F8" s="422" t="str">
        <f>blockname</f>
        <v>Децимальный номер платы</v>
      </c>
      <c r="G8" s="422"/>
      <c r="H8" s="422"/>
      <c r="I8" s="422"/>
      <c r="J8" s="422"/>
      <c r="K8" s="422"/>
    </row>
    <row r="9" spans="2:18" ht="15.75" x14ac:dyDescent="0.25">
      <c r="B9" s="230" t="s">
        <v>196</v>
      </c>
      <c r="C9" s="231"/>
      <c r="D9" s="231"/>
      <c r="E9" s="231"/>
      <c r="F9" s="421">
        <f>П</f>
        <v>20</v>
      </c>
      <c r="G9" s="421"/>
      <c r="H9" s="421"/>
      <c r="I9" s="421"/>
      <c r="J9" s="421"/>
      <c r="K9" s="421"/>
    </row>
    <row r="10" spans="2:18" ht="15.75" x14ac:dyDescent="0.2">
      <c r="B10" s="418" t="s">
        <v>197</v>
      </c>
      <c r="C10" s="419"/>
      <c r="D10" s="419"/>
      <c r="E10" s="420"/>
      <c r="F10" s="421">
        <f>nib</f>
        <v>3</v>
      </c>
      <c r="G10" s="421"/>
      <c r="H10" s="421"/>
      <c r="I10" s="421"/>
      <c r="J10" s="421"/>
      <c r="K10" s="421"/>
    </row>
    <row r="11" spans="2:18" ht="15.75" x14ac:dyDescent="0.2">
      <c r="B11" s="418" t="s">
        <v>104</v>
      </c>
      <c r="C11" s="419"/>
      <c r="D11" s="419"/>
      <c r="E11" s="420"/>
      <c r="F11" s="421">
        <f>1-first</f>
        <v>0</v>
      </c>
      <c r="G11" s="421"/>
      <c r="H11" s="421"/>
      <c r="I11" s="421"/>
      <c r="J11" s="421"/>
      <c r="K11" s="421"/>
    </row>
    <row r="12" spans="2:18" ht="15.75" x14ac:dyDescent="0.2">
      <c r="B12" s="232" t="s">
        <v>198</v>
      </c>
      <c r="C12" s="233"/>
      <c r="D12" s="233"/>
      <c r="E12" s="234"/>
      <c r="F12" s="421">
        <f>N</f>
        <v>7</v>
      </c>
      <c r="G12" s="421"/>
      <c r="H12" s="421"/>
      <c r="I12" s="421"/>
      <c r="J12" s="421"/>
      <c r="K12" s="421"/>
    </row>
    <row r="13" spans="2:18" ht="31.5" customHeight="1" x14ac:dyDescent="0.2">
      <c r="B13" s="428" t="s">
        <v>199</v>
      </c>
      <c r="C13" s="429"/>
      <c r="D13" s="429"/>
      <c r="E13" s="430"/>
      <c r="F13" s="421">
        <f>etcompl</f>
        <v>1</v>
      </c>
      <c r="G13" s="421"/>
      <c r="H13" s="421"/>
      <c r="I13" s="421"/>
      <c r="J13" s="421"/>
      <c r="K13" s="421"/>
    </row>
    <row r="14" spans="2:18" ht="15.75" x14ac:dyDescent="0.25">
      <c r="B14" s="230" t="s">
        <v>200</v>
      </c>
      <c r="C14" s="231"/>
      <c r="D14" s="231"/>
      <c r="E14" s="231"/>
      <c r="F14" s="421">
        <f>etpoints</f>
        <v>600</v>
      </c>
      <c r="G14" s="421"/>
      <c r="H14" s="421"/>
      <c r="I14" s="421"/>
      <c r="J14" s="421"/>
      <c r="K14" s="421"/>
    </row>
    <row r="15" spans="2:18" ht="9" customHeight="1" x14ac:dyDescent="0.2">
      <c r="B15" s="227"/>
      <c r="C15" s="227"/>
      <c r="D15" s="227"/>
      <c r="E15" s="227"/>
      <c r="F15" s="227"/>
      <c r="G15" s="227"/>
      <c r="H15" s="227"/>
      <c r="I15" s="227"/>
      <c r="J15" s="227"/>
      <c r="K15" s="227"/>
    </row>
    <row r="16" spans="2:18" ht="15.75" x14ac:dyDescent="0.2">
      <c r="B16" s="426" t="s">
        <v>98</v>
      </c>
      <c r="C16" s="431"/>
      <c r="D16" s="431"/>
      <c r="E16" s="431"/>
      <c r="F16" s="431"/>
      <c r="G16" s="431"/>
      <c r="H16" s="431"/>
      <c r="I16" s="431"/>
      <c r="J16" s="431"/>
      <c r="K16" s="431"/>
    </row>
    <row r="17" spans="2:12" ht="9.75" customHeight="1" x14ac:dyDescent="0.2">
      <c r="B17" s="235"/>
      <c r="C17" s="236"/>
      <c r="D17" s="236"/>
      <c r="E17" s="236"/>
      <c r="F17" s="236"/>
      <c r="G17" s="236"/>
      <c r="H17" s="236"/>
      <c r="I17" s="236"/>
      <c r="J17" s="236"/>
      <c r="K17" s="236"/>
    </row>
    <row r="18" spans="2:12" ht="15.75" x14ac:dyDescent="0.25">
      <c r="B18" s="237" t="s">
        <v>105</v>
      </c>
      <c r="C18" s="432" t="s">
        <v>201</v>
      </c>
      <c r="D18" s="433"/>
      <c r="E18" s="433"/>
      <c r="F18" s="433"/>
      <c r="G18" s="433"/>
      <c r="H18" s="433"/>
      <c r="I18" s="433"/>
      <c r="J18" s="434"/>
      <c r="K18" s="238">
        <f>Цнч</f>
        <v>1486.46</v>
      </c>
    </row>
    <row r="19" spans="2:12" ht="15.75" x14ac:dyDescent="0.25">
      <c r="B19" s="237" t="s">
        <v>34</v>
      </c>
      <c r="C19" s="418" t="s">
        <v>202</v>
      </c>
      <c r="D19" s="419"/>
      <c r="E19" s="419"/>
      <c r="F19" s="419"/>
      <c r="G19" s="419"/>
      <c r="H19" s="419"/>
      <c r="I19" s="419"/>
      <c r="J19" s="420"/>
      <c r="K19" s="239">
        <v>1.2</v>
      </c>
    </row>
    <row r="20" spans="2:12" ht="15.75" x14ac:dyDescent="0.25">
      <c r="B20" s="237" t="s">
        <v>203</v>
      </c>
      <c r="C20" s="435" t="s">
        <v>204</v>
      </c>
      <c r="D20" s="435"/>
      <c r="E20" s="435"/>
      <c r="F20" s="435"/>
      <c r="G20" s="435"/>
      <c r="H20" s="435"/>
      <c r="I20" s="435"/>
      <c r="J20" s="435"/>
      <c r="K20" s="239">
        <f>Nз</f>
        <v>7</v>
      </c>
    </row>
    <row r="21" spans="2:12" ht="15.75" hidden="1" x14ac:dyDescent="0.25">
      <c r="B21" s="237" t="s">
        <v>146</v>
      </c>
      <c r="C21" s="436" t="s">
        <v>147</v>
      </c>
      <c r="D21" s="437"/>
      <c r="E21" s="437"/>
      <c r="F21" s="437"/>
      <c r="G21" s="437"/>
      <c r="H21" s="437"/>
      <c r="I21" s="437"/>
      <c r="J21" s="438"/>
      <c r="K21" s="239"/>
    </row>
    <row r="22" spans="2:12" ht="15.75" x14ac:dyDescent="0.25">
      <c r="B22" s="237" t="s">
        <v>103</v>
      </c>
      <c r="C22" s="240" t="s">
        <v>205</v>
      </c>
      <c r="D22" s="241"/>
      <c r="E22" s="241"/>
      <c r="F22" s="241"/>
      <c r="G22" s="241"/>
      <c r="H22" s="241"/>
      <c r="I22" s="241"/>
      <c r="J22" s="242"/>
      <c r="K22" s="239">
        <f>Коэффициент_серийности</f>
        <v>1.05</v>
      </c>
    </row>
    <row r="23" spans="2:12" ht="15.75" x14ac:dyDescent="0.25">
      <c r="B23" s="237" t="s">
        <v>35</v>
      </c>
      <c r="C23" s="427" t="s">
        <v>206</v>
      </c>
      <c r="D23" s="427"/>
      <c r="E23" s="427"/>
      <c r="F23" s="427"/>
      <c r="G23" s="427"/>
      <c r="H23" s="427"/>
      <c r="I23" s="427"/>
      <c r="J23" s="427"/>
      <c r="K23" s="243">
        <f>Трпп</f>
        <v>1</v>
      </c>
    </row>
    <row r="24" spans="2:12" ht="35.25" customHeight="1" x14ac:dyDescent="0.2">
      <c r="B24" s="440" t="s">
        <v>36</v>
      </c>
      <c r="C24" s="442" t="s">
        <v>207</v>
      </c>
      <c r="D24" s="443"/>
      <c r="E24" s="443"/>
      <c r="F24" s="443"/>
      <c r="G24" s="443"/>
      <c r="H24" s="443"/>
      <c r="I24" s="443"/>
      <c r="J24" s="444"/>
      <c r="K24" s="445">
        <f>Коп*(Трпп+Nз*Кс*(Q3*R3*F14+Q5))/Nз</f>
        <v>0.4687885714285715</v>
      </c>
    </row>
    <row r="25" spans="2:12" ht="60" customHeight="1" x14ac:dyDescent="0.2">
      <c r="B25" s="441"/>
      <c r="C25" s="447"/>
      <c r="D25" s="448"/>
      <c r="E25" s="448"/>
      <c r="F25" s="448"/>
      <c r="G25" s="448"/>
      <c r="H25" s="448"/>
      <c r="I25" s="448"/>
      <c r="J25" s="449"/>
      <c r="K25" s="446"/>
    </row>
    <row r="26" spans="2:12" ht="15.75" x14ac:dyDescent="0.2">
      <c r="B26" s="440" t="s">
        <v>208</v>
      </c>
      <c r="C26" s="442" t="s">
        <v>209</v>
      </c>
      <c r="D26" s="443"/>
      <c r="E26" s="443"/>
      <c r="F26" s="443"/>
      <c r="G26" s="443"/>
      <c r="H26" s="443"/>
      <c r="I26" s="443"/>
      <c r="J26" s="444"/>
      <c r="K26" s="445">
        <f>Коп*Кс*(Q3*R3*m+Q5)</f>
        <v>0.29736000000000001</v>
      </c>
    </row>
    <row r="27" spans="2:12" ht="60" customHeight="1" x14ac:dyDescent="0.2">
      <c r="B27" s="441"/>
      <c r="C27" s="447"/>
      <c r="D27" s="448"/>
      <c r="E27" s="448"/>
      <c r="F27" s="448"/>
      <c r="G27" s="448"/>
      <c r="H27" s="448"/>
      <c r="I27" s="448"/>
      <c r="J27" s="449"/>
      <c r="K27" s="446"/>
    </row>
    <row r="28" spans="2:12" ht="11.25" customHeight="1" x14ac:dyDescent="0.2">
      <c r="B28" s="227"/>
      <c r="C28" s="227"/>
      <c r="D28" s="227"/>
      <c r="E28" s="227"/>
      <c r="F28" s="227"/>
      <c r="G28" s="227"/>
      <c r="H28" s="227"/>
      <c r="I28" s="227"/>
      <c r="J28" s="227"/>
      <c r="K28" s="227"/>
    </row>
    <row r="29" spans="2:12" ht="15.75" x14ac:dyDescent="0.2">
      <c r="B29" s="426" t="s">
        <v>99</v>
      </c>
      <c r="C29" s="426"/>
      <c r="D29" s="426"/>
      <c r="E29" s="426"/>
      <c r="F29" s="426"/>
      <c r="G29" s="426"/>
      <c r="H29" s="426"/>
      <c r="I29" s="426"/>
      <c r="J29" s="426"/>
      <c r="K29" s="426"/>
    </row>
    <row r="30" spans="2:12" ht="13.5" customHeight="1" thickBot="1" x14ac:dyDescent="0.25">
      <c r="B30" s="229"/>
      <c r="C30" s="229"/>
      <c r="D30" s="229"/>
      <c r="E30" s="229"/>
      <c r="F30" s="229"/>
      <c r="G30" s="229"/>
      <c r="H30" s="229"/>
      <c r="I30" s="229"/>
      <c r="J30" s="229"/>
      <c r="K30" s="229"/>
    </row>
    <row r="31" spans="2:12" ht="15.75" x14ac:dyDescent="0.25">
      <c r="B31" s="450" t="s">
        <v>210</v>
      </c>
      <c r="C31" s="451"/>
      <c r="D31" s="451"/>
      <c r="E31" s="451"/>
      <c r="F31" s="451"/>
      <c r="G31" s="451"/>
      <c r="H31" s="451"/>
      <c r="I31" s="451"/>
      <c r="J31" s="451"/>
      <c r="K31" s="452"/>
    </row>
    <row r="32" spans="2:12" ht="15.75" customHeight="1" x14ac:dyDescent="0.25">
      <c r="B32" s="453" t="s">
        <v>211</v>
      </c>
      <c r="C32" s="454"/>
      <c r="D32" s="454"/>
      <c r="E32" s="454"/>
      <c r="F32" s="454"/>
      <c r="G32" s="454"/>
      <c r="H32" s="454"/>
      <c r="I32" s="454"/>
      <c r="J32" s="454"/>
      <c r="K32" s="244">
        <f>CEILING(K24*K18/F10,0.01)</f>
        <v>232.28</v>
      </c>
      <c r="L32" s="225" t="e">
        <f>(447.43*Тррп+646.46*(0.24+0.00006*m+(0.12+0.00003*m)*(N-1)))/N</f>
        <v>#NAME?</v>
      </c>
    </row>
    <row r="33" spans="2:12" ht="15.75" x14ac:dyDescent="0.25">
      <c r="B33" s="455" t="s">
        <v>212</v>
      </c>
      <c r="C33" s="456"/>
      <c r="D33" s="456"/>
      <c r="E33" s="456"/>
      <c r="F33" s="456"/>
      <c r="G33" s="456"/>
      <c r="H33" s="456"/>
      <c r="I33" s="456"/>
      <c r="J33" s="456"/>
      <c r="K33" s="457"/>
    </row>
    <row r="34" spans="2:12" ht="16.5" customHeight="1" thickBot="1" x14ac:dyDescent="0.25">
      <c r="B34" s="458" t="s">
        <v>213</v>
      </c>
      <c r="C34" s="459"/>
      <c r="D34" s="459"/>
      <c r="E34" s="459"/>
      <c r="F34" s="459"/>
      <c r="G34" s="459"/>
      <c r="H34" s="459"/>
      <c r="I34" s="459"/>
      <c r="J34" s="460"/>
      <c r="K34" s="245">
        <f>CEILING(K26*K18/F10,0.01)</f>
        <v>147.34</v>
      </c>
      <c r="L34" s="225">
        <f>(646.46*(0.24+0.00003*m+(0.12+0.000003*m)*(N-1)))/N</f>
        <v>91.317092571428574</v>
      </c>
    </row>
    <row r="35" spans="2:12" ht="15.75" x14ac:dyDescent="0.25">
      <c r="B35" s="246"/>
      <c r="C35" s="227"/>
      <c r="D35" s="227"/>
      <c r="E35" s="227"/>
      <c r="F35" s="227"/>
      <c r="G35" s="227"/>
      <c r="H35" s="227"/>
      <c r="I35" s="227"/>
      <c r="J35" s="227"/>
      <c r="K35" s="248">
        <f>IF(Контроль_первичный,K32,K34)</f>
        <v>147.34</v>
      </c>
    </row>
    <row r="36" spans="2:12" ht="30.75" customHeight="1" x14ac:dyDescent="0.25">
      <c r="B36" s="439" t="str">
        <f>"Итоговая стоимость "&amp;IF(Контроль_первичный,"первичного","повторного")&amp;" электроконтроля одной печатной платы составляет  без НДС"</f>
        <v>Итоговая стоимость повторного электроконтроля одной печатной платы составляет  без НДС</v>
      </c>
      <c r="C36" s="439"/>
      <c r="D36" s="439"/>
      <c r="E36" s="439"/>
      <c r="F36" s="439"/>
      <c r="G36" s="439"/>
      <c r="H36" s="439"/>
      <c r="I36" s="439"/>
      <c r="K36" s="247" t="str">
        <f>CONCATENATE(Цэкатг," руб.")</f>
        <v>147.34 руб.</v>
      </c>
    </row>
    <row r="37" spans="2:12" ht="15" x14ac:dyDescent="0.2">
      <c r="B37" s="227"/>
      <c r="C37" s="227"/>
      <c r="D37" s="227"/>
      <c r="E37" s="227"/>
      <c r="F37" s="227"/>
      <c r="G37" s="227"/>
      <c r="H37" s="227"/>
      <c r="I37" s="227"/>
      <c r="J37" s="227"/>
      <c r="K37" s="227"/>
    </row>
    <row r="38" spans="2:12" ht="15.75" x14ac:dyDescent="0.25">
      <c r="B38" s="93" t="s">
        <v>223</v>
      </c>
      <c r="C38" s="93"/>
      <c r="D38" s="183"/>
      <c r="E38" s="184"/>
      <c r="F38" s="184"/>
      <c r="G38" s="43"/>
      <c r="I38" s="227"/>
      <c r="J38" s="227"/>
      <c r="K38" s="185"/>
    </row>
  </sheetData>
  <mergeCells count="35">
    <mergeCell ref="B36:I36"/>
    <mergeCell ref="B24:B25"/>
    <mergeCell ref="C24:J24"/>
    <mergeCell ref="K24:K25"/>
    <mergeCell ref="C25:J25"/>
    <mergeCell ref="B26:B27"/>
    <mergeCell ref="C26:J26"/>
    <mergeCell ref="K26:K27"/>
    <mergeCell ref="C27:J27"/>
    <mergeCell ref="B29:K29"/>
    <mergeCell ref="B31:K31"/>
    <mergeCell ref="B32:J32"/>
    <mergeCell ref="B33:K33"/>
    <mergeCell ref="B34:J34"/>
    <mergeCell ref="C23:J23"/>
    <mergeCell ref="B11:E11"/>
    <mergeCell ref="F11:K11"/>
    <mergeCell ref="F12:K12"/>
    <mergeCell ref="B13:E13"/>
    <mergeCell ref="F13:K13"/>
    <mergeCell ref="F14:K14"/>
    <mergeCell ref="B16:K16"/>
    <mergeCell ref="C18:J18"/>
    <mergeCell ref="C19:J19"/>
    <mergeCell ref="C20:J20"/>
    <mergeCell ref="C21:J21"/>
    <mergeCell ref="B10:E10"/>
    <mergeCell ref="F10:K10"/>
    <mergeCell ref="F8:K8"/>
    <mergeCell ref="B1:D1"/>
    <mergeCell ref="F1:K1"/>
    <mergeCell ref="B3:K3"/>
    <mergeCell ref="B5:K5"/>
    <mergeCell ref="F7:K7"/>
    <mergeCell ref="F9:K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59393" r:id="rId4">
          <objectPr defaultSize="0" autoPict="0" r:id="rId5">
            <anchor moveWithCells="1">
              <from>
                <xdr:col>2</xdr:col>
                <xdr:colOff>28575</xdr:colOff>
                <xdr:row>24</xdr:row>
                <xdr:rowOff>9525</xdr:rowOff>
              </from>
              <to>
                <xdr:col>4</xdr:col>
                <xdr:colOff>1533525</xdr:colOff>
                <xdr:row>24</xdr:row>
                <xdr:rowOff>714375</xdr:rowOff>
              </to>
            </anchor>
          </objectPr>
        </oleObject>
      </mc:Choice>
      <mc:Fallback>
        <oleObject progId="Mathcad" shapeId="59393" r:id="rId4"/>
      </mc:Fallback>
    </mc:AlternateContent>
    <mc:AlternateContent xmlns:mc="http://schemas.openxmlformats.org/markup-compatibility/2006">
      <mc:Choice Requires="x14">
        <oleObject progId="Mathcad" shapeId="59394" r:id="rId6">
          <objectPr defaultSize="0" autoPict="0" r:id="rId7">
            <anchor moveWithCells="1">
              <from>
                <xdr:col>2</xdr:col>
                <xdr:colOff>123825</xdr:colOff>
                <xdr:row>26</xdr:row>
                <xdr:rowOff>200025</xdr:rowOff>
              </from>
              <to>
                <xdr:col>4</xdr:col>
                <xdr:colOff>828675</xdr:colOff>
                <xdr:row>26</xdr:row>
                <xdr:rowOff>628650</xdr:rowOff>
              </to>
            </anchor>
          </objectPr>
        </oleObject>
      </mc:Choice>
      <mc:Fallback>
        <oleObject progId="Mathcad" shapeId="59394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O127"/>
  <sheetViews>
    <sheetView topLeftCell="C40" zoomScale="130" zoomScaleNormal="130" workbookViewId="0">
      <selection activeCell="C70" sqref="C70"/>
    </sheetView>
  </sheetViews>
  <sheetFormatPr defaultColWidth="9.140625" defaultRowHeight="11.25" x14ac:dyDescent="0.2"/>
  <cols>
    <col min="1" max="1" width="2.140625" style="43" customWidth="1"/>
    <col min="2" max="2" width="4.28515625" style="43" customWidth="1"/>
    <col min="3" max="3" width="51.42578125" style="43" bestFit="1" customWidth="1"/>
    <col min="4" max="4" width="37.28515625" style="43" hidden="1" customWidth="1"/>
    <col min="5" max="5" width="9.140625" style="43" customWidth="1"/>
    <col min="6" max="6" width="9.28515625" style="43" customWidth="1"/>
    <col min="7" max="7" width="8" style="43" customWidth="1"/>
    <col min="8" max="8" width="5.5703125" style="43" customWidth="1"/>
    <col min="9" max="9" width="8.85546875" style="43" customWidth="1"/>
    <col min="10" max="10" width="10.28515625" style="43" customWidth="1"/>
    <col min="11" max="11" width="2.28515625" style="43" customWidth="1"/>
    <col min="12" max="12" width="66" style="43" bestFit="1" customWidth="1"/>
    <col min="13" max="13" width="1.85546875" style="43" customWidth="1"/>
    <col min="14" max="15" width="9.140625" style="43" customWidth="1"/>
    <col min="16" max="16" width="2.28515625" style="43" bestFit="1" customWidth="1"/>
    <col min="17" max="17" width="18.28515625" style="43" bestFit="1" customWidth="1"/>
    <col min="18" max="21" width="9.140625" style="43"/>
    <col min="22" max="22" width="9.7109375" style="43" bestFit="1" customWidth="1"/>
    <col min="23" max="23" width="9.140625" style="43"/>
    <col min="24" max="24" width="6.28515625" style="43" customWidth="1"/>
    <col min="25" max="16384" width="9.140625" style="43"/>
  </cols>
  <sheetData>
    <row r="1" spans="2:14" ht="23.45" customHeight="1" x14ac:dyDescent="0.2">
      <c r="B1" s="461" t="s">
        <v>133</v>
      </c>
      <c r="C1" s="461"/>
      <c r="D1" s="461"/>
      <c r="E1" s="461"/>
      <c r="F1" s="461"/>
      <c r="G1" s="461"/>
      <c r="H1" s="461"/>
      <c r="I1" s="461"/>
      <c r="J1" s="461"/>
    </row>
    <row r="2" spans="2:14" ht="12.75" x14ac:dyDescent="0.2">
      <c r="B2" s="461" t="str">
        <f>CONCATENATE("на изготовление ",Наименование_платы," в количестве ",Расчет!C7," шт.")</f>
        <v>на изготовление Децимальный номер платы в количестве 20 шт.</v>
      </c>
      <c r="C2" s="461"/>
      <c r="D2" s="461"/>
      <c r="E2" s="461"/>
      <c r="F2" s="461"/>
      <c r="G2" s="461"/>
      <c r="H2" s="461"/>
      <c r="I2" s="461"/>
      <c r="J2" s="461"/>
    </row>
    <row r="3" spans="2:14" ht="12.75" x14ac:dyDescent="0.2">
      <c r="B3" s="461" t="str">
        <f>"Заявка "&amp;Номер_письма&amp;" от "&amp;Заказчик</f>
        <v>Заявка Номер заказа от дата от Заказчик</v>
      </c>
      <c r="C3" s="461"/>
      <c r="D3" s="461"/>
      <c r="E3" s="461"/>
      <c r="F3" s="461"/>
      <c r="G3" s="461"/>
      <c r="H3" s="461"/>
      <c r="I3" s="461"/>
      <c r="J3" s="461"/>
    </row>
    <row r="4" spans="2:14" ht="12.75" x14ac:dyDescent="0.2">
      <c r="D4"/>
      <c r="E4"/>
      <c r="F4"/>
      <c r="G4"/>
      <c r="H4"/>
      <c r="I4"/>
    </row>
    <row r="5" spans="2:14" ht="12.75" x14ac:dyDescent="0.2">
      <c r="B5" s="462" t="s">
        <v>409</v>
      </c>
      <c r="C5" s="462"/>
      <c r="D5" s="462"/>
      <c r="E5" s="462"/>
      <c r="F5" s="462"/>
      <c r="G5" s="462"/>
      <c r="H5" s="462"/>
      <c r="I5" s="462"/>
      <c r="J5" s="462"/>
    </row>
    <row r="6" spans="2:14" ht="12.75" x14ac:dyDescent="0.2">
      <c r="B6" s="95"/>
      <c r="C6" s="95"/>
      <c r="D6" s="41"/>
      <c r="E6" s="95"/>
      <c r="F6" s="95"/>
      <c r="G6" s="95"/>
      <c r="H6" s="95"/>
      <c r="I6" s="95"/>
      <c r="J6" s="95"/>
    </row>
    <row r="7" spans="2:14" ht="10.15" customHeight="1" x14ac:dyDescent="0.2">
      <c r="B7" s="463" t="s">
        <v>38</v>
      </c>
      <c r="C7" s="464" t="s">
        <v>55</v>
      </c>
      <c r="D7" s="463" t="s">
        <v>228</v>
      </c>
      <c r="E7" s="463" t="s">
        <v>136</v>
      </c>
      <c r="F7" s="463"/>
      <c r="G7" s="463" t="s">
        <v>56</v>
      </c>
      <c r="H7" s="463" t="s">
        <v>101</v>
      </c>
      <c r="I7" s="463" t="s">
        <v>135</v>
      </c>
      <c r="J7" s="463" t="s">
        <v>134</v>
      </c>
    </row>
    <row r="8" spans="2:14" ht="24" customHeight="1" x14ac:dyDescent="0.2">
      <c r="B8" s="463"/>
      <c r="C8" s="465"/>
      <c r="D8" s="463"/>
      <c r="E8" s="190" t="s">
        <v>305</v>
      </c>
      <c r="F8" s="190" t="s">
        <v>306</v>
      </c>
      <c r="G8" s="463"/>
      <c r="H8" s="463"/>
      <c r="I8" s="463"/>
      <c r="J8" s="463"/>
      <c r="L8" s="307" t="s">
        <v>255</v>
      </c>
    </row>
    <row r="9" spans="2:14" x14ac:dyDescent="0.2">
      <c r="B9" s="58">
        <v>1</v>
      </c>
      <c r="C9" s="58">
        <v>2</v>
      </c>
      <c r="D9" s="58">
        <v>2</v>
      </c>
      <c r="E9" s="58">
        <v>3</v>
      </c>
      <c r="F9" s="58">
        <v>4</v>
      </c>
      <c r="G9" s="58">
        <v>5</v>
      </c>
      <c r="H9" s="58">
        <v>6</v>
      </c>
      <c r="I9" s="58">
        <v>7</v>
      </c>
      <c r="J9" s="58">
        <v>8</v>
      </c>
    </row>
    <row r="10" spans="2:14" x14ac:dyDescent="0.2">
      <c r="B10" s="59">
        <v>1</v>
      </c>
      <c r="C10" s="222" t="str">
        <f>getfield($L10,1)</f>
        <v>Аммиак марка А</v>
      </c>
      <c r="D10" s="174" t="s">
        <v>254</v>
      </c>
      <c r="E10" s="335">
        <f>_xlfn.NUMBERVALUE(getfield($L10,4))</f>
        <v>0</v>
      </c>
      <c r="F10" s="335">
        <f>_xlfn.NUMBERVALUE(getfield($L10,5))</f>
        <v>2.5099999999999998</v>
      </c>
      <c r="G10" s="336">
        <f t="shared" ref="G10:G45" si="0">2*(IF((F10&gt;0),F10,0)+(Листов_материала-1)*IF(E10&gt;0,E10,0))*(Площадь_заготовок/100)*Квг</f>
        <v>4.2751324000000004</v>
      </c>
      <c r="H10" s="175" t="str">
        <f>getfield($L10,2)</f>
        <v>кг</v>
      </c>
      <c r="I10" s="310">
        <f>ROUND(_xlfn.NUMBERVALUE(getfield($L10,3)),2)</f>
        <v>93.75</v>
      </c>
      <c r="J10" s="101">
        <f t="shared" ref="J10:J50" si="1">I10*G10</f>
        <v>400.79366250000004</v>
      </c>
      <c r="L10" s="43" t="str">
        <f>IFERROR(getMatter(D10),"")</f>
        <v>Аммиак марка А|кг|93.75|0|2.51|id - 91</v>
      </c>
      <c r="N10" s="43" t="s">
        <v>256</v>
      </c>
    </row>
    <row r="11" spans="2:14" x14ac:dyDescent="0.2">
      <c r="B11" s="59">
        <v>2</v>
      </c>
      <c r="C11" s="222" t="str">
        <f t="shared" ref="C11:C62" si="2">getfield($L11,1)</f>
        <v>Аммоний сернокислый</v>
      </c>
      <c r="D11" s="174" t="s">
        <v>257</v>
      </c>
      <c r="E11" s="335">
        <f t="shared" ref="E11:E62" si="3">_xlfn.NUMBERVALUE(getfield($L11,4))</f>
        <v>0</v>
      </c>
      <c r="F11" s="335">
        <f t="shared" ref="F11:F62" si="4">_xlfn.NUMBERVALUE(getfield($L11,5))</f>
        <v>0.2</v>
      </c>
      <c r="G11" s="336">
        <f t="shared" si="0"/>
        <v>0.34064800000000006</v>
      </c>
      <c r="H11" s="175" t="str">
        <f t="shared" ref="H11:H62" si="5">getfield($L11,2)</f>
        <v>кг</v>
      </c>
      <c r="I11" s="310">
        <f t="shared" ref="I11:I65" si="6">ROUND(_xlfn.NUMBERVALUE(getfield($L11,3)),2)</f>
        <v>206.67</v>
      </c>
      <c r="J11" s="101">
        <f t="shared" si="1"/>
        <v>70.401722160000006</v>
      </c>
      <c r="K11" s="60"/>
      <c r="L11" s="43" t="str">
        <f>IFERROR(getMatter(D11),"")</f>
        <v>Аммоний сернокислый|кг|206.67|0|0.2|id - 6</v>
      </c>
    </row>
    <row r="12" spans="2:14" x14ac:dyDescent="0.2">
      <c r="B12" s="59">
        <v>3</v>
      </c>
      <c r="C12" s="222" t="str">
        <f t="shared" si="2"/>
        <v>Аноды медные АМФ</v>
      </c>
      <c r="D12" s="174" t="s">
        <v>410</v>
      </c>
      <c r="E12" s="335">
        <f t="shared" si="3"/>
        <v>0</v>
      </c>
      <c r="F12" s="335">
        <f t="shared" si="4"/>
        <v>0.15</v>
      </c>
      <c r="G12" s="336">
        <f t="shared" ref="G12" si="7">2*(IF((F12&gt;0),F12,0)+(Листов_материала-1)*IF(E12&gt;0,E12,0))*(Площадь_заготовок/100)*Квг</f>
        <v>0.25548599999999999</v>
      </c>
      <c r="H12" s="175" t="str">
        <f t="shared" si="5"/>
        <v>кг</v>
      </c>
      <c r="I12" s="310">
        <f t="shared" si="6"/>
        <v>1185.77</v>
      </c>
      <c r="J12" s="101">
        <f t="shared" ref="J12" si="8">I12*G12</f>
        <v>302.94763422</v>
      </c>
      <c r="K12" s="60"/>
      <c r="L12" s="43" t="str">
        <f>IFERROR(getMatter(D12),"")</f>
        <v>Аноды медные АМФ|кг|1185.77|0|0.15|id - 7</v>
      </c>
    </row>
    <row r="13" spans="2:14" ht="12.75" x14ac:dyDescent="0.2">
      <c r="B13" s="59">
        <v>4</v>
      </c>
      <c r="C13" s="222" t="str">
        <f t="shared" si="2"/>
        <v xml:space="preserve">Аноды оловянные </v>
      </c>
      <c r="D13" s="174" t="s">
        <v>258</v>
      </c>
      <c r="E13" s="335">
        <f t="shared" si="3"/>
        <v>0</v>
      </c>
      <c r="F13" s="335">
        <f t="shared" si="4"/>
        <v>0.04</v>
      </c>
      <c r="G13" s="336">
        <f t="shared" si="0"/>
        <v>6.8129599999999998E-2</v>
      </c>
      <c r="H13" s="175" t="str">
        <f t="shared" si="5"/>
        <v>кг</v>
      </c>
      <c r="I13" s="310">
        <f t="shared" si="6"/>
        <v>3599.48</v>
      </c>
      <c r="J13" s="101">
        <f t="shared" si="1"/>
        <v>245.231132608</v>
      </c>
      <c r="L13" s="43" t="str">
        <f>IFERROR(getMatter(D13),"")</f>
        <v>Аноды оловянные |кг|3599.48|0|0.04|id - 8</v>
      </c>
      <c r="M13"/>
    </row>
    <row r="14" spans="2:14" ht="12.75" x14ac:dyDescent="0.2">
      <c r="B14" s="59">
        <v>5</v>
      </c>
      <c r="C14" s="222" t="str">
        <f t="shared" si="2"/>
        <v xml:space="preserve">Бумага кабельная К-120 </v>
      </c>
      <c r="D14" s="176" t="s">
        <v>259</v>
      </c>
      <c r="E14" s="335">
        <f t="shared" si="3"/>
        <v>0</v>
      </c>
      <c r="F14" s="335">
        <f t="shared" si="4"/>
        <v>1.28</v>
      </c>
      <c r="G14" s="336">
        <f>IF(МПП,6*(Площадь_заготовок/100)/2*Квг,0)</f>
        <v>2.5548600000000001</v>
      </c>
      <c r="H14" s="175" t="str">
        <f t="shared" si="5"/>
        <v>м2</v>
      </c>
      <c r="I14" s="310">
        <f t="shared" si="6"/>
        <v>22.06</v>
      </c>
      <c r="J14" s="101">
        <f t="shared" si="1"/>
        <v>56.3602116</v>
      </c>
      <c r="K14" s="43" t="s">
        <v>227</v>
      </c>
      <c r="L14" s="43" t="str">
        <f>IFERROR(getMatter(D14),"")</f>
        <v>Бумага кабельная К-120 |м2|22.06|0|1.28|id - 9</v>
      </c>
      <c r="M14"/>
      <c r="N14" s="43">
        <f>_xlfn.NUMBERVALUE(getfield(L14,5))*100</f>
        <v>128</v>
      </c>
    </row>
    <row r="15" spans="2:14" ht="12.75" x14ac:dyDescent="0.2">
      <c r="B15" s="59">
        <v>6</v>
      </c>
      <c r="C15" s="222" t="str">
        <f t="shared" si="2"/>
        <v xml:space="preserve">Гетинакс 1,0 мм </v>
      </c>
      <c r="D15" s="299" t="s">
        <v>383</v>
      </c>
      <c r="E15" s="335">
        <f t="shared" si="3"/>
        <v>0</v>
      </c>
      <c r="F15" s="335">
        <f t="shared" si="4"/>
        <v>1.28</v>
      </c>
      <c r="G15" s="336">
        <f>IF(МПП,F15*(Площадь_заготовок/100)*Квг,0)</f>
        <v>1.0900736</v>
      </c>
      <c r="H15" s="175" t="str">
        <f t="shared" si="5"/>
        <v>м2</v>
      </c>
      <c r="I15" s="310">
        <f t="shared" si="6"/>
        <v>402.72</v>
      </c>
      <c r="J15" s="101">
        <f t="shared" ref="J15:J16" si="9">I15*G15</f>
        <v>438.99444019200001</v>
      </c>
      <c r="K15" s="43" t="s">
        <v>227</v>
      </c>
      <c r="L15" s="43" t="str">
        <f>IFERROR(getMatter(D15),"")</f>
        <v>Гетинакс 1,0 мм |м2|402.72|0|1.28|id - 10</v>
      </c>
      <c r="M15"/>
    </row>
    <row r="16" spans="2:14" ht="12.75" x14ac:dyDescent="0.2">
      <c r="B16" s="59">
        <v>7</v>
      </c>
      <c r="C16" s="222" t="str">
        <f t="shared" si="2"/>
        <v xml:space="preserve">Гетинакс 1,5 мм </v>
      </c>
      <c r="D16" s="299" t="s">
        <v>384</v>
      </c>
      <c r="E16" s="335">
        <f t="shared" si="3"/>
        <v>0</v>
      </c>
      <c r="F16" s="335">
        <f t="shared" si="4"/>
        <v>1.28</v>
      </c>
      <c r="G16" s="336">
        <f>IF(МПП,F16*(Площадь_заготовок/100)/2*Квг,0)</f>
        <v>0.54503679999999999</v>
      </c>
      <c r="H16" s="175" t="str">
        <f t="shared" si="5"/>
        <v>м2</v>
      </c>
      <c r="I16" s="310">
        <f t="shared" si="6"/>
        <v>586.78</v>
      </c>
      <c r="J16" s="101">
        <f t="shared" si="9"/>
        <v>319.816693504</v>
      </c>
      <c r="K16" s="43" t="s">
        <v>227</v>
      </c>
      <c r="L16" s="43" t="str">
        <f>IFERROR(getMatter(D16),"")</f>
        <v>Гетинакс 1,5 мм |м2|586.78|0|1.28|id - 11</v>
      </c>
      <c r="M16"/>
    </row>
    <row r="17" spans="2:13" ht="12.75" x14ac:dyDescent="0.2">
      <c r="B17" s="59">
        <v>8</v>
      </c>
      <c r="C17" s="222" t="str">
        <f t="shared" si="2"/>
        <v xml:space="preserve">Кислота борная </v>
      </c>
      <c r="D17" s="174" t="s">
        <v>260</v>
      </c>
      <c r="E17" s="335">
        <f t="shared" si="3"/>
        <v>0</v>
      </c>
      <c r="F17" s="335">
        <f t="shared" si="4"/>
        <v>0.06</v>
      </c>
      <c r="G17" s="336">
        <f t="shared" si="0"/>
        <v>0.1021944</v>
      </c>
      <c r="H17" s="175" t="str">
        <f t="shared" si="5"/>
        <v>кг</v>
      </c>
      <c r="I17" s="310">
        <f t="shared" si="6"/>
        <v>667</v>
      </c>
      <c r="J17" s="101">
        <f t="shared" si="1"/>
        <v>68.163664800000006</v>
      </c>
      <c r="L17" s="43" t="str">
        <f>IFERROR(getMatter(D17),"")</f>
        <v>Кислота борная |кг|667|0|0.06|id - 15</v>
      </c>
      <c r="M17"/>
    </row>
    <row r="18" spans="2:13" ht="12.75" x14ac:dyDescent="0.2">
      <c r="B18" s="59">
        <v>9</v>
      </c>
      <c r="C18" s="222" t="str">
        <f t="shared" si="2"/>
        <v xml:space="preserve">Кислота серная </v>
      </c>
      <c r="D18" s="176" t="s">
        <v>261</v>
      </c>
      <c r="E18" s="335">
        <f t="shared" si="3"/>
        <v>0.2</v>
      </c>
      <c r="F18" s="335">
        <f t="shared" si="4"/>
        <v>0.8</v>
      </c>
      <c r="G18" s="336">
        <f t="shared" si="0"/>
        <v>2.3845360000000007</v>
      </c>
      <c r="H18" s="175" t="str">
        <f t="shared" si="5"/>
        <v>кг</v>
      </c>
      <c r="I18" s="310">
        <f t="shared" si="6"/>
        <v>73.33</v>
      </c>
      <c r="J18" s="101">
        <f t="shared" si="1"/>
        <v>174.85802488000004</v>
      </c>
      <c r="L18" s="43" t="str">
        <f>IFERROR(getMatter(D18),"")</f>
        <v>Кислота серная |кг|73.33|0.2|0.8|id - 16</v>
      </c>
      <c r="M18"/>
    </row>
    <row r="19" spans="2:13" ht="12.75" x14ac:dyDescent="0.2">
      <c r="B19" s="59">
        <v>10</v>
      </c>
      <c r="C19" s="222" t="str">
        <f t="shared" si="2"/>
        <v xml:space="preserve">Кислота соляная </v>
      </c>
      <c r="D19" s="221" t="s">
        <v>262</v>
      </c>
      <c r="E19" s="335">
        <f t="shared" si="3"/>
        <v>1.75</v>
      </c>
      <c r="F19" s="335">
        <f t="shared" si="4"/>
        <v>1E-3</v>
      </c>
      <c r="G19" s="336">
        <f t="shared" si="0"/>
        <v>8.943713240000001</v>
      </c>
      <c r="H19" s="175" t="str">
        <f t="shared" si="5"/>
        <v>кг</v>
      </c>
      <c r="I19" s="310">
        <f t="shared" si="6"/>
        <v>81.67</v>
      </c>
      <c r="J19" s="101">
        <f t="shared" si="1"/>
        <v>730.4330603108001</v>
      </c>
      <c r="L19" s="43" t="str">
        <f>IFERROR(getMatter(D19),"")</f>
        <v>Кислота соляная |кг|81.67|1.75|0.001|id - 17</v>
      </c>
      <c r="M19"/>
    </row>
    <row r="20" spans="2:13" ht="12.75" x14ac:dyDescent="0.2">
      <c r="B20" s="59">
        <v>11</v>
      </c>
      <c r="C20" s="222" t="str">
        <f t="shared" si="2"/>
        <v xml:space="preserve">Медь сернокислая 5- водная </v>
      </c>
      <c r="D20" s="176" t="s">
        <v>263</v>
      </c>
      <c r="E20" s="335">
        <f t="shared" si="3"/>
        <v>0</v>
      </c>
      <c r="F20" s="335">
        <f t="shared" si="4"/>
        <v>0.04</v>
      </c>
      <c r="G20" s="336">
        <f t="shared" si="0"/>
        <v>6.8129599999999998E-2</v>
      </c>
      <c r="H20" s="175" t="str">
        <f t="shared" si="5"/>
        <v>кг</v>
      </c>
      <c r="I20" s="310">
        <f t="shared" si="6"/>
        <v>842.71</v>
      </c>
      <c r="J20" s="101">
        <f t="shared" si="1"/>
        <v>57.413495216000001</v>
      </c>
      <c r="L20" s="43" t="str">
        <f>IFERROR(getMatter(D20),"")</f>
        <v>Медь сернокислая 5- водная |кг|842.71|0|0.04|id - 19</v>
      </c>
      <c r="M20"/>
    </row>
    <row r="21" spans="2:13" ht="12.75" x14ac:dyDescent="0.2">
      <c r="B21" s="59">
        <v>12</v>
      </c>
      <c r="C21" s="222" t="str">
        <f t="shared" si="2"/>
        <v xml:space="preserve">Микрошлифпорошок </v>
      </c>
      <c r="D21" s="176" t="s">
        <v>264</v>
      </c>
      <c r="E21" s="335">
        <f t="shared" si="3"/>
        <v>0</v>
      </c>
      <c r="F21" s="335">
        <f t="shared" si="4"/>
        <v>0.2</v>
      </c>
      <c r="G21" s="336">
        <f t="shared" si="0"/>
        <v>0.34064800000000006</v>
      </c>
      <c r="H21" s="175" t="str">
        <f t="shared" si="5"/>
        <v>кг</v>
      </c>
      <c r="I21" s="310">
        <f t="shared" si="6"/>
        <v>263.2</v>
      </c>
      <c r="J21" s="101">
        <f t="shared" si="1"/>
        <v>89.658553600000019</v>
      </c>
      <c r="L21" s="43" t="str">
        <f>IFERROR(getMatter(D21),"")</f>
        <v>Микрошлифпорошок |кг|263.2|0|0.2|id - 20</v>
      </c>
      <c r="M21"/>
    </row>
    <row r="22" spans="2:13" ht="12.75" x14ac:dyDescent="0.2">
      <c r="B22" s="59">
        <v>13</v>
      </c>
      <c r="C22" s="222" t="str">
        <f t="shared" si="2"/>
        <v xml:space="preserve">Натрий гидроокись </v>
      </c>
      <c r="D22" s="176" t="s">
        <v>265</v>
      </c>
      <c r="E22" s="335">
        <f t="shared" si="3"/>
        <v>0</v>
      </c>
      <c r="F22" s="335">
        <f t="shared" si="4"/>
        <v>0.2</v>
      </c>
      <c r="G22" s="336">
        <f t="shared" si="0"/>
        <v>0.34064800000000006</v>
      </c>
      <c r="H22" s="175" t="str">
        <f t="shared" si="5"/>
        <v>кг</v>
      </c>
      <c r="I22" s="310">
        <f t="shared" si="6"/>
        <v>622.17999999999995</v>
      </c>
      <c r="J22" s="101">
        <f t="shared" si="1"/>
        <v>211.94437264000001</v>
      </c>
      <c r="L22" s="43" t="str">
        <f>IFERROR(getMatter(D22),"")</f>
        <v>Натрий гидроокись |кг|622.18|0|0.2|id - 21</v>
      </c>
      <c r="M22"/>
    </row>
    <row r="23" spans="2:13" ht="12.75" x14ac:dyDescent="0.2">
      <c r="B23" s="59">
        <v>14</v>
      </c>
      <c r="C23" s="222" t="str">
        <f t="shared" si="2"/>
        <v>Натрий надсернокислый</v>
      </c>
      <c r="D23" s="176" t="s">
        <v>59</v>
      </c>
      <c r="E23" s="335">
        <f t="shared" si="3"/>
        <v>0</v>
      </c>
      <c r="F23" s="335">
        <f t="shared" si="4"/>
        <v>0.25</v>
      </c>
      <c r="G23" s="336">
        <f t="shared" si="0"/>
        <v>0.42581000000000002</v>
      </c>
      <c r="H23" s="175" t="str">
        <f t="shared" si="5"/>
        <v>кг</v>
      </c>
      <c r="I23" s="310">
        <f t="shared" si="6"/>
        <v>406.67</v>
      </c>
      <c r="J23" s="101">
        <f t="shared" si="1"/>
        <v>173.16415270000002</v>
      </c>
      <c r="L23" s="43" t="str">
        <f>IFERROR(getMatter(D23),"")</f>
        <v>Натрий надсернокислый|кг|406.67|0|0.25|id - 22</v>
      </c>
      <c r="M23"/>
    </row>
    <row r="24" spans="2:13" ht="12.75" x14ac:dyDescent="0.2">
      <c r="B24" s="59">
        <v>15</v>
      </c>
      <c r="C24" s="222" t="str">
        <f t="shared" si="2"/>
        <v xml:space="preserve">Олово металлическое О1 </v>
      </c>
      <c r="D24" s="176" t="s">
        <v>411</v>
      </c>
      <c r="E24" s="335">
        <f t="shared" si="3"/>
        <v>0.03</v>
      </c>
      <c r="F24" s="335">
        <f t="shared" si="4"/>
        <v>0.06</v>
      </c>
      <c r="G24" s="336">
        <f t="shared" ref="G24" si="10">2*(IF((F24&gt;0),F24,0)+(Листов_материала-1)*IF(E24&gt;0,E24,0))*(Площадь_заготовок/100)*Квг</f>
        <v>0.25548599999999999</v>
      </c>
      <c r="H24" s="175" t="str">
        <f t="shared" si="5"/>
        <v>кг</v>
      </c>
      <c r="I24" s="310">
        <f t="shared" si="6"/>
        <v>3416.67</v>
      </c>
      <c r="J24" s="101">
        <f t="shared" ref="J24" si="11">I24*G24</f>
        <v>872.91135162</v>
      </c>
      <c r="L24" s="43" t="str">
        <f>IFERROR(getMatter(D24),"")</f>
        <v>Олово металлическое О1 |кг|3416.67|0.03|0.06|id - 23</v>
      </c>
      <c r="M24"/>
    </row>
    <row r="25" spans="2:13" ht="12.75" x14ac:dyDescent="0.2">
      <c r="B25" s="59">
        <v>16</v>
      </c>
      <c r="C25" s="222" t="str">
        <f t="shared" si="2"/>
        <v xml:space="preserve">Перекись водорода </v>
      </c>
      <c r="D25" s="176" t="s">
        <v>266</v>
      </c>
      <c r="E25" s="335">
        <f t="shared" si="3"/>
        <v>0.5</v>
      </c>
      <c r="F25" s="335">
        <f t="shared" si="4"/>
        <v>0.5</v>
      </c>
      <c r="G25" s="336">
        <f t="shared" si="0"/>
        <v>3.4064800000000002</v>
      </c>
      <c r="H25" s="175" t="str">
        <f t="shared" si="5"/>
        <v>кг</v>
      </c>
      <c r="I25" s="310">
        <f t="shared" si="6"/>
        <v>123.33</v>
      </c>
      <c r="J25" s="101">
        <f t="shared" si="1"/>
        <v>420.12117840000002</v>
      </c>
      <c r="L25" s="43" t="str">
        <f>IFERROR(getMatter(D25),"")</f>
        <v>Перекись водорода |кг|123.33|0.5|0.5|id - 24</v>
      </c>
      <c r="M25"/>
    </row>
    <row r="26" spans="2:13" ht="12.75" x14ac:dyDescent="0.2">
      <c r="B26" s="59">
        <v>17</v>
      </c>
      <c r="C26" s="222" t="str">
        <f t="shared" si="2"/>
        <v>Плёнка разделительная PACOTHANE НТ1500</v>
      </c>
      <c r="D26" s="178" t="s">
        <v>267</v>
      </c>
      <c r="E26" s="335">
        <f t="shared" si="3"/>
        <v>0</v>
      </c>
      <c r="F26" s="335">
        <f t="shared" si="4"/>
        <v>1.28</v>
      </c>
      <c r="G26" s="336">
        <f>IF(МПП,F26*(Площадь_заготовок/100)*Квг,0)</f>
        <v>1.0900736</v>
      </c>
      <c r="H26" s="175" t="str">
        <f t="shared" si="5"/>
        <v>м2</v>
      </c>
      <c r="I26" s="310">
        <f t="shared" si="6"/>
        <v>238.31</v>
      </c>
      <c r="J26" s="101">
        <f t="shared" si="1"/>
        <v>259.77543961599997</v>
      </c>
      <c r="K26" s="43" t="s">
        <v>227</v>
      </c>
      <c r="L26" s="43" t="str">
        <f>IFERROR(getMatter(D26),"")</f>
        <v>Плёнка разделительная PACOTHANE НТ1500|м2|238.31|0|1.28|id - 25</v>
      </c>
      <c r="M26"/>
    </row>
    <row r="27" spans="2:13" ht="12.75" x14ac:dyDescent="0.2">
      <c r="B27" s="59">
        <v>18</v>
      </c>
      <c r="C27" s="222" t="str">
        <f t="shared" si="2"/>
        <v>Прокладка для сверления верхняя из алюминия толщиной 0,20 мм</v>
      </c>
      <c r="D27" s="178" t="s">
        <v>412</v>
      </c>
      <c r="E27" s="335">
        <f t="shared" si="3"/>
        <v>0</v>
      </c>
      <c r="F27" s="335">
        <f t="shared" si="4"/>
        <v>1</v>
      </c>
      <c r="G27" s="336">
        <f>IF(OR(MIN(bsizex,bsizey)=4.85,NOT(smalldrill&gt;0)),0,F27*Площадь_заготовок/100*Квг)</f>
        <v>0.85162000000000004</v>
      </c>
      <c r="H27" s="175" t="str">
        <f t="shared" si="5"/>
        <v>м2</v>
      </c>
      <c r="I27" s="310">
        <f t="shared" si="6"/>
        <v>520.98</v>
      </c>
      <c r="J27" s="101">
        <f t="shared" ref="J27" si="12">I27*G27</f>
        <v>443.67698760000002</v>
      </c>
      <c r="K27" s="43" t="s">
        <v>227</v>
      </c>
      <c r="L27" s="43" t="str">
        <f>IFERROR(getMatter(D27),"")</f>
        <v>Прокладка для сверления верхняя из алюминия толщиной 0,20 мм|м2|520.98|0|1|id - 28</v>
      </c>
      <c r="M27"/>
    </row>
    <row r="28" spans="2:13" ht="12.75" x14ac:dyDescent="0.2">
      <c r="B28" s="59">
        <v>19</v>
      </c>
      <c r="C28" s="222" t="str">
        <f t="shared" si="2"/>
        <v xml:space="preserve">Сода кальцинированная </v>
      </c>
      <c r="D28" s="178" t="s">
        <v>268</v>
      </c>
      <c r="E28" s="335">
        <f t="shared" si="3"/>
        <v>0.45</v>
      </c>
      <c r="F28" s="335">
        <f t="shared" si="4"/>
        <v>0.45</v>
      </c>
      <c r="G28" s="336">
        <f t="shared" si="0"/>
        <v>3.0658320000000003</v>
      </c>
      <c r="H28" s="175" t="str">
        <f t="shared" si="5"/>
        <v>кг</v>
      </c>
      <c r="I28" s="310">
        <f t="shared" si="6"/>
        <v>155.09</v>
      </c>
      <c r="J28" s="101">
        <f t="shared" si="1"/>
        <v>475.47988488000004</v>
      </c>
      <c r="L28" s="43" t="str">
        <f>IFERROR(getMatter(D28),"")</f>
        <v>Сода кальцинированная |кг|155.09|0.45|0.45|id - 32</v>
      </c>
      <c r="M28"/>
    </row>
    <row r="29" spans="2:13" ht="12.75" x14ac:dyDescent="0.2">
      <c r="B29" s="59">
        <v>20</v>
      </c>
      <c r="C29" s="222" t="str">
        <f t="shared" si="2"/>
        <v>Состав Acidclean UC</v>
      </c>
      <c r="D29" s="309" t="s">
        <v>293</v>
      </c>
      <c r="E29" s="335">
        <f t="shared" si="3"/>
        <v>0</v>
      </c>
      <c r="F29" s="335">
        <f t="shared" si="4"/>
        <v>4.1000000000000002E-2</v>
      </c>
      <c r="G29" s="336">
        <f t="shared" si="0"/>
        <v>6.9832840000000007E-2</v>
      </c>
      <c r="H29" s="175" t="str">
        <f t="shared" si="5"/>
        <v>кг</v>
      </c>
      <c r="I29" s="310">
        <f t="shared" si="6"/>
        <v>542.70000000000005</v>
      </c>
      <c r="J29" s="101">
        <f t="shared" si="1"/>
        <v>37.89828226800001</v>
      </c>
      <c r="L29" s="43" t="str">
        <f>IFERROR(getMatter(D29),"")</f>
        <v>Состав Acidclean UC|кг|542.7|0|0.041|id - 35</v>
      </c>
      <c r="M29"/>
    </row>
    <row r="30" spans="2:13" ht="12.75" x14ac:dyDescent="0.2">
      <c r="B30" s="59">
        <v>21</v>
      </c>
      <c r="C30" s="222" t="str">
        <f t="shared" si="2"/>
        <v>Состав Antifoam 915</v>
      </c>
      <c r="D30" s="309" t="s">
        <v>295</v>
      </c>
      <c r="E30" s="335">
        <f t="shared" si="3"/>
        <v>0.02</v>
      </c>
      <c r="F30" s="335">
        <f t="shared" si="4"/>
        <v>0.06</v>
      </c>
      <c r="G30" s="336">
        <f t="shared" si="0"/>
        <v>0.20438880000000001</v>
      </c>
      <c r="H30" s="175" t="str">
        <f t="shared" si="5"/>
        <v>кг</v>
      </c>
      <c r="I30" s="310">
        <f t="shared" si="6"/>
        <v>1525.55</v>
      </c>
      <c r="J30" s="101">
        <f t="shared" si="1"/>
        <v>311.80533384</v>
      </c>
      <c r="L30" s="43" t="str">
        <f>IFERROR(getMatter(D30),"")</f>
        <v>Состав Antifoam 915|кг|1525.55|0.02|0.06|id - 110</v>
      </c>
      <c r="M30"/>
    </row>
    <row r="31" spans="2:13" ht="12.75" x14ac:dyDescent="0.2">
      <c r="B31" s="59">
        <v>22</v>
      </c>
      <c r="C31" s="222" t="str">
        <f t="shared" si="2"/>
        <v>Состав Bondfilm Activator</v>
      </c>
      <c r="D31" s="176" t="s">
        <v>303</v>
      </c>
      <c r="E31" s="335">
        <f t="shared" si="3"/>
        <v>0.02</v>
      </c>
      <c r="F31" s="335">
        <f t="shared" si="4"/>
        <v>0.02</v>
      </c>
      <c r="G31" s="336">
        <f t="shared" si="0"/>
        <v>0.1362592</v>
      </c>
      <c r="H31" s="175" t="str">
        <f t="shared" si="5"/>
        <v>кг</v>
      </c>
      <c r="I31" s="310">
        <f t="shared" si="6"/>
        <v>581.66</v>
      </c>
      <c r="J31" s="101">
        <f t="shared" si="1"/>
        <v>79.256526271999988</v>
      </c>
      <c r="L31" s="43" t="str">
        <f>IFERROR(getMatter(D31),"")</f>
        <v>Состав Bondfilm Activator|кг|581.66|0.02|0.02|id - 109</v>
      </c>
      <c r="M31"/>
    </row>
    <row r="32" spans="2:13" ht="12.75" x14ac:dyDescent="0.2">
      <c r="B32" s="59">
        <v>23</v>
      </c>
      <c r="C32" s="222" t="str">
        <f t="shared" si="2"/>
        <v>Состав Bondfilm Cleaner ALK</v>
      </c>
      <c r="D32" s="176" t="s">
        <v>302</v>
      </c>
      <c r="E32" s="335">
        <f t="shared" si="3"/>
        <v>0.06</v>
      </c>
      <c r="F32" s="335">
        <f t="shared" si="4"/>
        <v>0.06</v>
      </c>
      <c r="G32" s="336">
        <f t="shared" si="0"/>
        <v>0.40877760000000002</v>
      </c>
      <c r="H32" s="175" t="str">
        <f t="shared" si="5"/>
        <v>кг</v>
      </c>
      <c r="I32" s="310">
        <f t="shared" si="6"/>
        <v>619.1</v>
      </c>
      <c r="J32" s="101">
        <f t="shared" si="1"/>
        <v>253.07421216000003</v>
      </c>
      <c r="L32" s="43" t="str">
        <f>IFERROR(getMatter(D32),"")</f>
        <v>Состав Bondfilm Cleaner ALK|кг|619.1|0.06|0.06|id - 108</v>
      </c>
      <c r="M32"/>
    </row>
    <row r="33" spans="2:15" ht="12.75" x14ac:dyDescent="0.2">
      <c r="B33" s="59">
        <v>24</v>
      </c>
      <c r="C33" s="222" t="str">
        <f t="shared" si="2"/>
        <v>Состав Bondfilm HC 100</v>
      </c>
      <c r="D33" s="176" t="s">
        <v>270</v>
      </c>
      <c r="E33" s="335">
        <f t="shared" si="3"/>
        <v>0.15</v>
      </c>
      <c r="F33" s="335">
        <f t="shared" si="4"/>
        <v>0.15</v>
      </c>
      <c r="G33" s="336">
        <f t="shared" si="0"/>
        <v>1.021944</v>
      </c>
      <c r="H33" s="175" t="str">
        <f t="shared" si="5"/>
        <v>кг</v>
      </c>
      <c r="I33" s="310">
        <f t="shared" si="6"/>
        <v>785.41</v>
      </c>
      <c r="J33" s="101">
        <f t="shared" si="1"/>
        <v>802.64503703999992</v>
      </c>
      <c r="L33" s="43" t="str">
        <f>IFERROR(getMatter(D33),"")</f>
        <v>Состав Bondfilm HC 100|кг|785.41|0.15|0.15|id - 38</v>
      </c>
      <c r="M33"/>
    </row>
    <row r="34" spans="2:15" ht="12.75" x14ac:dyDescent="0.2">
      <c r="B34" s="59">
        <v>25</v>
      </c>
      <c r="C34" s="222" t="str">
        <f t="shared" si="2"/>
        <v>Состав Bondfilm HC 200</v>
      </c>
      <c r="D34" s="176" t="s">
        <v>271</v>
      </c>
      <c r="E34" s="335">
        <f t="shared" si="3"/>
        <v>0.6</v>
      </c>
      <c r="F34" s="335">
        <f t="shared" si="4"/>
        <v>0.6</v>
      </c>
      <c r="G34" s="336">
        <f t="shared" si="0"/>
        <v>4.0877759999999999</v>
      </c>
      <c r="H34" s="175" t="str">
        <f t="shared" si="5"/>
        <v>кг</v>
      </c>
      <c r="I34" s="310">
        <f t="shared" si="6"/>
        <v>803.7</v>
      </c>
      <c r="J34" s="101">
        <f t="shared" si="1"/>
        <v>3285.3455712</v>
      </c>
      <c r="L34" s="43" t="str">
        <f>IFERROR(getMatter(D34),"")</f>
        <v>Состав Bondfilm HC 200|кг|803.7|0.6|0.6|id - 39</v>
      </c>
      <c r="M34"/>
    </row>
    <row r="35" spans="2:15" ht="13.15" customHeight="1" x14ac:dyDescent="0.2">
      <c r="B35" s="59">
        <v>26</v>
      </c>
      <c r="C35" s="222" t="str">
        <f t="shared" si="2"/>
        <v>Состав Bondfilm Starter</v>
      </c>
      <c r="D35" s="176" t="s">
        <v>304</v>
      </c>
      <c r="E35" s="335">
        <f t="shared" si="3"/>
        <v>0.03</v>
      </c>
      <c r="F35" s="335">
        <f t="shared" si="4"/>
        <v>0.03</v>
      </c>
      <c r="G35" s="336">
        <f t="shared" si="0"/>
        <v>0.20438880000000001</v>
      </c>
      <c r="H35" s="175" t="str">
        <f t="shared" si="5"/>
        <v>кг</v>
      </c>
      <c r="I35" s="310">
        <f t="shared" si="6"/>
        <v>595.59</v>
      </c>
      <c r="J35" s="101">
        <f t="shared" si="1"/>
        <v>121.73192539200001</v>
      </c>
      <c r="L35" s="43" t="str">
        <f>IFERROR(getMatter(D35),"")</f>
        <v>Состав Bondfilm Starter|кг|595.59|0.03|0.03|id - 41</v>
      </c>
      <c r="M35"/>
    </row>
    <row r="36" spans="2:15" ht="11.45" customHeight="1" x14ac:dyDescent="0.2">
      <c r="B36" s="59">
        <v>27</v>
      </c>
      <c r="C36" s="222" t="str">
        <f t="shared" si="2"/>
        <v>Состав Cupra Pro S2</v>
      </c>
      <c r="D36" s="309" t="s">
        <v>290</v>
      </c>
      <c r="E36" s="335">
        <f t="shared" si="3"/>
        <v>0</v>
      </c>
      <c r="F36" s="335">
        <f t="shared" si="4"/>
        <v>0.84</v>
      </c>
      <c r="G36" s="336">
        <f t="shared" si="0"/>
        <v>1.4307216000000003</v>
      </c>
      <c r="H36" s="175" t="str">
        <f t="shared" si="5"/>
        <v>кг</v>
      </c>
      <c r="I36" s="310">
        <f t="shared" si="6"/>
        <v>1238.2</v>
      </c>
      <c r="J36" s="101">
        <f t="shared" si="1"/>
        <v>1771.5194851200004</v>
      </c>
      <c r="L36" s="43" t="str">
        <f>IFERROR(getMatter(D36),"")</f>
        <v>Состав Cupra Pro S2|кг|1238.2|0|0.84|id - 42</v>
      </c>
      <c r="M36"/>
    </row>
    <row r="37" spans="2:15" ht="12.75" x14ac:dyDescent="0.2">
      <c r="B37" s="59">
        <v>28</v>
      </c>
      <c r="C37" s="222" t="str">
        <f t="shared" si="2"/>
        <v>Состав Cupracid Brightener</v>
      </c>
      <c r="D37" s="176" t="s">
        <v>274</v>
      </c>
      <c r="E37" s="335">
        <f t="shared" si="3"/>
        <v>0</v>
      </c>
      <c r="F37" s="335">
        <f t="shared" si="4"/>
        <v>0.05</v>
      </c>
      <c r="G37" s="336">
        <f t="shared" si="0"/>
        <v>8.5162000000000015E-2</v>
      </c>
      <c r="H37" s="175" t="str">
        <f t="shared" si="5"/>
        <v>кг</v>
      </c>
      <c r="I37" s="310">
        <f t="shared" si="6"/>
        <v>905.58</v>
      </c>
      <c r="J37" s="101">
        <f t="shared" si="1"/>
        <v>77.121003960000024</v>
      </c>
      <c r="L37" s="43" t="str">
        <f>IFERROR(getMatter(D37),"")</f>
        <v>Состав Cupracid Brightener|кг|905.58|0|0.05|id - 113</v>
      </c>
      <c r="M37"/>
    </row>
    <row r="38" spans="2:15" ht="12.75" x14ac:dyDescent="0.2">
      <c r="B38" s="59">
        <v>29</v>
      </c>
      <c r="C38" s="222" t="str">
        <f t="shared" si="2"/>
        <v>Состав Cupracid Starter</v>
      </c>
      <c r="D38" s="178" t="s">
        <v>275</v>
      </c>
      <c r="E38" s="335">
        <f t="shared" si="3"/>
        <v>0</v>
      </c>
      <c r="F38" s="335">
        <f t="shared" si="4"/>
        <v>3.3000000000000002E-2</v>
      </c>
      <c r="G38" s="336">
        <f t="shared" si="0"/>
        <v>5.6206920000000007E-2</v>
      </c>
      <c r="H38" s="175" t="str">
        <f t="shared" si="5"/>
        <v>кг</v>
      </c>
      <c r="I38" s="310">
        <f t="shared" si="6"/>
        <v>1093.42</v>
      </c>
      <c r="J38" s="101">
        <f t="shared" si="1"/>
        <v>61.457770466400014</v>
      </c>
      <c r="L38" s="43" t="str">
        <f>IFERROR(getMatter(D38),"")</f>
        <v>Состав Cupracid Starter|кг|1093.42|0|0.033|id - 44</v>
      </c>
      <c r="M38"/>
    </row>
    <row r="39" spans="2:15" ht="12.75" x14ac:dyDescent="0.2">
      <c r="B39" s="59">
        <v>30</v>
      </c>
      <c r="C39" s="222" t="str">
        <f t="shared" si="2"/>
        <v>Состав Cupracid TP Leveller</v>
      </c>
      <c r="D39" s="174" t="s">
        <v>273</v>
      </c>
      <c r="E39" s="335">
        <f t="shared" si="3"/>
        <v>0</v>
      </c>
      <c r="F39" s="335">
        <f t="shared" si="4"/>
        <v>8.4000000000000005E-2</v>
      </c>
      <c r="G39" s="336">
        <f t="shared" si="0"/>
        <v>0.14307216</v>
      </c>
      <c r="H39" s="175" t="str">
        <f t="shared" si="5"/>
        <v>кг</v>
      </c>
      <c r="I39" s="310">
        <f t="shared" si="6"/>
        <v>1408.87</v>
      </c>
      <c r="J39" s="101">
        <f t="shared" si="1"/>
        <v>201.57007405919998</v>
      </c>
      <c r="L39" s="43" t="str">
        <f>IFERROR(getMatter(D39),"")</f>
        <v>Состав Cupracid TP Leveller|кг|1408.87|0|0.084|id - 45</v>
      </c>
      <c r="M39"/>
    </row>
    <row r="40" spans="2:15" ht="12.75" x14ac:dyDescent="0.2">
      <c r="B40" s="59">
        <v>31</v>
      </c>
      <c r="C40" s="222" t="str">
        <f t="shared" si="2"/>
        <v>Состав Cu-Reduction Solution</v>
      </c>
      <c r="D40" s="174" t="s">
        <v>285</v>
      </c>
      <c r="E40" s="335">
        <f t="shared" si="3"/>
        <v>0</v>
      </c>
      <c r="F40" s="335">
        <f t="shared" si="4"/>
        <v>1.45</v>
      </c>
      <c r="G40" s="336">
        <f t="shared" si="0"/>
        <v>2.4696980000000002</v>
      </c>
      <c r="H40" s="175" t="str">
        <f t="shared" si="5"/>
        <v>кг</v>
      </c>
      <c r="I40" s="310">
        <f t="shared" si="6"/>
        <v>323.05</v>
      </c>
      <c r="J40" s="101">
        <f t="shared" si="1"/>
        <v>797.83593890000009</v>
      </c>
      <c r="L40" s="43" t="str">
        <f>IFERROR(getMatter(D40),"")</f>
        <v>Состав Cu-Reduction Solution|кг|323.05|0|1.45|id - 46</v>
      </c>
      <c r="M40"/>
    </row>
    <row r="41" spans="2:15" x14ac:dyDescent="0.2">
      <c r="B41" s="59">
        <v>32</v>
      </c>
      <c r="C41" s="222" t="str">
        <f t="shared" si="2"/>
        <v>Состав ELO-FAST 40 Accelerator</v>
      </c>
      <c r="D41" s="176" t="s">
        <v>269</v>
      </c>
      <c r="E41" s="335">
        <f t="shared" si="3"/>
        <v>0</v>
      </c>
      <c r="F41" s="335">
        <f t="shared" si="4"/>
        <v>1.6E-2</v>
      </c>
      <c r="G41" s="336">
        <f t="shared" si="0"/>
        <v>2.7251840000000003E-2</v>
      </c>
      <c r="H41" s="175" t="str">
        <f t="shared" si="5"/>
        <v>кг</v>
      </c>
      <c r="I41" s="310">
        <f t="shared" si="6"/>
        <v>0</v>
      </c>
      <c r="J41" s="101">
        <f t="shared" si="1"/>
        <v>0</v>
      </c>
      <c r="L41" s="43" t="str">
        <f>IFERROR(getMatter(D41),"")</f>
        <v>Состав ELO-FAST 40 Accelerator|кг|0|0|0.016|id - 47</v>
      </c>
    </row>
    <row r="42" spans="2:15" x14ac:dyDescent="0.2">
      <c r="B42" s="59">
        <v>33</v>
      </c>
      <c r="C42" s="222" t="str">
        <f t="shared" si="2"/>
        <v>Состав Hydrox 35</v>
      </c>
      <c r="D42" s="176" t="s">
        <v>272</v>
      </c>
      <c r="E42" s="335">
        <f t="shared" si="3"/>
        <v>0</v>
      </c>
      <c r="F42" s="335">
        <f t="shared" si="4"/>
        <v>0.15</v>
      </c>
      <c r="G42" s="336">
        <f t="shared" si="0"/>
        <v>0.25548599999999999</v>
      </c>
      <c r="H42" s="175" t="str">
        <f t="shared" si="5"/>
        <v>кг</v>
      </c>
      <c r="I42" s="310">
        <f t="shared" si="6"/>
        <v>338.72</v>
      </c>
      <c r="J42" s="101">
        <f t="shared" si="1"/>
        <v>86.538217920000008</v>
      </c>
      <c r="L42" s="43" t="str">
        <f>IFERROR(getMatter(D42),"")</f>
        <v>Состав Hydrox 35|кг|338.72|0|0.15|id - 48</v>
      </c>
    </row>
    <row r="43" spans="2:15" x14ac:dyDescent="0.2">
      <c r="B43" s="59">
        <v>34</v>
      </c>
      <c r="C43" s="222" t="str">
        <f t="shared" si="2"/>
        <v>Состав Neoganth Activator 834</v>
      </c>
      <c r="D43" s="208" t="s">
        <v>281</v>
      </c>
      <c r="E43" s="335">
        <f t="shared" si="3"/>
        <v>0</v>
      </c>
      <c r="F43" s="335">
        <f t="shared" si="4"/>
        <v>1.7000000000000001E-2</v>
      </c>
      <c r="G43" s="336">
        <f t="shared" si="0"/>
        <v>2.8955080000000001E-2</v>
      </c>
      <c r="H43" s="175" t="str">
        <f t="shared" si="5"/>
        <v>кг</v>
      </c>
      <c r="I43" s="310">
        <f t="shared" si="6"/>
        <v>42579.4</v>
      </c>
      <c r="J43" s="101">
        <f t="shared" si="1"/>
        <v>1232.8899333520001</v>
      </c>
      <c r="L43" s="43" t="str">
        <f>IFERROR(getMatter(D43),"")</f>
        <v>Состав Neoganth Activator 834|кг|42579.4|0|0.017|id - 112</v>
      </c>
    </row>
    <row r="44" spans="2:15" x14ac:dyDescent="0.2">
      <c r="B44" s="59">
        <v>35</v>
      </c>
      <c r="C44" s="222" t="str">
        <f t="shared" si="2"/>
        <v>Состав Neoganth B Pre Dip</v>
      </c>
      <c r="D44" s="208" t="s">
        <v>280</v>
      </c>
      <c r="E44" s="335">
        <f t="shared" si="3"/>
        <v>0</v>
      </c>
      <c r="F44" s="335">
        <f t="shared" si="4"/>
        <v>7.0000000000000007E-2</v>
      </c>
      <c r="G44" s="336">
        <f t="shared" si="0"/>
        <v>0.11922680000000002</v>
      </c>
      <c r="H44" s="175" t="str">
        <f t="shared" si="5"/>
        <v>кг</v>
      </c>
      <c r="I44" s="310">
        <f t="shared" si="6"/>
        <v>1986.18</v>
      </c>
      <c r="J44" s="101">
        <f t="shared" si="1"/>
        <v>236.80588562400004</v>
      </c>
      <c r="L44" s="43" t="str">
        <f>IFERROR(getMatter(D44),"")</f>
        <v>Состав Neoganth B Pre Dip|кг|1986.18|0|0.07|id - 50</v>
      </c>
    </row>
    <row r="45" spans="2:15" x14ac:dyDescent="0.2">
      <c r="B45" s="59">
        <v>36</v>
      </c>
      <c r="C45" s="222" t="str">
        <f t="shared" si="2"/>
        <v>Состав Neoganth WA Reducer S</v>
      </c>
      <c r="D45" s="178" t="s">
        <v>282</v>
      </c>
      <c r="E45" s="335">
        <f t="shared" si="3"/>
        <v>0</v>
      </c>
      <c r="F45" s="335">
        <f t="shared" si="4"/>
        <v>0.21199999999999999</v>
      </c>
      <c r="G45" s="336">
        <f t="shared" si="0"/>
        <v>0.36108688</v>
      </c>
      <c r="H45" s="175" t="str">
        <f t="shared" si="5"/>
        <v>кг</v>
      </c>
      <c r="I45" s="310">
        <f t="shared" si="6"/>
        <v>1906.07</v>
      </c>
      <c r="J45" s="101">
        <f t="shared" si="1"/>
        <v>688.25686936160002</v>
      </c>
      <c r="L45" s="43" t="str">
        <f>IFERROR(getMatter(D45),"")</f>
        <v>Состав Neoganth WA Reducer S|кг|1906.07|0|0.212|id - 68</v>
      </c>
    </row>
    <row r="46" spans="2:15" x14ac:dyDescent="0.2">
      <c r="B46" s="59">
        <v>37</v>
      </c>
      <c r="C46" s="222" t="str">
        <f t="shared" si="2"/>
        <v>Состав Noviganth HC Additive</v>
      </c>
      <c r="D46" s="174" t="s">
        <v>286</v>
      </c>
      <c r="E46" s="335">
        <f t="shared" si="3"/>
        <v>0</v>
      </c>
      <c r="F46" s="335">
        <f t="shared" si="4"/>
        <v>2.4500000000000002</v>
      </c>
      <c r="G46" s="336">
        <f t="shared" ref="G46:G62" si="13">2*(IF((F46&gt;0),F46,0)+(Листов_материала-1)*IF(E46&gt;0,E46,0))*(Площадь_заготовок/100)*Квг</f>
        <v>4.1729380000000011</v>
      </c>
      <c r="H46" s="175" t="str">
        <f t="shared" si="5"/>
        <v>кг</v>
      </c>
      <c r="I46" s="310">
        <f t="shared" si="6"/>
        <v>2039.72</v>
      </c>
      <c r="J46" s="101">
        <f t="shared" si="1"/>
        <v>8511.6250973600017</v>
      </c>
      <c r="L46" s="43" t="str">
        <f>IFERROR(getMatter(D46),"")</f>
        <v>Состав Noviganth HC Additive|кг|2039.72|0|2.45|id - 60</v>
      </c>
      <c r="N46" s="342"/>
      <c r="O46" s="342"/>
    </row>
    <row r="47" spans="2:15" x14ac:dyDescent="0.2">
      <c r="B47" s="59">
        <v>38</v>
      </c>
      <c r="C47" s="222" t="str">
        <f t="shared" si="2"/>
        <v>Состав Noviganth HC Make-up</v>
      </c>
      <c r="D47" s="178" t="s">
        <v>283</v>
      </c>
      <c r="E47" s="335">
        <f t="shared" si="3"/>
        <v>0</v>
      </c>
      <c r="F47" s="335">
        <f t="shared" si="4"/>
        <v>0.7</v>
      </c>
      <c r="G47" s="336">
        <f t="shared" si="13"/>
        <v>1.1922680000000001</v>
      </c>
      <c r="H47" s="175" t="str">
        <f t="shared" si="5"/>
        <v>кг</v>
      </c>
      <c r="I47" s="310">
        <f t="shared" si="6"/>
        <v>1653.55</v>
      </c>
      <c r="J47" s="101">
        <f t="shared" si="1"/>
        <v>1971.4747514000001</v>
      </c>
      <c r="L47" s="43" t="str">
        <f>IFERROR(getMatter(D47),"")</f>
        <v>Состав Noviganth HC Make-up|кг|1653.55|0|0.7|id - 53</v>
      </c>
      <c r="N47" s="342"/>
      <c r="O47" s="342"/>
    </row>
    <row r="48" spans="2:15" x14ac:dyDescent="0.2">
      <c r="B48" s="59">
        <v>39</v>
      </c>
      <c r="C48" s="222" t="str">
        <f t="shared" si="2"/>
        <v>Состав Noviganth HC Stabilizer</v>
      </c>
      <c r="D48" s="178" t="s">
        <v>284</v>
      </c>
      <c r="E48" s="335">
        <f t="shared" si="3"/>
        <v>0</v>
      </c>
      <c r="F48" s="335">
        <f t="shared" si="4"/>
        <v>0.03</v>
      </c>
      <c r="G48" s="336">
        <f t="shared" si="13"/>
        <v>5.1097200000000002E-2</v>
      </c>
      <c r="H48" s="175" t="str">
        <f t="shared" si="5"/>
        <v>кг</v>
      </c>
      <c r="I48" s="310">
        <f t="shared" si="6"/>
        <v>4434.72</v>
      </c>
      <c r="J48" s="101">
        <f t="shared" si="1"/>
        <v>226.60177478400001</v>
      </c>
      <c r="L48" s="43" t="str">
        <f>IFERROR(getMatter(D48),"")</f>
        <v>Состав Noviganth HC Stabilizer|кг|4434.72|0|0.03|id - 54</v>
      </c>
      <c r="N48" s="343"/>
      <c r="O48" s="343"/>
    </row>
    <row r="49" spans="2:15" x14ac:dyDescent="0.2">
      <c r="B49" s="59">
        <v>40</v>
      </c>
      <c r="C49" s="222" t="str">
        <f t="shared" si="2"/>
        <v>Состав ResistStrip RR-3</v>
      </c>
      <c r="D49" s="309" t="s">
        <v>294</v>
      </c>
      <c r="E49" s="335">
        <f t="shared" si="3"/>
        <v>0.03</v>
      </c>
      <c r="F49" s="335">
        <f t="shared" si="4"/>
        <v>0.03</v>
      </c>
      <c r="G49" s="336">
        <f t="shared" si="13"/>
        <v>0.20438880000000001</v>
      </c>
      <c r="H49" s="175" t="str">
        <f t="shared" si="5"/>
        <v>кг</v>
      </c>
      <c r="I49" s="310">
        <f t="shared" si="6"/>
        <v>591.41999999999996</v>
      </c>
      <c r="J49" s="101">
        <f t="shared" si="1"/>
        <v>120.879624096</v>
      </c>
      <c r="L49" s="43" t="str">
        <f>IFERROR(getMatter(D49),"")</f>
        <v>Состав ResistStrip RR-3|кг|591.42|0.03|0.03|id - 55</v>
      </c>
      <c r="N49" s="342"/>
      <c r="O49" s="342"/>
    </row>
    <row r="50" spans="2:15" x14ac:dyDescent="0.2">
      <c r="B50" s="59">
        <v>41</v>
      </c>
      <c r="C50" s="222" t="str">
        <f t="shared" si="2"/>
        <v>Состав Securiganth 902 Cleaner (EU)</v>
      </c>
      <c r="D50" s="208" t="s">
        <v>279</v>
      </c>
      <c r="E50" s="335">
        <f t="shared" si="3"/>
        <v>0</v>
      </c>
      <c r="F50" s="335">
        <f t="shared" si="4"/>
        <v>4.4999999999999998E-2</v>
      </c>
      <c r="G50" s="336">
        <f t="shared" si="13"/>
        <v>7.6645800000000014E-2</v>
      </c>
      <c r="H50" s="175" t="str">
        <f t="shared" si="5"/>
        <v>кг</v>
      </c>
      <c r="I50" s="310">
        <f t="shared" si="6"/>
        <v>1533</v>
      </c>
      <c r="J50" s="101">
        <f t="shared" si="1"/>
        <v>117.49801140000002</v>
      </c>
      <c r="L50" s="43" t="str">
        <f>IFERROR(getMatter(D50),"")</f>
        <v>Состав Securiganth 902 Cleaner (EU)|кг|1533|0|0.045|id - 106</v>
      </c>
      <c r="N50" s="342"/>
      <c r="O50" s="342"/>
    </row>
    <row r="51" spans="2:15" x14ac:dyDescent="0.2">
      <c r="B51" s="59">
        <v>42</v>
      </c>
      <c r="C51" s="222" t="str">
        <f t="shared" si="2"/>
        <v>Состав Securiganth P 500 Dosing Solution</v>
      </c>
      <c r="D51" s="178" t="s">
        <v>277</v>
      </c>
      <c r="E51" s="335">
        <f t="shared" si="3"/>
        <v>0</v>
      </c>
      <c r="F51" s="335">
        <f t="shared" si="4"/>
        <v>0.57599999999999996</v>
      </c>
      <c r="G51" s="336">
        <f t="shared" si="13"/>
        <v>0.98106624000000009</v>
      </c>
      <c r="H51" s="175" t="str">
        <f t="shared" si="5"/>
        <v>кг</v>
      </c>
      <c r="I51" s="310">
        <f t="shared" si="6"/>
        <v>1904.16</v>
      </c>
      <c r="J51" s="101">
        <f t="shared" ref="J51:J70" si="14">I51*G51</f>
        <v>1868.1070915584003</v>
      </c>
      <c r="L51" s="43" t="str">
        <f>IFERROR(getMatter(D51),"")</f>
        <v>Состав Securiganth P 500 Dosing Solution|кг|1904.16|0|0.576|id - 57</v>
      </c>
      <c r="M51" s="217"/>
      <c r="N51" s="342"/>
      <c r="O51" s="342"/>
    </row>
    <row r="52" spans="2:15" x14ac:dyDescent="0.2">
      <c r="B52" s="59">
        <v>43</v>
      </c>
      <c r="C52" s="222" t="str">
        <f t="shared" si="2"/>
        <v>Состав Securiganth P 500 Reduction Conditioner</v>
      </c>
      <c r="D52" s="208" t="s">
        <v>278</v>
      </c>
      <c r="E52" s="335">
        <f t="shared" si="3"/>
        <v>0</v>
      </c>
      <c r="F52" s="335">
        <f t="shared" si="4"/>
        <v>1.23</v>
      </c>
      <c r="G52" s="336">
        <f t="shared" si="13"/>
        <v>2.0949852</v>
      </c>
      <c r="H52" s="175" t="str">
        <f t="shared" si="5"/>
        <v>кг</v>
      </c>
      <c r="I52" s="310">
        <f t="shared" si="6"/>
        <v>1460.24</v>
      </c>
      <c r="J52" s="101">
        <f>I52*G52</f>
        <v>3059.1811884479998</v>
      </c>
      <c r="L52" s="43" t="str">
        <f>IFERROR(getMatter(D52),"")</f>
        <v>Состав Securiganth P 500 Reduction Conditioner|кг|1460.24|0|1.23|id - 58</v>
      </c>
      <c r="M52" s="217"/>
      <c r="N52" s="342"/>
      <c r="O52" s="344"/>
    </row>
    <row r="53" spans="2:15" x14ac:dyDescent="0.2">
      <c r="B53" s="59">
        <v>44</v>
      </c>
      <c r="C53" s="222" t="str">
        <f t="shared" si="2"/>
        <v>Состав Securiganth P Sweller</v>
      </c>
      <c r="D53" s="178" t="s">
        <v>276</v>
      </c>
      <c r="E53" s="335">
        <f t="shared" si="3"/>
        <v>0</v>
      </c>
      <c r="F53" s="335">
        <f t="shared" si="4"/>
        <v>1.492</v>
      </c>
      <c r="G53" s="336">
        <f t="shared" si="13"/>
        <v>2.5412340800000002</v>
      </c>
      <c r="H53" s="175" t="str">
        <f t="shared" si="5"/>
        <v>кг</v>
      </c>
      <c r="I53" s="310">
        <f t="shared" si="6"/>
        <v>683.54</v>
      </c>
      <c r="J53" s="101">
        <f t="shared" si="14"/>
        <v>1737.0351430431999</v>
      </c>
      <c r="L53" s="43" t="str">
        <f>IFERROR(getMatter(D53),"")</f>
        <v>Состав Securiganth P Sweller|кг|683.54|0|1.492|id - 59</v>
      </c>
      <c r="M53" s="217"/>
      <c r="N53" s="342"/>
      <c r="O53" s="342"/>
    </row>
    <row r="54" spans="2:15" x14ac:dyDescent="0.2">
      <c r="B54" s="59">
        <v>45</v>
      </c>
      <c r="C54" s="222" t="str">
        <f t="shared" si="2"/>
        <v>Состав SolderStrip TS Delta</v>
      </c>
      <c r="D54" s="309" t="s">
        <v>291</v>
      </c>
      <c r="E54" s="335">
        <f t="shared" si="3"/>
        <v>0</v>
      </c>
      <c r="F54" s="335">
        <f t="shared" si="4"/>
        <v>0.43</v>
      </c>
      <c r="G54" s="336">
        <f t="shared" si="13"/>
        <v>0.73239319999999997</v>
      </c>
      <c r="H54" s="175" t="str">
        <f t="shared" si="5"/>
        <v>кг</v>
      </c>
      <c r="I54" s="310">
        <f t="shared" si="6"/>
        <v>220.93</v>
      </c>
      <c r="J54" s="308">
        <f t="shared" si="14"/>
        <v>161.807629676</v>
      </c>
      <c r="L54" s="43" t="str">
        <f>IFERROR(getMatter(D54),"")</f>
        <v>Состав SolderStrip TS Delta|кг|220.93|0|0.43|id - 111</v>
      </c>
      <c r="M54" s="217"/>
    </row>
    <row r="55" spans="2:15" x14ac:dyDescent="0.2">
      <c r="B55" s="59">
        <v>46</v>
      </c>
      <c r="C55" s="311" t="str">
        <f t="shared" si="2"/>
        <v>Состав SolderStrip TS Omega</v>
      </c>
      <c r="D55" s="309" t="s">
        <v>292</v>
      </c>
      <c r="E55" s="336">
        <f t="shared" si="3"/>
        <v>0</v>
      </c>
      <c r="F55" s="336">
        <f t="shared" si="4"/>
        <v>0.18</v>
      </c>
      <c r="G55" s="336">
        <f t="shared" si="13"/>
        <v>0.30658320000000006</v>
      </c>
      <c r="H55" s="101" t="str">
        <f t="shared" si="5"/>
        <v>кг</v>
      </c>
      <c r="I55" s="308">
        <f t="shared" si="6"/>
        <v>250.78</v>
      </c>
      <c r="J55" s="308">
        <f t="shared" si="14"/>
        <v>76.884934896000019</v>
      </c>
      <c r="L55" s="43" t="str">
        <f>IFERROR(getMatter(D55),"")</f>
        <v>Состав SolderStrip TS Omega|кг|250.78|0|0.18|id - 62</v>
      </c>
      <c r="M55" s="217"/>
    </row>
    <row r="56" spans="2:15" x14ac:dyDescent="0.2">
      <c r="B56" s="59">
        <v>47</v>
      </c>
      <c r="C56" s="311" t="str">
        <f t="shared" si="2"/>
        <v>Состав Sulfotech LST A</v>
      </c>
      <c r="D56" s="309" t="s">
        <v>288</v>
      </c>
      <c r="E56" s="336">
        <f t="shared" si="3"/>
        <v>0</v>
      </c>
      <c r="F56" s="336">
        <f t="shared" si="4"/>
        <v>1.0999999999999999E-2</v>
      </c>
      <c r="G56" s="336">
        <f t="shared" si="13"/>
        <v>1.8735640000000001E-2</v>
      </c>
      <c r="H56" s="101" t="str">
        <f t="shared" si="5"/>
        <v>кг</v>
      </c>
      <c r="I56" s="308">
        <f t="shared" si="6"/>
        <v>785.41</v>
      </c>
      <c r="J56" s="308">
        <f t="shared" si="14"/>
        <v>14.715159012400001</v>
      </c>
      <c r="L56" s="43" t="str">
        <f>IFERROR(getMatter(D56),"")</f>
        <v>Состав Sulfotech LST A|кг|785.41|0|0.011|id - 63</v>
      </c>
      <c r="M56" s="217"/>
    </row>
    <row r="57" spans="2:15" x14ac:dyDescent="0.2">
      <c r="B57" s="59">
        <v>48</v>
      </c>
      <c r="C57" s="311" t="str">
        <f t="shared" si="2"/>
        <v>Состав Sulfotech LST B</v>
      </c>
      <c r="D57" s="309" t="s">
        <v>289</v>
      </c>
      <c r="E57" s="336">
        <f t="shared" si="3"/>
        <v>0</v>
      </c>
      <c r="F57" s="336">
        <f t="shared" si="4"/>
        <v>1.7000000000000001E-2</v>
      </c>
      <c r="G57" s="336">
        <f t="shared" si="13"/>
        <v>2.8955080000000001E-2</v>
      </c>
      <c r="H57" s="101" t="str">
        <f t="shared" si="5"/>
        <v>кг</v>
      </c>
      <c r="I57" s="308">
        <f t="shared" si="6"/>
        <v>1413.22</v>
      </c>
      <c r="J57" s="308">
        <f t="shared" si="14"/>
        <v>40.919898157600002</v>
      </c>
      <c r="L57" s="43" t="str">
        <f>IFERROR(getMatter(D57),"")</f>
        <v>Состав Sulfotech LST B|кг|1413.22|0|0.017|id - 64</v>
      </c>
      <c r="M57" s="217"/>
    </row>
    <row r="58" spans="2:15" x14ac:dyDescent="0.2">
      <c r="B58" s="59">
        <v>49</v>
      </c>
      <c r="C58" s="311" t="str">
        <f t="shared" si="2"/>
        <v>Состав Tin Salt 235</v>
      </c>
      <c r="D58" s="176" t="s">
        <v>287</v>
      </c>
      <c r="E58" s="336">
        <f t="shared" si="3"/>
        <v>0</v>
      </c>
      <c r="F58" s="336">
        <f t="shared" si="4"/>
        <v>5.0000000000000001E-3</v>
      </c>
      <c r="G58" s="336">
        <f t="shared" si="13"/>
        <v>8.5161999999999998E-3</v>
      </c>
      <c r="H58" s="101" t="str">
        <f t="shared" si="5"/>
        <v>кг</v>
      </c>
      <c r="I58" s="308">
        <f t="shared" si="6"/>
        <v>3994.58</v>
      </c>
      <c r="J58" s="308">
        <f t="shared" si="14"/>
        <v>34.018642196000002</v>
      </c>
      <c r="L58" s="43" t="str">
        <f>IFERROR(getMatter(D58),"")</f>
        <v>Состав Tin Salt 235|кг|3994.58|0|0.005|id - 65</v>
      </c>
      <c r="M58" s="217"/>
    </row>
    <row r="59" spans="2:15" x14ac:dyDescent="0.2">
      <c r="B59" s="59">
        <v>50</v>
      </c>
      <c r="C59" s="311" t="str">
        <f t="shared" si="2"/>
        <v>Состав двухкомпонентный MecEtchBond CZ-5480-E1</v>
      </c>
      <c r="D59" s="309" t="s">
        <v>298</v>
      </c>
      <c r="E59" s="336">
        <f t="shared" si="3"/>
        <v>0</v>
      </c>
      <c r="F59" s="336">
        <f t="shared" si="4"/>
        <v>0.36</v>
      </c>
      <c r="G59" s="336">
        <f t="shared" si="13"/>
        <v>0.61316640000000011</v>
      </c>
      <c r="H59" s="101" t="str">
        <f t="shared" si="5"/>
        <v>кг</v>
      </c>
      <c r="I59" s="308">
        <f t="shared" si="6"/>
        <v>286.64999999999998</v>
      </c>
      <c r="J59" s="308">
        <f t="shared" si="14"/>
        <v>175.76414856000002</v>
      </c>
      <c r="L59" s="43" t="str">
        <f>IFERROR(getMatter(D59),"")</f>
        <v>Состав двухкомпонентный MecEtchBond CZ-5480-E1|кг|286.65|0|0.36|id - 66</v>
      </c>
      <c r="M59" s="217"/>
    </row>
    <row r="60" spans="2:15" x14ac:dyDescent="0.2">
      <c r="B60" s="59">
        <v>51</v>
      </c>
      <c r="C60" s="311" t="str">
        <f t="shared" si="2"/>
        <v>Состав двухкомпонентный MecEtchBond CZ-5480-E2</v>
      </c>
      <c r="D60" s="309" t="s">
        <v>299</v>
      </c>
      <c r="E60" s="336">
        <f t="shared" si="3"/>
        <v>0</v>
      </c>
      <c r="F60" s="336">
        <f t="shared" si="4"/>
        <v>0.36</v>
      </c>
      <c r="G60" s="336">
        <f t="shared" si="13"/>
        <v>0.61316640000000011</v>
      </c>
      <c r="H60" s="101" t="str">
        <f t="shared" si="5"/>
        <v>кг</v>
      </c>
      <c r="I60" s="308">
        <f t="shared" si="6"/>
        <v>338.34</v>
      </c>
      <c r="J60" s="308">
        <f t="shared" si="14"/>
        <v>207.45871977600001</v>
      </c>
      <c r="L60" s="43" t="str">
        <f>IFERROR(getMatter(D60),"")</f>
        <v>Состав двухкомпонентный MecEtchBond CZ-5480-E2|кг|338.34|0|0.36|id - 67</v>
      </c>
      <c r="M60" s="217"/>
    </row>
    <row r="61" spans="2:15" x14ac:dyDescent="0.2">
      <c r="B61" s="59">
        <v>52</v>
      </c>
      <c r="C61" s="311" t="str">
        <f t="shared" si="2"/>
        <v>Состав СupraEtch Starter</v>
      </c>
      <c r="D61" s="309" t="s">
        <v>297</v>
      </c>
      <c r="E61" s="336">
        <f t="shared" si="3"/>
        <v>0.09</v>
      </c>
      <c r="F61" s="336">
        <f t="shared" si="4"/>
        <v>0.09</v>
      </c>
      <c r="G61" s="336">
        <f t="shared" si="13"/>
        <v>0.61316640000000011</v>
      </c>
      <c r="H61" s="101" t="str">
        <f t="shared" si="5"/>
        <v>кг</v>
      </c>
      <c r="I61" s="308">
        <f t="shared" si="6"/>
        <v>669.61</v>
      </c>
      <c r="J61" s="308">
        <f t="shared" si="14"/>
        <v>410.58235310400011</v>
      </c>
      <c r="L61" s="43" t="str">
        <f>IFERROR(getMatter(D61),"")</f>
        <v>Состав СupraEtch Starter|кг|669.61|0.09|0.09|id - 69</v>
      </c>
      <c r="M61" s="217"/>
    </row>
    <row r="62" spans="2:15" x14ac:dyDescent="0.2">
      <c r="B62" s="59">
        <v>53</v>
      </c>
      <c r="C62" s="311" t="str">
        <f t="shared" si="2"/>
        <v>Состав СupraEtch UA 75</v>
      </c>
      <c r="D62" s="309" t="s">
        <v>296</v>
      </c>
      <c r="E62" s="336">
        <f t="shared" si="3"/>
        <v>0.09</v>
      </c>
      <c r="F62" s="336">
        <f t="shared" si="4"/>
        <v>0.09</v>
      </c>
      <c r="G62" s="336">
        <f t="shared" si="13"/>
        <v>0.61316640000000011</v>
      </c>
      <c r="H62" s="101" t="str">
        <f t="shared" si="5"/>
        <v>кг</v>
      </c>
      <c r="I62" s="308">
        <f t="shared" si="6"/>
        <v>669.61</v>
      </c>
      <c r="J62" s="308">
        <f t="shared" si="14"/>
        <v>410.58235310400011</v>
      </c>
      <c r="L62" s="43" t="str">
        <f>IFERROR(getMatter(D62),"")</f>
        <v>Состав СupraEtch UA 75|кг|669.61|0.09|0.09|id - 70</v>
      </c>
      <c r="M62" s="217"/>
    </row>
    <row r="63" spans="2:15" x14ac:dyDescent="0.2">
      <c r="B63" s="59">
        <v>54</v>
      </c>
      <c r="C63" s="311" t="str">
        <f t="shared" ref="C63:C70" si="15">getfield($L63,1)</f>
        <v/>
      </c>
      <c r="D63" s="174" t="str">
        <f>INDEX(Текстолит,FR,2)</f>
        <v>FV-EP-GC-Cu-35/35</v>
      </c>
      <c r="E63" s="336">
        <v>0</v>
      </c>
      <c r="F63" s="336">
        <v>1.28</v>
      </c>
      <c r="G63" s="336">
        <f>(IF(МПП,2,1)*IF(ISNUMBER(F63),F63,0)+(Листов_материала-2)*IF(ISNUMBER(E63),E63,0))*Площадь_заготовок/100*Квг</f>
        <v>2.1801472</v>
      </c>
      <c r="H63" s="101" t="str">
        <f t="shared" ref="H63:H70" si="16">getfield($L63,2)</f>
        <v/>
      </c>
      <c r="I63" s="308">
        <f t="shared" si="6"/>
        <v>0</v>
      </c>
      <c r="J63" s="308">
        <f t="shared" si="14"/>
        <v>0</v>
      </c>
      <c r="L63" s="43" t="str">
        <f>IFERROR(getMatter(D63),"")</f>
        <v/>
      </c>
      <c r="M63" s="217"/>
      <c r="N63" s="217"/>
    </row>
    <row r="64" spans="2:15" x14ac:dyDescent="0.2">
      <c r="B64" s="59">
        <v>55</v>
      </c>
      <c r="C64" s="311" t="str">
        <f t="shared" si="15"/>
        <v/>
      </c>
      <c r="D64" s="174" t="str">
        <f>IF(МПП,IF(FRINT=1,INDEX(Текстолит,FR,2),INDEX(Текстолит,FRINT,2)),INDEX(Текстолит,1,2))</f>
        <v>FV-EP-GC-Cu-35/35</v>
      </c>
      <c r="E64" s="336">
        <f>IF(МПП,1.28,0)</f>
        <v>1.28</v>
      </c>
      <c r="F64" s="336">
        <v>0</v>
      </c>
      <c r="G64" s="336">
        <f>(2*IF(ISNUMBER(F64),F64,0)+(Листов_материала-2)*IF(ISNUMBER(E64),E64,0))*Площадь_заготовок/100*Квг</f>
        <v>2.1801472</v>
      </c>
      <c r="H64" s="101" t="str">
        <f t="shared" si="16"/>
        <v/>
      </c>
      <c r="I64" s="308">
        <f t="shared" si="6"/>
        <v>0</v>
      </c>
      <c r="J64" s="308">
        <f t="shared" si="14"/>
        <v>0</v>
      </c>
      <c r="L64" s="43" t="str">
        <f>IFERROR(getMatter(D64),"")</f>
        <v/>
      </c>
      <c r="M64" s="217"/>
      <c r="N64" s="217"/>
    </row>
    <row r="65" spans="2:14" x14ac:dyDescent="0.2">
      <c r="B65" s="59">
        <v>56</v>
      </c>
      <c r="C65" s="311" t="str">
        <f t="shared" si="15"/>
        <v>Фольга медная электролитическая гальваностойкая</v>
      </c>
      <c r="D65" s="178" t="s">
        <v>307</v>
      </c>
      <c r="E65" s="336">
        <f t="shared" ref="E65:E70" si="17">_xlfn.NUMBERVALUE(getfield($L65,4))</f>
        <v>1</v>
      </c>
      <c r="F65" s="336">
        <f t="shared" ref="F65:F70" si="18">_xlfn.NUMBERVALUE(getfield($L65,5))</f>
        <v>0</v>
      </c>
      <c r="G65" s="336">
        <f>E65*Слоев_теплоотвода*Площадь_заготовок/100*Квг</f>
        <v>0</v>
      </c>
      <c r="H65" s="101" t="str">
        <f t="shared" si="16"/>
        <v>м2</v>
      </c>
      <c r="I65" s="308">
        <f t="shared" si="6"/>
        <v>3048.42</v>
      </c>
      <c r="J65" s="101">
        <f>I65*G65</f>
        <v>0</v>
      </c>
      <c r="K65" s="43" t="s">
        <v>227</v>
      </c>
      <c r="L65" s="43" t="str">
        <f>IFERROR(getMatter(D65),"")</f>
        <v>Фольга медная электролитическая гальваностойкая|м2|3048.42|1|0|id - 84</v>
      </c>
      <c r="M65" s="217"/>
      <c r="N65" s="217"/>
    </row>
    <row r="66" spans="2:14" x14ac:dyDescent="0.2">
      <c r="B66" s="59">
        <v>57</v>
      </c>
      <c r="C66" s="311" t="str">
        <f t="shared" si="15"/>
        <v>Фоторезист сухой пленочный 40 мкм</v>
      </c>
      <c r="D66" s="309" t="s">
        <v>300</v>
      </c>
      <c r="E66" s="336">
        <f t="shared" si="17"/>
        <v>1.25</v>
      </c>
      <c r="F66" s="336">
        <f t="shared" si="18"/>
        <v>1.25</v>
      </c>
      <c r="G66" s="336">
        <f>(2*IF(ISNUMBER(F66),F66,0)+(Количество_слоев-2)*IF(ISNUMBER(E66),E66,0))*Площадь_заготовок/100*Квг</f>
        <v>8.5162000000000013</v>
      </c>
      <c r="H66" s="101" t="str">
        <f t="shared" si="16"/>
        <v>м2</v>
      </c>
      <c r="I66" s="308">
        <f t="shared" ref="I66:I70" si="19">ROUND(_xlfn.NUMBERVALUE(getfield($L66,3)),2)</f>
        <v>172.14</v>
      </c>
      <c r="J66" s="101">
        <f>I66*G66</f>
        <v>1465.9786680000002</v>
      </c>
      <c r="L66" s="43" t="str">
        <f>IFERROR(getMatter(D66),"")</f>
        <v>Фоторезист сухой пленочный 40 мкм|м2|172.14|1.25|1.25|id - 114</v>
      </c>
    </row>
    <row r="67" spans="2:14" x14ac:dyDescent="0.2">
      <c r="B67" s="59">
        <v>58</v>
      </c>
      <c r="C67" s="311" t="str">
        <f t="shared" si="15"/>
        <v>Фоторезист сухой пленочный 50 мкм</v>
      </c>
      <c r="D67" s="309" t="s">
        <v>301</v>
      </c>
      <c r="E67" s="336">
        <f t="shared" si="17"/>
        <v>0</v>
      </c>
      <c r="F67" s="336">
        <f t="shared" si="18"/>
        <v>1.25</v>
      </c>
      <c r="G67" s="336">
        <f>(2*IF(ISNUMBER(F67),F67,0)+(Количество_слоев-2)*IF(ISNUMBER(E67),E67,0))*Площадь_заготовок/100*Квг</f>
        <v>2.1290500000000003</v>
      </c>
      <c r="H67" s="101" t="str">
        <f t="shared" si="16"/>
        <v>м2</v>
      </c>
      <c r="I67" s="308">
        <f t="shared" si="19"/>
        <v>190.33</v>
      </c>
      <c r="J67" s="101">
        <f t="shared" si="14"/>
        <v>405.2220865000001</v>
      </c>
      <c r="L67" s="43" t="str">
        <f>IFERROR(getMatter(D67),"")</f>
        <v>Фоторезист сухой пленочный 50 мкм|м2|190.33|0|1.25|id - 87</v>
      </c>
    </row>
    <row r="68" spans="2:14" ht="13.9" customHeight="1" x14ac:dyDescent="0.2">
      <c r="B68" s="59">
        <v>59</v>
      </c>
      <c r="C68" s="311" t="str">
        <f t="shared" si="15"/>
        <v>Стеклоткань прокладочная МИ6222-0.062</v>
      </c>
      <c r="D68" s="174" t="s">
        <v>407</v>
      </c>
      <c r="E68" s="336">
        <f t="shared" si="17"/>
        <v>1.28</v>
      </c>
      <c r="F68" s="336">
        <f t="shared" si="18"/>
        <v>1.28</v>
      </c>
      <c r="G68" s="336">
        <f>E68*Стеклоткань*Площадь_заготовок/100*Квг*IF(INDEX(тип_ст_таблица,FR)=1,1,0)</f>
        <v>0</v>
      </c>
      <c r="H68" s="101" t="str">
        <f t="shared" si="16"/>
        <v>м2</v>
      </c>
      <c r="I68" s="308">
        <f t="shared" si="19"/>
        <v>1006.04</v>
      </c>
      <c r="J68" s="101">
        <f t="shared" si="14"/>
        <v>0</v>
      </c>
      <c r="L68" s="43" t="str">
        <f>IFERROR(getMatter(D68),"")</f>
        <v>Стеклоткань прокладочная МИ6222-0.062|м2|1006.04|1.28|1.28|id - 104</v>
      </c>
    </row>
    <row r="69" spans="2:14" x14ac:dyDescent="0.2">
      <c r="B69" s="59">
        <v>60</v>
      </c>
      <c r="C69" s="311" t="str">
        <f t="shared" si="15"/>
        <v>Стеклоткань прокладочная DE104ML 1080AT01</v>
      </c>
      <c r="D69" s="174" t="s">
        <v>376</v>
      </c>
      <c r="E69" s="336">
        <f t="shared" si="17"/>
        <v>1.28</v>
      </c>
      <c r="F69" s="336">
        <f t="shared" si="18"/>
        <v>1.28</v>
      </c>
      <c r="G69" s="336">
        <f>E69*Стеклоткань*Площадь_заготовок/100*Квг*IF(INDEX(тип_ст_таблица,FR)=2,1,0)</f>
        <v>0</v>
      </c>
      <c r="H69" s="101" t="str">
        <f t="shared" si="16"/>
        <v>м2</v>
      </c>
      <c r="I69" s="308">
        <f t="shared" si="19"/>
        <v>450.8</v>
      </c>
      <c r="J69" s="101">
        <f t="shared" si="14"/>
        <v>0</v>
      </c>
      <c r="L69" s="43" t="str">
        <f>IFERROR(getMatter(D69),"")</f>
        <v>Стеклоткань прокладочная DE104ML 1080AT01|м2|450.8|1.28|1.28|id - 78</v>
      </c>
    </row>
    <row r="70" spans="2:14" ht="11.45" customHeight="1" thickBot="1" x14ac:dyDescent="0.25">
      <c r="B70" s="59">
        <v>61</v>
      </c>
      <c r="C70" s="311" t="str">
        <f t="shared" si="15"/>
        <v>Стеклоткань прокладочная СТП4-0.062</v>
      </c>
      <c r="D70" s="332" t="s">
        <v>408</v>
      </c>
      <c r="E70" s="336">
        <f t="shared" si="17"/>
        <v>1.28</v>
      </c>
      <c r="F70" s="336">
        <f t="shared" si="18"/>
        <v>1.28</v>
      </c>
      <c r="G70" s="336">
        <f>E70*Стеклоткань*Площадь_заготовок/100*Квг*IF(INDEX(тип_ст_таблица,FR)=3,1,0)</f>
        <v>0</v>
      </c>
      <c r="H70" s="101" t="str">
        <f t="shared" si="16"/>
        <v>м2</v>
      </c>
      <c r="I70" s="308">
        <f t="shared" si="19"/>
        <v>924.8</v>
      </c>
      <c r="J70" s="333">
        <f t="shared" si="14"/>
        <v>0</v>
      </c>
      <c r="L70" s="43" t="str">
        <f>IFERROR(getMatter(D70),"")</f>
        <v>Стеклоткань прокладочная СТП4-0.062|м2|924.8|1.28|1.28|id - 105</v>
      </c>
    </row>
    <row r="71" spans="2:14" ht="12" thickBot="1" x14ac:dyDescent="0.25">
      <c r="D71" s="468"/>
      <c r="E71" s="468"/>
      <c r="F71" s="468"/>
      <c r="G71" s="468"/>
      <c r="H71" s="468"/>
      <c r="I71" s="468"/>
      <c r="J71" s="304">
        <f>SUM(J9:J70)</f>
        <v>36882.235005053597</v>
      </c>
      <c r="L71" s="43" t="str">
        <f>IFERROR(getMatter(D71),"")</f>
        <v/>
      </c>
    </row>
    <row r="72" spans="2:14" x14ac:dyDescent="0.2">
      <c r="B72" s="102"/>
      <c r="C72" s="103"/>
      <c r="D72" s="103"/>
      <c r="E72" s="104"/>
      <c r="F72" s="104"/>
      <c r="G72" s="104"/>
      <c r="H72" s="469"/>
      <c r="I72" s="469"/>
      <c r="L72" s="43" t="str">
        <f>IFERROR(getMatter(D72),"")</f>
        <v/>
      </c>
    </row>
    <row r="73" spans="2:14" x14ac:dyDescent="0.2">
      <c r="B73" s="470" t="s">
        <v>413</v>
      </c>
      <c r="C73" s="470"/>
      <c r="D73" s="470"/>
      <c r="E73" s="470"/>
      <c r="F73" s="470"/>
      <c r="G73" s="470"/>
      <c r="H73" s="470"/>
      <c r="I73" s="470"/>
      <c r="L73" s="43" t="str">
        <f>IFERROR(getMatter(D73),"")</f>
        <v/>
      </c>
    </row>
    <row r="74" spans="2:14" x14ac:dyDescent="0.2">
      <c r="B74" s="61">
        <v>1</v>
      </c>
      <c r="C74" s="222" t="str">
        <f t="shared" ref="C74:C76" si="20">getfield($L74,1)</f>
        <v>Фотопленка</v>
      </c>
      <c r="D74" s="62" t="s">
        <v>379</v>
      </c>
      <c r="E74" s="179"/>
      <c r="F74" s="338">
        <v>1.4</v>
      </c>
      <c r="G74" s="340">
        <f>F74*А*В*Изготовление_ФШ*0.01</f>
        <v>0.92903999999999998</v>
      </c>
      <c r="H74" s="101" t="str">
        <f t="shared" ref="H74:H76" si="21">getfield($L74,2)</f>
        <v>м2</v>
      </c>
      <c r="I74" s="310">
        <f t="shared" ref="I74:I76" si="22">ROUND(_xlfn.NUMBERVALUE(getfield($L74,3)),2)</f>
        <v>887.7</v>
      </c>
      <c r="J74" s="105">
        <f>G74*I74</f>
        <v>824.70880799999998</v>
      </c>
      <c r="L74" s="43" t="str">
        <f>IFERROR(getMatter(D74),"")</f>
        <v>Фотопленка|м2|887.7|1.55|1.55|id - 85</v>
      </c>
    </row>
    <row r="75" spans="2:14" x14ac:dyDescent="0.2">
      <c r="B75" s="63">
        <v>2</v>
      </c>
      <c r="C75" s="222" t="str">
        <f t="shared" si="20"/>
        <v>Проявитель</v>
      </c>
      <c r="D75" s="62" t="s">
        <v>380</v>
      </c>
      <c r="E75" s="179"/>
      <c r="F75" s="339">
        <v>0.6</v>
      </c>
      <c r="G75" s="340">
        <f>F75*А*В*Изготовление_ФШ*0.01</f>
        <v>0.39816000000000001</v>
      </c>
      <c r="H75" s="101" t="str">
        <f t="shared" si="21"/>
        <v>л</v>
      </c>
      <c r="I75" s="310">
        <f t="shared" si="22"/>
        <v>416.67</v>
      </c>
      <c r="J75" s="105">
        <f>G75*I75</f>
        <v>165.90132720000003</v>
      </c>
      <c r="L75" s="43" t="str">
        <f>IFERROR(getMatter(D75),"")</f>
        <v>Проявитель|л|416.67|0.12|0.12|id - 29</v>
      </c>
    </row>
    <row r="76" spans="2:14" ht="12" thickBot="1" x14ac:dyDescent="0.25">
      <c r="B76" s="61">
        <v>3</v>
      </c>
      <c r="C76" s="222" t="str">
        <f t="shared" si="20"/>
        <v>Фиксаж</v>
      </c>
      <c r="D76" s="62" t="s">
        <v>381</v>
      </c>
      <c r="E76" s="179"/>
      <c r="F76" s="218">
        <v>0.3</v>
      </c>
      <c r="G76" s="219">
        <f>F76*А*В*Изготовление_ФШ*0.01</f>
        <v>0.19908000000000001</v>
      </c>
      <c r="H76" s="101" t="str">
        <f t="shared" si="21"/>
        <v>л</v>
      </c>
      <c r="I76" s="310">
        <f t="shared" si="22"/>
        <v>265</v>
      </c>
      <c r="J76" s="105">
        <f>G76*I76</f>
        <v>52.7562</v>
      </c>
      <c r="L76" s="43" t="str">
        <f>IFERROR(getMatter(D76),"")</f>
        <v>Фиксаж|л|265|0.012|0.012|id - 80</v>
      </c>
    </row>
    <row r="77" spans="2:14" ht="12" thickBot="1" x14ac:dyDescent="0.25">
      <c r="B77" s="106"/>
      <c r="C77" s="294"/>
      <c r="D77" s="294"/>
      <c r="E77" s="48"/>
      <c r="F77" s="334"/>
      <c r="G77" s="334"/>
      <c r="H77" s="334"/>
      <c r="I77" s="334"/>
      <c r="J77" s="107">
        <f>SUM(J74:J76)</f>
        <v>1043.3663352000001</v>
      </c>
      <c r="L77" s="43" t="str">
        <f>IFERROR(getMatter(D77),"")</f>
        <v/>
      </c>
    </row>
    <row r="78" spans="2:14" x14ac:dyDescent="0.2">
      <c r="B78" s="102"/>
      <c r="C78" s="102"/>
      <c r="D78" s="102"/>
      <c r="E78" s="102"/>
      <c r="F78" s="102"/>
      <c r="G78" s="102"/>
      <c r="H78" s="102"/>
      <c r="I78" s="102"/>
      <c r="L78" s="43" t="str">
        <f>IFERROR(getMatter(D78),"")</f>
        <v/>
      </c>
    </row>
    <row r="79" spans="2:14" x14ac:dyDescent="0.2">
      <c r="B79" s="102"/>
      <c r="C79" s="102"/>
      <c r="D79" s="102"/>
      <c r="E79" s="102"/>
      <c r="F79" s="102"/>
      <c r="G79" s="102"/>
      <c r="H79" s="102"/>
      <c r="I79" s="102"/>
      <c r="L79" s="43" t="str">
        <f>IFERROR(getMatter(D79),"")</f>
        <v/>
      </c>
    </row>
    <row r="80" spans="2:14" x14ac:dyDescent="0.2">
      <c r="B80" s="466" t="s">
        <v>414</v>
      </c>
      <c r="C80" s="466"/>
      <c r="D80" s="466"/>
      <c r="E80" s="466"/>
      <c r="F80" s="466"/>
      <c r="G80" s="466"/>
      <c r="H80" s="466"/>
      <c r="I80" s="466"/>
      <c r="L80" s="43" t="str">
        <f>IFERROR(getMatter(D80),"")</f>
        <v/>
      </c>
    </row>
    <row r="81" spans="2:12" x14ac:dyDescent="0.2">
      <c r="B81" s="109">
        <v>1</v>
      </c>
      <c r="C81" s="222" t="str">
        <f t="shared" ref="C81:C88" si="23">getfield($L81,1)</f>
        <v xml:space="preserve">Гетинакс 1,0 мм </v>
      </c>
      <c r="D81" s="299" t="s">
        <v>383</v>
      </c>
      <c r="E81" s="179"/>
      <c r="F81" s="219">
        <f>IF(OR(MIN(bsizex,bsizey)=4.85,NOT(smalldrill&gt;0)),1.28,0)*1.4</f>
        <v>0</v>
      </c>
      <c r="G81" s="219">
        <f>А*В*0.01*F81*IF(Изготовление_ФШ&gt;0,2,1)</f>
        <v>0</v>
      </c>
      <c r="H81" s="101" t="str">
        <f t="shared" ref="H81:H88" si="24">getfield($L81,2)</f>
        <v>м2</v>
      </c>
      <c r="I81" s="310">
        <f t="shared" ref="I81:I88" si="25">ROUND(_xlfn.NUMBERVALUE(getfield($L81,3)),2)</f>
        <v>402.72</v>
      </c>
      <c r="J81" s="105">
        <f t="shared" ref="J81:J88" si="26">G81*I81</f>
        <v>0</v>
      </c>
      <c r="L81" s="43" t="str">
        <f>IFERROR(getMatter(D81),"")</f>
        <v>Гетинакс 1,0 мм |м2|402.72|0|1.28|id - 10</v>
      </c>
    </row>
    <row r="82" spans="2:12" x14ac:dyDescent="0.2">
      <c r="B82" s="109">
        <v>2</v>
      </c>
      <c r="C82" s="222" t="str">
        <f t="shared" si="23"/>
        <v xml:space="preserve">Гетинакс 1,5 мм </v>
      </c>
      <c r="D82" s="299" t="s">
        <v>384</v>
      </c>
      <c r="E82" s="179"/>
      <c r="F82" s="336">
        <f>_xlfn.NUMBERVALUE(getfield($L82,5))/2</f>
        <v>0.64</v>
      </c>
      <c r="G82" s="219">
        <f>А*В*0.01*F82*IF(Изготовление_ФШ&gt;0,2,1)</f>
        <v>0.141568</v>
      </c>
      <c r="H82" s="101" t="str">
        <f t="shared" si="24"/>
        <v>м2</v>
      </c>
      <c r="I82" s="310">
        <f t="shared" si="25"/>
        <v>586.78</v>
      </c>
      <c r="J82" s="105">
        <f t="shared" si="26"/>
        <v>83.06927103999999</v>
      </c>
      <c r="L82" s="43" t="str">
        <f>IFERROR(getMatter(D82),"")</f>
        <v>Гетинакс 1,5 мм |м2|586.78|0|1.28|id - 11</v>
      </c>
    </row>
    <row r="83" spans="2:12" x14ac:dyDescent="0.2">
      <c r="B83" s="61">
        <v>3</v>
      </c>
      <c r="C83" s="299" t="str">
        <f t="shared" si="23"/>
        <v>Прокладка для сверления верхняя из алюминия толщиной 0,20 мм</v>
      </c>
      <c r="D83" s="176" t="s">
        <v>417</v>
      </c>
      <c r="E83" s="179"/>
      <c r="F83" s="312">
        <f>IF(OR(MIN(bsizex,bsizey)=4.85,NOT(smalldrill&gt;0)),0,1)</f>
        <v>1</v>
      </c>
      <c r="G83" s="312">
        <f>А*В*0.01*F83*IF(Изготовление_ФШ&gt;0,2,1)</f>
        <v>0.22120000000000001</v>
      </c>
      <c r="H83" s="308" t="str">
        <f t="shared" si="24"/>
        <v>м2</v>
      </c>
      <c r="I83" s="310">
        <f t="shared" si="25"/>
        <v>520.98</v>
      </c>
      <c r="J83" s="313">
        <f t="shared" si="26"/>
        <v>115.24077600000001</v>
      </c>
      <c r="L83" s="43" t="str">
        <f>IFERROR(getMatter(D83),"")</f>
        <v>Прокладка для сверления верхняя из алюминия толщиной 0,20 мм|м2|520.98|0|1|id - 28</v>
      </c>
    </row>
    <row r="84" spans="2:12" x14ac:dyDescent="0.2">
      <c r="B84" s="109">
        <v>4</v>
      </c>
      <c r="C84" s="299" t="str">
        <f t="shared" si="23"/>
        <v>Медь двухлористая 2-водная</v>
      </c>
      <c r="D84" s="176" t="s">
        <v>418</v>
      </c>
      <c r="E84" s="179"/>
      <c r="F84" s="336">
        <f t="shared" ref="F84" si="27">_xlfn.NUMBERVALUE(getfield($L84,5))</f>
        <v>0.11</v>
      </c>
      <c r="G84" s="312">
        <f>А*В*0.01*F84*IF(Изготовление_ФШ&gt;0,2,1)</f>
        <v>2.4331999999999999E-2</v>
      </c>
      <c r="H84" s="308" t="str">
        <f t="shared" si="24"/>
        <v>кг</v>
      </c>
      <c r="I84" s="310">
        <f t="shared" si="25"/>
        <v>2813.33</v>
      </c>
      <c r="J84" s="313">
        <f t="shared" ref="J84" si="28">G84*I84</f>
        <v>68.453945559999994</v>
      </c>
      <c r="L84" s="43" t="str">
        <f>IFERROR(getMatter(D84),"")</f>
        <v>Медь двухлористая 2-водная|кг|2813.33|0|0.11|id - 18</v>
      </c>
    </row>
    <row r="85" spans="2:12" x14ac:dyDescent="0.2">
      <c r="B85" s="109">
        <v>5</v>
      </c>
      <c r="C85" s="222" t="str">
        <f t="shared" si="23"/>
        <v>Стеклотекстолит фольгированный FR-4</v>
      </c>
      <c r="D85" s="62" t="s">
        <v>382</v>
      </c>
      <c r="E85" s="179"/>
      <c r="F85" s="218">
        <v>1.28</v>
      </c>
      <c r="G85" s="219">
        <f>А*В*0.01*F85*IF(Изготовление_ФШ&gt;0,2,1)</f>
        <v>0.283136</v>
      </c>
      <c r="H85" s="101" t="str">
        <f t="shared" si="24"/>
        <v>м2</v>
      </c>
      <c r="I85" s="310">
        <f t="shared" si="25"/>
        <v>3820.78</v>
      </c>
      <c r="J85" s="105">
        <f t="shared" si="26"/>
        <v>1081.80036608</v>
      </c>
      <c r="L85" s="43" t="str">
        <f>IFERROR(getMatter(D85),"")</f>
        <v>Стеклотекстолит фольгированный FR-4|м2|3820.78|1.28|1.28|id - 82</v>
      </c>
    </row>
    <row r="86" spans="2:12" x14ac:dyDescent="0.2">
      <c r="B86" s="109">
        <v>6</v>
      </c>
      <c r="C86" s="222" t="str">
        <f t="shared" si="23"/>
        <v>Фотопленка</v>
      </c>
      <c r="D86" s="62" t="s">
        <v>379</v>
      </c>
      <c r="E86" s="179"/>
      <c r="F86" s="336">
        <f t="shared" ref="F86:F88" si="29">_xlfn.NUMBERVALUE(getfield($L86,5))</f>
        <v>1.55</v>
      </c>
      <c r="G86" s="219">
        <f>F86*А*В*IF(Изготовление_ФШ&gt;0,4,0)*0.01</f>
        <v>0.68572</v>
      </c>
      <c r="H86" s="101" t="str">
        <f t="shared" si="24"/>
        <v>м2</v>
      </c>
      <c r="I86" s="310">
        <f t="shared" si="25"/>
        <v>887.7</v>
      </c>
      <c r="J86" s="105">
        <f t="shared" si="26"/>
        <v>608.71364400000004</v>
      </c>
      <c r="L86" s="43" t="str">
        <f>IFERROR(getMatter(D86),"")</f>
        <v>Фотопленка|м2|887.7|1.55|1.55|id - 85</v>
      </c>
    </row>
    <row r="87" spans="2:12" x14ac:dyDescent="0.2">
      <c r="B87" s="109">
        <v>7</v>
      </c>
      <c r="C87" s="222" t="str">
        <f t="shared" si="23"/>
        <v>Проявитель</v>
      </c>
      <c r="D87" s="62" t="s">
        <v>380</v>
      </c>
      <c r="E87" s="179"/>
      <c r="F87" s="336">
        <f t="shared" si="29"/>
        <v>0.12</v>
      </c>
      <c r="G87" s="219">
        <f>F87*А*В*IF(Изготовление_ФШ&gt;0,4,0)*0.01</f>
        <v>5.3087999999999996E-2</v>
      </c>
      <c r="H87" s="101" t="str">
        <f t="shared" si="24"/>
        <v>л</v>
      </c>
      <c r="I87" s="310">
        <f t="shared" si="25"/>
        <v>416.67</v>
      </c>
      <c r="J87" s="105">
        <f t="shared" si="26"/>
        <v>22.120176959999998</v>
      </c>
      <c r="L87" s="43" t="str">
        <f>IFERROR(getMatter(D87),"")</f>
        <v>Проявитель|л|416.67|0.12|0.12|id - 29</v>
      </c>
    </row>
    <row r="88" spans="2:12" ht="12" thickBot="1" x14ac:dyDescent="0.25">
      <c r="B88" s="109">
        <v>8</v>
      </c>
      <c r="C88" s="222" t="str">
        <f t="shared" si="23"/>
        <v>Фиксаж</v>
      </c>
      <c r="D88" s="62" t="s">
        <v>381</v>
      </c>
      <c r="E88" s="179"/>
      <c r="F88" s="336">
        <f t="shared" si="29"/>
        <v>1.2E-2</v>
      </c>
      <c r="G88" s="219">
        <f>F88*А*В*IF(Изготовление_ФШ&gt;0,4,0)*0.01</f>
        <v>5.3088000000000007E-3</v>
      </c>
      <c r="H88" s="101" t="str">
        <f t="shared" si="24"/>
        <v>л</v>
      </c>
      <c r="I88" s="310">
        <f t="shared" si="25"/>
        <v>265</v>
      </c>
      <c r="J88" s="105">
        <f t="shared" si="26"/>
        <v>1.4068320000000001</v>
      </c>
      <c r="L88" s="43" t="str">
        <f>IFERROR(getMatter(D88),"")</f>
        <v>Фиксаж|л|265|0.012|0.012|id - 80</v>
      </c>
    </row>
    <row r="89" spans="2:12" ht="12" thickBot="1" x14ac:dyDescent="0.25">
      <c r="B89" s="106"/>
      <c r="C89" s="294"/>
      <c r="D89" s="294"/>
      <c r="E89" s="48"/>
      <c r="F89" s="106"/>
      <c r="G89" s="106"/>
      <c r="H89" s="106"/>
      <c r="I89" s="106"/>
      <c r="J89" s="107">
        <f>IF(МПП,SUM(J81:J88),J85)</f>
        <v>1980.80501164</v>
      </c>
      <c r="L89" s="43" t="str">
        <f>IFERROR(getMatter(D89),"")</f>
        <v/>
      </c>
    </row>
    <row r="90" spans="2:12" x14ac:dyDescent="0.2">
      <c r="B90" s="102"/>
      <c r="C90" s="102"/>
      <c r="D90" s="102"/>
      <c r="E90" s="102"/>
      <c r="F90" s="102"/>
      <c r="G90" s="102"/>
      <c r="H90" s="102"/>
      <c r="I90" s="102"/>
      <c r="L90" s="43" t="str">
        <f>IFERROR(getMatter(D90),"")</f>
        <v/>
      </c>
    </row>
    <row r="91" spans="2:12" ht="11.25" customHeight="1" x14ac:dyDescent="0.2">
      <c r="B91" s="466" t="s">
        <v>415</v>
      </c>
      <c r="C91" s="466"/>
      <c r="D91" s="466"/>
      <c r="E91" s="466"/>
      <c r="F91" s="466"/>
      <c r="G91" s="466"/>
      <c r="H91" s="466"/>
      <c r="I91" s="466"/>
      <c r="L91" s="43" t="str">
        <f>IFERROR(getMatter(D91),"")</f>
        <v/>
      </c>
    </row>
    <row r="92" spans="2:12" ht="12" customHeight="1" thickBot="1" x14ac:dyDescent="0.25">
      <c r="B92" s="61">
        <v>1</v>
      </c>
      <c r="C92" s="222" t="str">
        <f t="shared" ref="C92" si="30">getfield($L92,1)</f>
        <v xml:space="preserve">Защитная паяльная маска Dynamask 5030 </v>
      </c>
      <c r="D92" s="301" t="s">
        <v>387</v>
      </c>
      <c r="E92" s="301"/>
      <c r="F92" s="336">
        <f t="shared" ref="F92" si="31">_xlfn.NUMBERVALUE(getfield($L92,5))</f>
        <v>1.28</v>
      </c>
      <c r="G92" s="219">
        <f>F92*Площадь_заготовок*0.01*Колво_СЗПМ*Квг</f>
        <v>2.1801472</v>
      </c>
      <c r="H92" s="109" t="s">
        <v>54</v>
      </c>
      <c r="I92" s="310">
        <f t="shared" ref="I92" si="32">ROUND(_xlfn.NUMBERVALUE(getfield($L92,3)),2)</f>
        <v>1451.7</v>
      </c>
      <c r="J92" s="105">
        <f>G92*I92</f>
        <v>3164.9196902399999</v>
      </c>
      <c r="L92" s="43" t="str">
        <f>IFERROR(getMatter(D92),"")</f>
        <v>Защитная паяльная маска Dynamask 5030 |м2|1451.7|0|1.28|id - 107</v>
      </c>
    </row>
    <row r="93" spans="2:12" ht="12" thickBot="1" x14ac:dyDescent="0.25">
      <c r="B93" s="64"/>
      <c r="C93" s="114"/>
      <c r="D93" s="114"/>
      <c r="E93" s="48"/>
      <c r="F93" s="337"/>
      <c r="G93" s="341"/>
      <c r="H93" s="104"/>
      <c r="I93" s="104"/>
      <c r="J93" s="107">
        <f>J92</f>
        <v>3164.9196902399999</v>
      </c>
      <c r="L93" s="43" t="str">
        <f>IFERROR(getMatter(D93),"")</f>
        <v/>
      </c>
    </row>
    <row r="94" spans="2:12" x14ac:dyDescent="0.2">
      <c r="B94" s="64"/>
      <c r="C94" s="103"/>
      <c r="D94" s="103"/>
      <c r="F94" s="337"/>
      <c r="G94" s="337"/>
      <c r="H94" s="104"/>
      <c r="I94" s="104"/>
      <c r="J94" s="110"/>
      <c r="L94" s="43" t="str">
        <f>IFERROR(getMatter(D94),"")</f>
        <v/>
      </c>
    </row>
    <row r="95" spans="2:12" ht="12" customHeight="1" thickBot="1" x14ac:dyDescent="0.25">
      <c r="B95" s="297">
        <v>2</v>
      </c>
      <c r="C95" s="222" t="str">
        <f t="shared" ref="C95" si="33">getfield($L95,1)</f>
        <v xml:space="preserve">Защитная паяльная маска X 501 T-4 зеленая </v>
      </c>
      <c r="D95" s="301" t="s">
        <v>385</v>
      </c>
      <c r="E95" s="301"/>
      <c r="F95" s="336">
        <f t="shared" ref="F95" si="34">_xlfn.NUMBERVALUE(getfield($L95,5))</f>
        <v>6.5000000000000002E-2</v>
      </c>
      <c r="G95" s="219">
        <f>F95*Площадь_заготовок*0.01*Колво_ЖЗПМ*Квг</f>
        <v>0.11071060000000002</v>
      </c>
      <c r="H95" s="109" t="s">
        <v>58</v>
      </c>
      <c r="I95" s="310">
        <f t="shared" ref="I95" si="35">ROUND(_xlfn.NUMBERVALUE(getfield($L95,3)),2)</f>
        <v>2301.88</v>
      </c>
      <c r="J95" s="293">
        <f>G95*I95</f>
        <v>254.84251592800007</v>
      </c>
      <c r="L95" s="43" t="str">
        <f>IFERROR(getMatter(D95),"")</f>
        <v>Защитная паяльная маска X 501 T-4 зеленая |кг|2301.88|0|0.065|id - 13</v>
      </c>
    </row>
    <row r="96" spans="2:12" ht="12" thickBot="1" x14ac:dyDescent="0.25">
      <c r="B96" s="64"/>
      <c r="C96" s="114"/>
      <c r="D96" s="114"/>
      <c r="E96" s="48"/>
      <c r="F96" s="337"/>
      <c r="G96" s="341"/>
      <c r="H96" s="104"/>
      <c r="I96" s="104"/>
      <c r="J96" s="107">
        <f>J95</f>
        <v>254.84251592800007</v>
      </c>
      <c r="L96" s="43" t="str">
        <f>IFERROR(getMatter(D96),"")</f>
        <v/>
      </c>
    </row>
    <row r="97" spans="2:12" x14ac:dyDescent="0.2">
      <c r="B97" s="64"/>
      <c r="C97" s="104"/>
      <c r="D97" s="104"/>
      <c r="F97" s="337"/>
      <c r="G97" s="337"/>
      <c r="H97" s="111"/>
      <c r="I97" s="102"/>
      <c r="J97" s="102"/>
      <c r="L97" s="43" t="str">
        <f>IFERROR(getMatter(D97),"")</f>
        <v/>
      </c>
    </row>
    <row r="98" spans="2:12" ht="12" customHeight="1" thickBot="1" x14ac:dyDescent="0.25">
      <c r="B98" s="61">
        <v>3</v>
      </c>
      <c r="C98" s="222" t="str">
        <f t="shared" ref="C98" si="36">getfield($L98,1)</f>
        <v xml:space="preserve">Защитная паяльная маска X 501 T-4 белая </v>
      </c>
      <c r="D98" s="301" t="s">
        <v>386</v>
      </c>
      <c r="E98" s="301"/>
      <c r="F98" s="336">
        <f t="shared" ref="F98" si="37">_xlfn.NUMBERVALUE(getfield($L98,5))</f>
        <v>6.5000000000000002E-2</v>
      </c>
      <c r="G98" s="219">
        <f>IF(ТипМаркировки=1,F98*Площадь_заготовок*0.01*Колво_ФМ,0)*Квг</f>
        <v>0</v>
      </c>
      <c r="H98" s="109" t="s">
        <v>58</v>
      </c>
      <c r="I98" s="310">
        <f t="shared" ref="I98" si="38">ROUND(_xlfn.NUMBERVALUE(getfield($L98,3)),2)</f>
        <v>2707.04</v>
      </c>
      <c r="J98" s="105">
        <f>G98*I98</f>
        <v>0</v>
      </c>
      <c r="L98" s="43" t="str">
        <f>IFERROR(getMatter(D98),"")</f>
        <v>Защитная паяльная маска X 501 T-4 белая |кг|2707.04|0|0.065|id - 12</v>
      </c>
    </row>
    <row r="99" spans="2:12" ht="12" thickBot="1" x14ac:dyDescent="0.25">
      <c r="B99" s="64"/>
      <c r="C99" s="114"/>
      <c r="D99" s="114"/>
      <c r="E99" s="48"/>
      <c r="F99" s="337"/>
      <c r="G99" s="341"/>
      <c r="H99" s="104"/>
      <c r="I99" s="104"/>
      <c r="J99" s="107">
        <f>J98</f>
        <v>0</v>
      </c>
      <c r="L99" s="43" t="str">
        <f>IFERROR(getMatter(D99),"")</f>
        <v/>
      </c>
    </row>
    <row r="100" spans="2:12" x14ac:dyDescent="0.2">
      <c r="B100" s="64"/>
      <c r="C100" s="104"/>
      <c r="D100" s="104"/>
      <c r="F100" s="337"/>
      <c r="G100" s="337"/>
      <c r="H100" s="111"/>
      <c r="I100" s="102"/>
      <c r="J100" s="102"/>
      <c r="L100" s="43" t="str">
        <f>IFERROR(getMatter(D100),"")</f>
        <v/>
      </c>
    </row>
    <row r="101" spans="2:12" ht="12" thickBot="1" x14ac:dyDescent="0.25">
      <c r="B101" s="61">
        <v>4</v>
      </c>
      <c r="C101" s="222" t="str">
        <f t="shared" ref="C101" si="39">getfield($L101,1)</f>
        <v>Чернила для маркировщика</v>
      </c>
      <c r="D101" s="112" t="s">
        <v>252</v>
      </c>
      <c r="E101" s="179"/>
      <c r="F101" s="336">
        <f t="shared" ref="F101" si="40">_xlfn.NUMBERVALUE(getfield($L101,5))</f>
        <v>1.0999999999999999E-2</v>
      </c>
      <c r="G101" s="219">
        <f>IF(ТипМаркировки=2,F101*Площадь_заготовок*0.01*Колво_ФМ,0)*Квг</f>
        <v>1.8735640000000001E-2</v>
      </c>
      <c r="H101" s="109" t="s">
        <v>58</v>
      </c>
      <c r="I101" s="310">
        <f t="shared" ref="I101" si="41">ROUND(_xlfn.NUMBERVALUE(getfield($L101,3)),2)</f>
        <v>31512</v>
      </c>
      <c r="J101" s="105">
        <f>G101*I101</f>
        <v>590.39748768000004</v>
      </c>
      <c r="L101" s="43" t="str">
        <f>IFERROR(getMatter(D101),"")</f>
        <v>Чернила для маркировщика|л|31512|0|0.011|id - 89</v>
      </c>
    </row>
    <row r="102" spans="2:12" ht="12" thickBot="1" x14ac:dyDescent="0.25">
      <c r="B102" s="104"/>
      <c r="C102" s="114"/>
      <c r="D102" s="114"/>
      <c r="E102" s="48"/>
      <c r="F102" s="104"/>
      <c r="G102" s="296"/>
      <c r="H102" s="104"/>
      <c r="I102" s="104"/>
      <c r="J102" s="107">
        <f>J101</f>
        <v>590.39748768000004</v>
      </c>
      <c r="L102" s="43" t="str">
        <f>IFERROR(getMatter(D102),"")</f>
        <v/>
      </c>
    </row>
    <row r="103" spans="2:12" x14ac:dyDescent="0.2">
      <c r="B103" s="103"/>
      <c r="C103" s="104"/>
      <c r="D103" s="104"/>
      <c r="E103" s="104"/>
      <c r="F103" s="104"/>
      <c r="G103" s="104"/>
      <c r="H103" s="111"/>
      <c r="I103" s="102"/>
      <c r="L103" s="43" t="str">
        <f>IFERROR(getMatter(D103),"")</f>
        <v/>
      </c>
    </row>
    <row r="104" spans="2:12" x14ac:dyDescent="0.2">
      <c r="B104" s="466" t="s">
        <v>416</v>
      </c>
      <c r="C104" s="466"/>
      <c r="D104" s="466"/>
      <c r="E104" s="466"/>
      <c r="F104" s="466"/>
      <c r="G104" s="466"/>
      <c r="H104" s="466"/>
      <c r="I104" s="466"/>
      <c r="L104" s="43" t="str">
        <f>IFERROR(getMatter(D104),"")</f>
        <v/>
      </c>
    </row>
    <row r="105" spans="2:12" x14ac:dyDescent="0.2">
      <c r="B105" s="109">
        <v>1</v>
      </c>
      <c r="C105" s="222" t="str">
        <f t="shared" ref="C105:C106" si="42">getfield($L105,1)</f>
        <v xml:space="preserve">Флюс паяльный </v>
      </c>
      <c r="D105" s="300" t="s">
        <v>127</v>
      </c>
      <c r="E105" s="300"/>
      <c r="F105" s="101">
        <f t="shared" ref="F105:F106" si="43">_xlfn.NUMBERVALUE(getfield($L105,5))</f>
        <v>0.05</v>
      </c>
      <c r="G105" s="105">
        <f>F105*2*Площадь_заготовок/100*(1-SIGN(Sи))*Квг</f>
        <v>8.5162000000000015E-2</v>
      </c>
      <c r="H105" s="109" t="s">
        <v>58</v>
      </c>
      <c r="I105" s="310">
        <f t="shared" ref="I105:I106" si="44">ROUND(_xlfn.NUMBERVALUE(getfield($L105,3)),2)</f>
        <v>739.41</v>
      </c>
      <c r="J105" s="108">
        <f>G105*I105</f>
        <v>62.969634420000006</v>
      </c>
      <c r="L105" s="43" t="str">
        <f>IFERROR(getMatter(D105),"")</f>
        <v>Флюс паяльный |кг|739.41|0|0.05|id - 83</v>
      </c>
    </row>
    <row r="106" spans="2:12" ht="12" thickBot="1" x14ac:dyDescent="0.25">
      <c r="B106" s="61">
        <v>2</v>
      </c>
      <c r="C106" s="222" t="str">
        <f t="shared" si="42"/>
        <v xml:space="preserve">Припой ПОС-63 </v>
      </c>
      <c r="D106" s="302" t="s">
        <v>378</v>
      </c>
      <c r="E106" s="302"/>
      <c r="F106" s="101">
        <f t="shared" si="43"/>
        <v>0.12</v>
      </c>
      <c r="G106" s="105">
        <f>F106*2*Площадь_заготовок/100*(1-SIGN(Sи))*Квг</f>
        <v>0.20438880000000001</v>
      </c>
      <c r="H106" s="109" t="s">
        <v>58</v>
      </c>
      <c r="I106" s="310">
        <f t="shared" si="44"/>
        <v>2166.67</v>
      </c>
      <c r="J106" s="108">
        <f>G106*I106</f>
        <v>442.84308129600004</v>
      </c>
      <c r="L106" s="43" t="str">
        <f>IFERROR(getMatter(D106),"")</f>
        <v>Припой ПОС-63 |кг|2166.67|0.6|0.12|id - 27</v>
      </c>
    </row>
    <row r="107" spans="2:12" ht="12" thickBot="1" x14ac:dyDescent="0.25">
      <c r="B107" s="64"/>
      <c r="C107" s="114"/>
      <c r="D107" s="114"/>
      <c r="E107" s="48"/>
      <c r="F107" s="104" t="s">
        <v>60</v>
      </c>
      <c r="G107" s="104"/>
      <c r="H107" s="104"/>
      <c r="I107" s="104"/>
      <c r="J107" s="107">
        <f>SUM(J105:J106)</f>
        <v>505.81271571600007</v>
      </c>
      <c r="L107" s="43" t="str">
        <f>IFERROR(getMatter(D107),"")</f>
        <v/>
      </c>
    </row>
    <row r="108" spans="2:12" x14ac:dyDescent="0.2">
      <c r="B108" s="64"/>
      <c r="C108" s="114"/>
      <c r="D108" s="114"/>
      <c r="E108" s="104"/>
      <c r="F108" s="104"/>
      <c r="G108" s="104"/>
      <c r="H108" s="104"/>
      <c r="I108" s="111"/>
      <c r="L108" s="43" t="str">
        <f>IFERROR(getMatter(D108),"")</f>
        <v/>
      </c>
    </row>
    <row r="109" spans="2:12" x14ac:dyDescent="0.2">
      <c r="B109" s="467" t="s">
        <v>192</v>
      </c>
      <c r="C109" s="467"/>
      <c r="D109" s="467"/>
      <c r="E109" s="467"/>
      <c r="F109" s="467"/>
      <c r="G109" s="467"/>
      <c r="H109" s="467"/>
      <c r="I109" s="467"/>
      <c r="L109" s="43" t="str">
        <f>IFERROR(getMatter(D109),"")</f>
        <v/>
      </c>
    </row>
    <row r="110" spans="2:12" x14ac:dyDescent="0.2">
      <c r="B110" s="59">
        <v>1</v>
      </c>
      <c r="C110" s="222" t="str">
        <f t="shared" ref="C110:C111" si="45">getfield($L110,1)</f>
        <v>Сверло твердосплавное, диаметр хвостовика 3,175 мм</v>
      </c>
      <c r="D110" s="302" t="s">
        <v>377</v>
      </c>
      <c r="E110" s="302"/>
      <c r="F110" s="101">
        <f t="shared" ref="F110:F111" si="46">_xlfn.NUMBERVALUE(getfield($L110,5))</f>
        <v>2000</v>
      </c>
      <c r="G110" s="105">
        <f>(smalldrill+bigdrill)/F110*N</f>
        <v>7.7000000000000011</v>
      </c>
      <c r="H110" s="175" t="s">
        <v>388</v>
      </c>
      <c r="I110" s="310">
        <f t="shared" ref="I110:I111" si="47">ROUND(_xlfn.NUMBERVALUE(getfield($L110,3)),2)</f>
        <v>110</v>
      </c>
      <c r="J110" s="175">
        <f>G110*I110</f>
        <v>847.00000000000011</v>
      </c>
      <c r="L110" s="43" t="str">
        <f>IFERROR(getMatter(D110),"")</f>
        <v>Сверло твердосплавное, диаметр хвостовика 3,175 мм|шт|110|0|2000|id - 31</v>
      </c>
    </row>
    <row r="111" spans="2:12" ht="12" thickBot="1" x14ac:dyDescent="0.25">
      <c r="B111" s="59">
        <v>2</v>
      </c>
      <c r="C111" s="222" t="str">
        <f t="shared" si="45"/>
        <v>Фреза твердосплавная, диаметр хвостовика 3,175 мм</v>
      </c>
      <c r="D111" s="302" t="s">
        <v>191</v>
      </c>
      <c r="E111" s="302"/>
      <c r="F111" s="101">
        <f t="shared" si="46"/>
        <v>20</v>
      </c>
      <c r="G111" s="105">
        <f>IF(frezcorner=2,nib*0.128/F111,nib*Рп*0.1/F111*frezcorner)*N</f>
        <v>0.13440000000000002</v>
      </c>
      <c r="H111" s="175" t="s">
        <v>54</v>
      </c>
      <c r="I111" s="310">
        <f t="shared" si="47"/>
        <v>160</v>
      </c>
      <c r="J111" s="175">
        <f>G111*I111</f>
        <v>21.504000000000005</v>
      </c>
      <c r="L111" s="43" t="str">
        <f>IFERROR(getMatter(D111),"")</f>
        <v>Фреза твердосплавная, диаметр хвостовика 3,175 мм|шт|160|20|20|id - 88</v>
      </c>
    </row>
    <row r="112" spans="2:12" ht="12" thickBot="1" x14ac:dyDescent="0.25">
      <c r="B112" s="48"/>
      <c r="C112" s="295"/>
      <c r="D112" s="295"/>
      <c r="E112" s="48"/>
      <c r="F112" s="48"/>
      <c r="G112" s="48"/>
      <c r="H112" s="48"/>
      <c r="I112" s="48"/>
      <c r="J112" s="304">
        <f>SUM(J110:J111)</f>
        <v>868.50400000000013</v>
      </c>
      <c r="L112" s="43" t="str">
        <f>IFERROR(getMatter(D112),"")</f>
        <v/>
      </c>
    </row>
    <row r="113" spans="2:12" x14ac:dyDescent="0.2">
      <c r="B113" s="103"/>
      <c r="C113" s="104"/>
      <c r="D113" s="104"/>
      <c r="E113" s="104"/>
      <c r="F113" s="104"/>
      <c r="G113" s="104"/>
      <c r="H113" s="111"/>
      <c r="I113" s="102"/>
      <c r="L113" s="43" t="str">
        <f>IFERROR(getMatter(D113),"")</f>
        <v/>
      </c>
    </row>
    <row r="114" spans="2:12" hidden="1" x14ac:dyDescent="0.2">
      <c r="B114" s="466" t="s">
        <v>61</v>
      </c>
      <c r="C114" s="466"/>
      <c r="D114" s="466"/>
      <c r="E114" s="466"/>
      <c r="F114" s="466"/>
      <c r="G114" s="466"/>
      <c r="H114" s="466"/>
      <c r="I114" s="466"/>
      <c r="L114" s="43" t="str">
        <f>IFERROR(getMatter(D114),"")</f>
        <v/>
      </c>
    </row>
    <row r="115" spans="2:12" hidden="1" x14ac:dyDescent="0.2">
      <c r="B115" s="109">
        <v>1</v>
      </c>
      <c r="C115" s="222" t="str">
        <f t="shared" ref="C115:C124" si="48">getfield($L115,1)</f>
        <v/>
      </c>
      <c r="D115" s="113" t="s">
        <v>62</v>
      </c>
      <c r="E115" s="179"/>
      <c r="F115" s="59">
        <v>36</v>
      </c>
      <c r="G115" s="105">
        <f t="shared" ref="G115:G122" si="49">F115*Площадь_заготовок/100/1000*Квг*(IF(Sи&gt;0,1,0))</f>
        <v>0</v>
      </c>
      <c r="H115" s="109" t="s">
        <v>58</v>
      </c>
      <c r="I115" s="310">
        <f t="shared" ref="I115:I124" si="50">ROUND(_xlfn.NUMBERVALUE(getfield($L115,3)),2)</f>
        <v>0</v>
      </c>
      <c r="J115" s="180">
        <f t="shared" ref="J115:J124" si="51">G115*I115</f>
        <v>0</v>
      </c>
      <c r="L115" s="43" t="str">
        <f>IFERROR(getMatter(D115),"")</f>
        <v/>
      </c>
    </row>
    <row r="116" spans="2:12" hidden="1" x14ac:dyDescent="0.2">
      <c r="B116" s="109">
        <v>2</v>
      </c>
      <c r="C116" s="222" t="str">
        <f t="shared" si="48"/>
        <v/>
      </c>
      <c r="D116" s="113" t="s">
        <v>63</v>
      </c>
      <c r="E116" s="179"/>
      <c r="F116" s="59">
        <v>86</v>
      </c>
      <c r="G116" s="105">
        <f t="shared" si="49"/>
        <v>0</v>
      </c>
      <c r="H116" s="109" t="s">
        <v>58</v>
      </c>
      <c r="I116" s="310">
        <f t="shared" si="50"/>
        <v>0</v>
      </c>
      <c r="J116" s="180">
        <f t="shared" si="51"/>
        <v>0</v>
      </c>
      <c r="L116" s="43" t="str">
        <f>IFERROR(getMatter(D116),"")</f>
        <v/>
      </c>
    </row>
    <row r="117" spans="2:12" hidden="1" x14ac:dyDescent="0.2">
      <c r="B117" s="109">
        <v>3</v>
      </c>
      <c r="C117" s="222" t="str">
        <f t="shared" si="48"/>
        <v/>
      </c>
      <c r="D117" s="113" t="s">
        <v>64</v>
      </c>
      <c r="E117" s="179"/>
      <c r="F117" s="59">
        <v>15</v>
      </c>
      <c r="G117" s="105">
        <f t="shared" si="49"/>
        <v>0</v>
      </c>
      <c r="H117" s="109" t="s">
        <v>58</v>
      </c>
      <c r="I117" s="310">
        <f t="shared" si="50"/>
        <v>0</v>
      </c>
      <c r="J117" s="180">
        <f t="shared" si="51"/>
        <v>0</v>
      </c>
      <c r="L117" s="43" t="str">
        <f>IFERROR(getMatter(D117),"")</f>
        <v/>
      </c>
    </row>
    <row r="118" spans="2:12" hidden="1" x14ac:dyDescent="0.2">
      <c r="B118" s="109">
        <v>4</v>
      </c>
      <c r="C118" s="222" t="str">
        <f t="shared" si="48"/>
        <v/>
      </c>
      <c r="D118" s="113" t="s">
        <v>65</v>
      </c>
      <c r="E118" s="179"/>
      <c r="F118" s="59">
        <v>350</v>
      </c>
      <c r="G118" s="105">
        <f t="shared" si="49"/>
        <v>0</v>
      </c>
      <c r="H118" s="109" t="s">
        <v>58</v>
      </c>
      <c r="I118" s="310">
        <f t="shared" si="50"/>
        <v>0</v>
      </c>
      <c r="J118" s="180">
        <f t="shared" si="51"/>
        <v>0</v>
      </c>
      <c r="L118" s="43" t="str">
        <f>IFERROR(getMatter(D118),"")</f>
        <v/>
      </c>
    </row>
    <row r="119" spans="2:12" hidden="1" x14ac:dyDescent="0.2">
      <c r="B119" s="109">
        <v>5</v>
      </c>
      <c r="C119" s="222" t="str">
        <f t="shared" si="48"/>
        <v/>
      </c>
      <c r="D119" s="113" t="s">
        <v>66</v>
      </c>
      <c r="E119" s="179"/>
      <c r="F119" s="59">
        <v>245</v>
      </c>
      <c r="G119" s="105">
        <f t="shared" si="49"/>
        <v>0</v>
      </c>
      <c r="H119" s="109" t="s">
        <v>58</v>
      </c>
      <c r="I119" s="310">
        <f t="shared" si="50"/>
        <v>0</v>
      </c>
      <c r="J119" s="180">
        <f t="shared" si="51"/>
        <v>0</v>
      </c>
      <c r="L119" s="43" t="str">
        <f>IFERROR(getMatter(D119),"")</f>
        <v/>
      </c>
    </row>
    <row r="120" spans="2:12" hidden="1" x14ac:dyDescent="0.2">
      <c r="B120" s="109">
        <v>6</v>
      </c>
      <c r="C120" s="222" t="str">
        <f t="shared" si="48"/>
        <v/>
      </c>
      <c r="D120" s="113" t="s">
        <v>67</v>
      </c>
      <c r="E120" s="179"/>
      <c r="F120" s="59">
        <v>22</v>
      </c>
      <c r="G120" s="105">
        <f t="shared" si="49"/>
        <v>0</v>
      </c>
      <c r="H120" s="109" t="s">
        <v>58</v>
      </c>
      <c r="I120" s="310">
        <f t="shared" si="50"/>
        <v>0</v>
      </c>
      <c r="J120" s="180">
        <f t="shared" si="51"/>
        <v>0</v>
      </c>
      <c r="L120" s="43" t="str">
        <f>IFERROR(getMatter(D120),"")</f>
        <v/>
      </c>
    </row>
    <row r="121" spans="2:12" hidden="1" x14ac:dyDescent="0.2">
      <c r="B121" s="109">
        <v>7</v>
      </c>
      <c r="C121" s="222" t="str">
        <f t="shared" si="48"/>
        <v/>
      </c>
      <c r="D121" s="113" t="s">
        <v>68</v>
      </c>
      <c r="E121" s="179"/>
      <c r="F121" s="59">
        <v>195</v>
      </c>
      <c r="G121" s="105">
        <f t="shared" si="49"/>
        <v>0</v>
      </c>
      <c r="H121" s="109" t="s">
        <v>58</v>
      </c>
      <c r="I121" s="310">
        <f t="shared" si="50"/>
        <v>0</v>
      </c>
      <c r="J121" s="180">
        <f t="shared" si="51"/>
        <v>0</v>
      </c>
      <c r="L121" s="43" t="str">
        <f>IFERROR(getMatter(D121),"")</f>
        <v/>
      </c>
    </row>
    <row r="122" spans="2:12" hidden="1" x14ac:dyDescent="0.2">
      <c r="B122" s="109">
        <v>8</v>
      </c>
      <c r="C122" s="222" t="str">
        <f t="shared" si="48"/>
        <v/>
      </c>
      <c r="D122" s="113" t="s">
        <v>69</v>
      </c>
      <c r="E122" s="179"/>
      <c r="F122" s="177">
        <v>10</v>
      </c>
      <c r="G122" s="105">
        <f t="shared" si="49"/>
        <v>0</v>
      </c>
      <c r="H122" s="298" t="s">
        <v>58</v>
      </c>
      <c r="I122" s="310">
        <f t="shared" si="50"/>
        <v>0</v>
      </c>
      <c r="J122" s="180">
        <f t="shared" si="51"/>
        <v>0</v>
      </c>
      <c r="L122" s="43" t="str">
        <f>IFERROR(getMatter(D122),"")</f>
        <v/>
      </c>
    </row>
    <row r="123" spans="2:12" hidden="1" x14ac:dyDescent="0.2">
      <c r="B123" s="109">
        <v>9</v>
      </c>
      <c r="C123" s="222" t="str">
        <f t="shared" si="48"/>
        <v/>
      </c>
      <c r="D123" s="113" t="s">
        <v>70</v>
      </c>
      <c r="E123" s="179"/>
      <c r="F123" s="59">
        <v>3.0019999999999998</v>
      </c>
      <c r="G123" s="105">
        <f>N*F123*Sи/100/1000*Квг</f>
        <v>0</v>
      </c>
      <c r="H123" s="298" t="s">
        <v>185</v>
      </c>
      <c r="I123" s="310">
        <f t="shared" si="50"/>
        <v>0</v>
      </c>
      <c r="J123" s="180">
        <f t="shared" si="51"/>
        <v>0</v>
      </c>
      <c r="L123" s="43" t="str">
        <f>IFERROR(getMatter(D123),"")</f>
        <v/>
      </c>
    </row>
    <row r="124" spans="2:12" ht="12" hidden="1" thickBot="1" x14ac:dyDescent="0.25">
      <c r="B124" s="109">
        <v>10</v>
      </c>
      <c r="C124" s="222" t="str">
        <f t="shared" si="48"/>
        <v/>
      </c>
      <c r="D124" s="113" t="s">
        <v>168</v>
      </c>
      <c r="E124" s="179"/>
      <c r="F124" s="59">
        <v>9</v>
      </c>
      <c r="G124" s="105">
        <f>F124*Площадь_заготовок/100/1000*Квг*(IF(Sи&gt;0,1,0))</f>
        <v>0</v>
      </c>
      <c r="H124" s="298" t="s">
        <v>58</v>
      </c>
      <c r="I124" s="310">
        <f t="shared" si="50"/>
        <v>0</v>
      </c>
      <c r="J124" s="180">
        <f t="shared" si="51"/>
        <v>0</v>
      </c>
      <c r="L124" s="43" t="str">
        <f>IFERROR(getMatter(D124),"")</f>
        <v/>
      </c>
    </row>
    <row r="125" spans="2:12" ht="12" hidden="1" thickBot="1" x14ac:dyDescent="0.25">
      <c r="B125" s="102"/>
      <c r="C125" s="104"/>
      <c r="D125" s="114"/>
      <c r="E125" s="114"/>
      <c r="F125" s="114"/>
      <c r="G125" s="114"/>
      <c r="H125" s="114"/>
      <c r="I125" s="48"/>
      <c r="J125" s="107">
        <f>SUM(J115:J124)</f>
        <v>0</v>
      </c>
    </row>
    <row r="126" spans="2:12" ht="12" thickBot="1" x14ac:dyDescent="0.25">
      <c r="B126" s="104"/>
      <c r="C126" s="114"/>
      <c r="D126" s="114"/>
      <c r="E126" s="104"/>
      <c r="F126" s="104"/>
      <c r="G126" s="104"/>
      <c r="H126" s="104"/>
      <c r="I126" s="110"/>
    </row>
    <row r="127" spans="2:12" ht="12" thickBot="1" x14ac:dyDescent="0.25">
      <c r="B127" s="303" t="s">
        <v>132</v>
      </c>
      <c r="D127" s="115"/>
      <c r="E127" s="104"/>
      <c r="F127" s="104"/>
      <c r="G127" s="104"/>
      <c r="H127" s="104"/>
      <c r="J127" s="107">
        <f>Материалы_основные+Материалы_ЖМ+Материалы_КМ+Материалы_ФМ+Материалы_золочение+Материалы_МП+Материалы_ФШ+Материалы_ГорПОС+Материалы_Legend+ПКИ</f>
        <v>45290.882761457593</v>
      </c>
    </row>
  </sheetData>
  <sortState ref="D10:D61">
    <sortCondition ref="D10"/>
  </sortState>
  <mergeCells count="20">
    <mergeCell ref="B91:I91"/>
    <mergeCell ref="B109:I109"/>
    <mergeCell ref="B114:I114"/>
    <mergeCell ref="B104:I104"/>
    <mergeCell ref="D71:I71"/>
    <mergeCell ref="B80:I80"/>
    <mergeCell ref="H72:I72"/>
    <mergeCell ref="B73:I73"/>
    <mergeCell ref="B1:J1"/>
    <mergeCell ref="B2:J2"/>
    <mergeCell ref="B3:J3"/>
    <mergeCell ref="B5:J5"/>
    <mergeCell ref="B7:B8"/>
    <mergeCell ref="J7:J8"/>
    <mergeCell ref="D7:D8"/>
    <mergeCell ref="I7:I8"/>
    <mergeCell ref="C7:C8"/>
    <mergeCell ref="H7:H8"/>
    <mergeCell ref="E7:F7"/>
    <mergeCell ref="G7:G8"/>
  </mergeCells>
  <phoneticPr fontId="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7" fitToHeight="2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E31"/>
  <sheetViews>
    <sheetView zoomScaleNormal="100" workbookViewId="0">
      <selection activeCell="C11" sqref="C1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29" customWidth="1"/>
    <col min="6" max="6" width="9.140625" bestFit="1" customWidth="1"/>
    <col min="8" max="8" width="10.140625" bestFit="1" customWidth="1"/>
  </cols>
  <sheetData>
    <row r="1" spans="1:4" x14ac:dyDescent="0.2">
      <c r="C1" s="173" t="s">
        <v>180</v>
      </c>
      <c r="D1" s="44"/>
    </row>
    <row r="2" spans="1:4" x14ac:dyDescent="0.2">
      <c r="C2" s="52" t="s">
        <v>37</v>
      </c>
      <c r="D2" s="52"/>
    </row>
    <row r="4" spans="1:4" x14ac:dyDescent="0.2">
      <c r="A4" s="461" t="s">
        <v>175</v>
      </c>
      <c r="B4" s="461"/>
      <c r="C4" s="461"/>
      <c r="D4" s="182"/>
    </row>
    <row r="5" spans="1:4" x14ac:dyDescent="0.2">
      <c r="A5" s="461" t="str">
        <f>CONCATENATE("на изготовление МПП ",Наименование_платы," в кол-ве ",П," шт.")</f>
        <v>на изготовление МПП Децимальный номер платы в кол-ве 20 шт.</v>
      </c>
      <c r="B5" s="461"/>
      <c r="C5" s="461"/>
      <c r="D5" s="41"/>
    </row>
    <row r="6" spans="1:4" x14ac:dyDescent="0.2">
      <c r="A6" s="461" t="str">
        <f>Номер_письма</f>
        <v>Номер заказа от дата</v>
      </c>
      <c r="B6" s="461"/>
      <c r="C6" s="461"/>
      <c r="D6" s="41"/>
    </row>
    <row r="7" spans="1:4" x14ac:dyDescent="0.2">
      <c r="B7" s="1"/>
    </row>
    <row r="8" spans="1:4" x14ac:dyDescent="0.2">
      <c r="B8" s="1"/>
    </row>
    <row r="9" spans="1:4" ht="13.5" thickBot="1" x14ac:dyDescent="0.25"/>
    <row r="10" spans="1:4" ht="13.5" thickBot="1" x14ac:dyDescent="0.25">
      <c r="A10" s="200" t="s">
        <v>38</v>
      </c>
      <c r="B10" s="201" t="s">
        <v>39</v>
      </c>
      <c r="C10" s="202" t="s">
        <v>27</v>
      </c>
    </row>
    <row r="11" spans="1:4" x14ac:dyDescent="0.2">
      <c r="A11" s="203">
        <v>1</v>
      </c>
      <c r="B11" s="204" t="s">
        <v>40</v>
      </c>
      <c r="C11" s="213">
        <f>(Себестоимость-C14)/(1+Социальный_налог/100+Накладные_расходы/100)</f>
        <v>47679.930428855514</v>
      </c>
    </row>
    <row r="12" spans="1:4" x14ac:dyDescent="0.2">
      <c r="A12" s="51">
        <v>2</v>
      </c>
      <c r="B12" s="39" t="str">
        <f>CONCATENATE("Социальный налог (",Социальный_налог,"%)")</f>
        <v>Социальный налог (30.6%)</v>
      </c>
      <c r="C12" s="214">
        <f>C11*Социальный_налог/100</f>
        <v>14590.058711229789</v>
      </c>
    </row>
    <row r="13" spans="1:4" x14ac:dyDescent="0.2">
      <c r="A13" s="51">
        <v>3</v>
      </c>
      <c r="B13" s="39" t="str">
        <f>CONCATENATE("Накладные расходы (",Накладные_расходы,"%)")</f>
        <v>Накладные расходы (295%)</v>
      </c>
      <c r="C13" s="214">
        <f>C11*Накладные_расходы/100</f>
        <v>140655.79476512375</v>
      </c>
    </row>
    <row r="14" spans="1:4" x14ac:dyDescent="0.2">
      <c r="A14" s="51">
        <v>4</v>
      </c>
      <c r="B14" s="39" t="s">
        <v>94</v>
      </c>
      <c r="C14" s="214">
        <f>Материалы_всего</f>
        <v>45290.882761457593</v>
      </c>
      <c r="D14" s="193"/>
    </row>
    <row r="15" spans="1:4" x14ac:dyDescent="0.2">
      <c r="A15" s="51">
        <v>5</v>
      </c>
      <c r="B15" s="39" t="s">
        <v>41</v>
      </c>
      <c r="C15" s="214">
        <f>Цена-Накопления</f>
        <v>248216.66666666666</v>
      </c>
    </row>
    <row r="16" spans="1:4" x14ac:dyDescent="0.2">
      <c r="A16" s="51">
        <v>6</v>
      </c>
      <c r="B16" s="39" t="str">
        <f>CONCATENATE("Плановые накопления (",Плановые_накопления,"% от себестоимости)")</f>
        <v>Плановые накопления (20% от себестоимости)</v>
      </c>
      <c r="C16" s="214">
        <f>Цена*(Плановые_накопления/100)/(1+Плановые_накопления/100)</f>
        <v>49643.333333333336</v>
      </c>
    </row>
    <row r="17" spans="1:5" x14ac:dyDescent="0.2">
      <c r="A17" s="51">
        <v>7</v>
      </c>
      <c r="B17" s="39" t="s">
        <v>173</v>
      </c>
      <c r="C17" s="215">
        <f>Цена_одной_без_НДС*П</f>
        <v>297860</v>
      </c>
      <c r="E17" s="50"/>
    </row>
    <row r="18" spans="1:5" x14ac:dyDescent="0.2">
      <c r="A18" s="199">
        <v>8</v>
      </c>
      <c r="B18" s="90" t="s">
        <v>142</v>
      </c>
      <c r="C18" s="214">
        <f>Цена_одной_без_НДС</f>
        <v>14893</v>
      </c>
    </row>
    <row r="19" spans="1:5" ht="13.5" thickBot="1" x14ac:dyDescent="0.25">
      <c r="A19" s="157"/>
      <c r="B19" s="181"/>
      <c r="C19" s="205"/>
    </row>
    <row r="20" spans="1:5" x14ac:dyDescent="0.2">
      <c r="A20" s="2"/>
      <c r="B20" s="2"/>
      <c r="C20" s="8"/>
    </row>
    <row r="21" spans="1:5" x14ac:dyDescent="0.2">
      <c r="A21" s="216"/>
      <c r="B21" s="2" t="s">
        <v>176</v>
      </c>
      <c r="C21" s="8"/>
    </row>
    <row r="22" spans="1:5" x14ac:dyDescent="0.2">
      <c r="A22" s="216"/>
      <c r="B22" s="118" t="s">
        <v>177</v>
      </c>
      <c r="C22" s="8"/>
    </row>
    <row r="23" spans="1:5" x14ac:dyDescent="0.2">
      <c r="A23" s="216"/>
      <c r="B23" s="118" t="s">
        <v>178</v>
      </c>
      <c r="C23" s="8"/>
    </row>
    <row r="24" spans="1:5" x14ac:dyDescent="0.2">
      <c r="A24" s="2"/>
      <c r="B24" s="118" t="s">
        <v>179</v>
      </c>
      <c r="C24" s="8"/>
    </row>
    <row r="25" spans="1:5" x14ac:dyDescent="0.2">
      <c r="A25" s="2"/>
      <c r="B25" s="2"/>
      <c r="C25" s="8"/>
    </row>
    <row r="27" spans="1:5" x14ac:dyDescent="0.2">
      <c r="A27" s="172"/>
      <c r="C27" s="40"/>
    </row>
    <row r="28" spans="1:5" ht="22.15" customHeight="1" x14ac:dyDescent="0.2">
      <c r="C28" s="40"/>
    </row>
    <row r="29" spans="1:5" ht="44.45" customHeight="1" x14ac:dyDescent="0.2">
      <c r="A29" s="41"/>
    </row>
    <row r="30" spans="1:5" x14ac:dyDescent="0.2">
      <c r="A30" s="41"/>
      <c r="C30" s="40"/>
    </row>
    <row r="31" spans="1:5" ht="23.45" customHeight="1" x14ac:dyDescent="0.2">
      <c r="C31" s="40"/>
    </row>
  </sheetData>
  <mergeCells count="3">
    <mergeCell ref="A4:C4"/>
    <mergeCell ref="A5:C5"/>
    <mergeCell ref="A6:C6"/>
  </mergeCells>
  <phoneticPr fontId="8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35"/>
  <sheetViews>
    <sheetView workbookViewId="0">
      <selection activeCell="C18" sqref="C18"/>
    </sheetView>
  </sheetViews>
  <sheetFormatPr defaultRowHeight="15" x14ac:dyDescent="0.2"/>
  <cols>
    <col min="1" max="1" width="10.140625" style="277" customWidth="1"/>
    <col min="2" max="2" width="53.85546875" style="277" bestFit="1" customWidth="1"/>
    <col min="3" max="3" width="15.7109375" style="277" customWidth="1"/>
    <col min="4" max="5" width="9.140625" style="277"/>
    <col min="6" max="6" width="27" style="277" bestFit="1" customWidth="1"/>
    <col min="7" max="16384" width="9.140625" style="277"/>
  </cols>
  <sheetData>
    <row r="1" spans="1:7" ht="30" x14ac:dyDescent="0.2">
      <c r="A1" s="274" t="s">
        <v>249</v>
      </c>
      <c r="B1" s="275" t="s">
        <v>55</v>
      </c>
      <c r="C1" s="276" t="s">
        <v>248</v>
      </c>
    </row>
    <row r="2" spans="1:7" x14ac:dyDescent="0.2">
      <c r="A2" s="278">
        <v>1</v>
      </c>
      <c r="B2" s="279" t="s">
        <v>247</v>
      </c>
      <c r="C2" s="280">
        <v>0</v>
      </c>
    </row>
    <row r="3" spans="1:7" x14ac:dyDescent="0.2">
      <c r="A3" s="278">
        <v>2</v>
      </c>
      <c r="B3" s="279" t="s">
        <v>394</v>
      </c>
      <c r="C3" s="280">
        <v>0</v>
      </c>
      <c r="F3" s="323" t="s">
        <v>354</v>
      </c>
      <c r="G3" s="324">
        <v>2</v>
      </c>
    </row>
    <row r="4" spans="1:7" x14ac:dyDescent="0.2">
      <c r="A4" s="278">
        <v>3</v>
      </c>
      <c r="B4" s="281" t="s">
        <v>365</v>
      </c>
      <c r="C4" s="282">
        <v>2</v>
      </c>
      <c r="F4" s="318" t="s">
        <v>355</v>
      </c>
      <c r="G4" s="325">
        <v>2</v>
      </c>
    </row>
    <row r="5" spans="1:7" x14ac:dyDescent="0.2">
      <c r="A5" s="278">
        <v>4</v>
      </c>
      <c r="B5" s="281" t="s">
        <v>366</v>
      </c>
      <c r="C5" s="282">
        <v>2</v>
      </c>
      <c r="F5" s="319" t="s">
        <v>356</v>
      </c>
      <c r="G5" s="326">
        <v>2</v>
      </c>
    </row>
    <row r="6" spans="1:7" x14ac:dyDescent="0.2">
      <c r="A6" s="278">
        <v>5</v>
      </c>
      <c r="B6" s="281" t="s">
        <v>367</v>
      </c>
      <c r="C6" s="282">
        <v>2</v>
      </c>
      <c r="F6" s="318" t="s">
        <v>357</v>
      </c>
      <c r="G6" s="325">
        <v>2</v>
      </c>
    </row>
    <row r="7" spans="1:7" x14ac:dyDescent="0.2">
      <c r="A7" s="278">
        <v>6</v>
      </c>
      <c r="B7" s="281" t="s">
        <v>368</v>
      </c>
      <c r="C7" s="282">
        <v>2</v>
      </c>
      <c r="F7" s="319" t="s">
        <v>358</v>
      </c>
      <c r="G7" s="326">
        <v>2</v>
      </c>
    </row>
    <row r="8" spans="1:7" x14ac:dyDescent="0.2">
      <c r="A8" s="278">
        <v>7</v>
      </c>
      <c r="B8" s="281" t="s">
        <v>370</v>
      </c>
      <c r="C8" s="282">
        <v>2</v>
      </c>
      <c r="F8" s="318" t="s">
        <v>359</v>
      </c>
      <c r="G8" s="325">
        <v>2</v>
      </c>
    </row>
    <row r="9" spans="1:7" x14ac:dyDescent="0.2">
      <c r="A9" s="278">
        <v>8</v>
      </c>
      <c r="B9" s="281" t="s">
        <v>371</v>
      </c>
      <c r="C9" s="282">
        <v>2</v>
      </c>
      <c r="F9" s="319" t="s">
        <v>360</v>
      </c>
      <c r="G9" s="326">
        <v>2</v>
      </c>
    </row>
    <row r="10" spans="1:7" x14ac:dyDescent="0.2">
      <c r="A10" s="278">
        <v>9</v>
      </c>
      <c r="B10" s="330" t="s">
        <v>400</v>
      </c>
      <c r="C10" s="282">
        <v>1</v>
      </c>
      <c r="F10" s="318" t="s">
        <v>361</v>
      </c>
      <c r="G10" s="325">
        <v>2</v>
      </c>
    </row>
    <row r="11" spans="1:7" x14ac:dyDescent="0.2">
      <c r="A11" s="278">
        <v>10</v>
      </c>
      <c r="B11" s="331" t="s">
        <v>401</v>
      </c>
      <c r="C11" s="282">
        <v>1</v>
      </c>
      <c r="F11" s="319" t="s">
        <v>362</v>
      </c>
      <c r="G11" s="326">
        <v>2</v>
      </c>
    </row>
    <row r="12" spans="1:7" x14ac:dyDescent="0.2">
      <c r="A12" s="278">
        <v>11</v>
      </c>
      <c r="B12" s="331" t="s">
        <v>402</v>
      </c>
      <c r="C12" s="282">
        <v>1</v>
      </c>
      <c r="F12" s="318" t="s">
        <v>363</v>
      </c>
      <c r="G12" s="325">
        <v>2</v>
      </c>
    </row>
    <row r="13" spans="1:7" x14ac:dyDescent="0.2">
      <c r="A13" s="278">
        <v>12</v>
      </c>
      <c r="B13" s="331" t="s">
        <v>403</v>
      </c>
      <c r="C13" s="282">
        <v>1</v>
      </c>
      <c r="F13" s="319" t="s">
        <v>364</v>
      </c>
      <c r="G13" s="326">
        <v>2</v>
      </c>
    </row>
    <row r="14" spans="1:7" x14ac:dyDescent="0.2">
      <c r="A14" s="278">
        <v>13</v>
      </c>
      <c r="B14" s="331" t="s">
        <v>404</v>
      </c>
      <c r="C14" s="282">
        <v>1</v>
      </c>
      <c r="F14" s="318" t="s">
        <v>365</v>
      </c>
      <c r="G14" s="325">
        <v>2</v>
      </c>
    </row>
    <row r="15" spans="1:7" x14ac:dyDescent="0.2">
      <c r="A15" s="278">
        <v>14</v>
      </c>
      <c r="B15" s="331" t="s">
        <v>405</v>
      </c>
      <c r="C15" s="282">
        <v>1</v>
      </c>
      <c r="F15" s="319" t="s">
        <v>366</v>
      </c>
      <c r="G15" s="326">
        <v>2</v>
      </c>
    </row>
    <row r="16" spans="1:7" x14ac:dyDescent="0.2">
      <c r="A16" s="278">
        <v>15</v>
      </c>
      <c r="B16" s="331" t="s">
        <v>406</v>
      </c>
      <c r="C16" s="282">
        <v>1</v>
      </c>
      <c r="F16" s="318" t="s">
        <v>367</v>
      </c>
      <c r="G16" s="325">
        <v>2</v>
      </c>
    </row>
    <row r="17" spans="1:7" x14ac:dyDescent="0.2">
      <c r="A17" s="278">
        <v>16</v>
      </c>
      <c r="B17" s="281" t="s">
        <v>421</v>
      </c>
      <c r="C17" s="282">
        <v>0</v>
      </c>
      <c r="F17" s="319" t="s">
        <v>368</v>
      </c>
      <c r="G17" s="326">
        <v>2</v>
      </c>
    </row>
    <row r="18" spans="1:7" x14ac:dyDescent="0.2">
      <c r="A18" s="278">
        <v>17</v>
      </c>
      <c r="B18" s="281"/>
      <c r="C18" s="282"/>
      <c r="F18" s="318" t="s">
        <v>369</v>
      </c>
      <c r="G18" s="325">
        <v>2</v>
      </c>
    </row>
    <row r="19" spans="1:7" x14ac:dyDescent="0.2">
      <c r="A19" s="278">
        <v>18</v>
      </c>
      <c r="B19" s="281"/>
      <c r="C19" s="282"/>
      <c r="F19" s="319" t="s">
        <v>370</v>
      </c>
      <c r="G19" s="326">
        <v>2</v>
      </c>
    </row>
    <row r="20" spans="1:7" x14ac:dyDescent="0.2">
      <c r="A20" s="278">
        <v>19</v>
      </c>
      <c r="B20" s="281"/>
      <c r="C20" s="282"/>
      <c r="F20" s="318" t="s">
        <v>371</v>
      </c>
      <c r="G20" s="325">
        <v>2</v>
      </c>
    </row>
    <row r="21" spans="1:7" x14ac:dyDescent="0.2">
      <c r="A21" s="278">
        <v>20</v>
      </c>
      <c r="B21" s="281"/>
      <c r="C21" s="282"/>
      <c r="F21" s="319" t="s">
        <v>372</v>
      </c>
      <c r="G21" s="326">
        <v>2</v>
      </c>
    </row>
    <row r="22" spans="1:7" x14ac:dyDescent="0.2">
      <c r="A22" s="278">
        <v>21</v>
      </c>
      <c r="B22" s="281"/>
      <c r="C22" s="282"/>
      <c r="F22" s="318" t="s">
        <v>373</v>
      </c>
      <c r="G22" s="325">
        <v>2</v>
      </c>
    </row>
    <row r="23" spans="1:7" x14ac:dyDescent="0.2">
      <c r="A23" s="278">
        <v>22</v>
      </c>
      <c r="B23" s="281"/>
      <c r="C23" s="282"/>
      <c r="F23" s="319" t="s">
        <v>374</v>
      </c>
      <c r="G23" s="326">
        <v>2</v>
      </c>
    </row>
    <row r="24" spans="1:7" x14ac:dyDescent="0.2">
      <c r="A24" s="278">
        <v>23</v>
      </c>
      <c r="B24" s="281"/>
      <c r="C24" s="282"/>
      <c r="F24" s="318" t="s">
        <v>375</v>
      </c>
      <c r="G24" s="325">
        <v>2</v>
      </c>
    </row>
    <row r="25" spans="1:7" x14ac:dyDescent="0.2">
      <c r="A25" s="278">
        <v>24</v>
      </c>
      <c r="B25" s="281"/>
      <c r="C25" s="282"/>
      <c r="F25" s="319" t="s">
        <v>363</v>
      </c>
      <c r="G25" s="326">
        <v>2</v>
      </c>
    </row>
    <row r="26" spans="1:7" x14ac:dyDescent="0.2">
      <c r="A26" s="278">
        <v>25</v>
      </c>
      <c r="B26" s="281"/>
      <c r="C26" s="282"/>
      <c r="F26" s="318" t="s">
        <v>308</v>
      </c>
      <c r="G26" s="325">
        <v>2</v>
      </c>
    </row>
    <row r="27" spans="1:7" x14ac:dyDescent="0.2">
      <c r="A27" s="278">
        <v>26</v>
      </c>
      <c r="B27" s="281"/>
      <c r="C27" s="282"/>
      <c r="F27" s="319" t="s">
        <v>309</v>
      </c>
      <c r="G27" s="326">
        <v>2</v>
      </c>
    </row>
    <row r="28" spans="1:7" x14ac:dyDescent="0.2">
      <c r="A28" s="278">
        <v>27</v>
      </c>
      <c r="B28" s="281"/>
      <c r="C28" s="282"/>
      <c r="F28" s="318" t="s">
        <v>310</v>
      </c>
      <c r="G28" s="325">
        <v>2</v>
      </c>
    </row>
    <row r="29" spans="1:7" x14ac:dyDescent="0.2">
      <c r="A29" s="278">
        <v>28</v>
      </c>
      <c r="B29" s="281"/>
      <c r="C29" s="282"/>
      <c r="F29" s="319" t="s">
        <v>311</v>
      </c>
      <c r="G29" s="326">
        <v>2</v>
      </c>
    </row>
    <row r="30" spans="1:7" x14ac:dyDescent="0.2">
      <c r="A30" s="278">
        <v>29</v>
      </c>
      <c r="B30" s="281"/>
      <c r="C30" s="282"/>
      <c r="F30" s="318" t="s">
        <v>312</v>
      </c>
      <c r="G30" s="325">
        <v>2</v>
      </c>
    </row>
    <row r="31" spans="1:7" x14ac:dyDescent="0.2">
      <c r="A31" s="278">
        <v>30</v>
      </c>
      <c r="B31" s="281"/>
      <c r="C31" s="282"/>
      <c r="F31" s="319" t="s">
        <v>313</v>
      </c>
      <c r="G31" s="326">
        <v>2</v>
      </c>
    </row>
    <row r="32" spans="1:7" x14ac:dyDescent="0.2">
      <c r="A32" s="278">
        <v>31</v>
      </c>
      <c r="B32" s="281"/>
      <c r="C32" s="282"/>
      <c r="F32" s="318" t="s">
        <v>314</v>
      </c>
      <c r="G32" s="325">
        <v>2</v>
      </c>
    </row>
    <row r="33" spans="1:7" x14ac:dyDescent="0.2">
      <c r="A33" s="278">
        <v>32</v>
      </c>
      <c r="B33" s="281"/>
      <c r="C33" s="282"/>
      <c r="F33" s="319" t="s">
        <v>315</v>
      </c>
      <c r="G33" s="326">
        <v>3</v>
      </c>
    </row>
    <row r="34" spans="1:7" x14ac:dyDescent="0.2">
      <c r="A34" s="278">
        <v>33</v>
      </c>
      <c r="B34" s="281"/>
      <c r="C34" s="282"/>
      <c r="F34" s="318" t="s">
        <v>316</v>
      </c>
      <c r="G34" s="325">
        <v>3</v>
      </c>
    </row>
    <row r="35" spans="1:7" x14ac:dyDescent="0.2">
      <c r="A35" s="278">
        <v>34</v>
      </c>
      <c r="B35" s="281"/>
      <c r="C35" s="282"/>
      <c r="F35" s="319" t="s">
        <v>317</v>
      </c>
      <c r="G35" s="326">
        <v>3</v>
      </c>
    </row>
    <row r="36" spans="1:7" x14ac:dyDescent="0.2">
      <c r="A36" s="278">
        <v>35</v>
      </c>
      <c r="B36" s="281"/>
      <c r="C36" s="282"/>
      <c r="F36" s="318" t="s">
        <v>318</v>
      </c>
      <c r="G36" s="325">
        <v>3</v>
      </c>
    </row>
    <row r="37" spans="1:7" x14ac:dyDescent="0.2">
      <c r="A37" s="278">
        <v>36</v>
      </c>
      <c r="B37" s="281"/>
      <c r="C37" s="282"/>
      <c r="F37" s="319" t="s">
        <v>319</v>
      </c>
      <c r="G37" s="326">
        <v>3</v>
      </c>
    </row>
    <row r="38" spans="1:7" x14ac:dyDescent="0.2">
      <c r="A38" s="278">
        <v>37</v>
      </c>
      <c r="B38" s="281"/>
      <c r="C38" s="282"/>
      <c r="F38" s="318" t="s">
        <v>320</v>
      </c>
      <c r="G38" s="325">
        <v>3</v>
      </c>
    </row>
    <row r="39" spans="1:7" x14ac:dyDescent="0.2">
      <c r="A39" s="278">
        <v>38</v>
      </c>
      <c r="B39" s="281"/>
      <c r="C39" s="282"/>
      <c r="F39" s="319" t="s">
        <v>321</v>
      </c>
      <c r="G39" s="326">
        <v>3</v>
      </c>
    </row>
    <row r="40" spans="1:7" x14ac:dyDescent="0.2">
      <c r="A40" s="283">
        <v>39</v>
      </c>
      <c r="B40" s="284"/>
      <c r="C40" s="285"/>
      <c r="F40" s="320" t="s">
        <v>322</v>
      </c>
      <c r="G40" s="327">
        <v>3</v>
      </c>
    </row>
    <row r="41" spans="1:7" x14ac:dyDescent="0.2">
      <c r="A41" s="286">
        <v>40</v>
      </c>
      <c r="B41" s="273"/>
      <c r="C41" s="287"/>
      <c r="F41" s="321" t="s">
        <v>389</v>
      </c>
      <c r="G41" s="328">
        <v>0</v>
      </c>
    </row>
    <row r="42" spans="1:7" x14ac:dyDescent="0.2">
      <c r="A42" s="286">
        <v>41</v>
      </c>
      <c r="B42" s="273"/>
      <c r="C42" s="287"/>
      <c r="F42" s="322" t="s">
        <v>390</v>
      </c>
      <c r="G42" s="329">
        <v>0</v>
      </c>
    </row>
    <row r="43" spans="1:7" x14ac:dyDescent="0.2">
      <c r="A43" s="286">
        <v>42</v>
      </c>
      <c r="B43" s="273"/>
      <c r="C43" s="287"/>
      <c r="F43" s="321" t="s">
        <v>391</v>
      </c>
      <c r="G43" s="328">
        <v>0</v>
      </c>
    </row>
    <row r="44" spans="1:7" x14ac:dyDescent="0.2">
      <c r="A44" s="286">
        <v>43</v>
      </c>
      <c r="B44" s="273"/>
      <c r="C44" s="287"/>
      <c r="F44" s="322" t="s">
        <v>392</v>
      </c>
      <c r="G44" s="329">
        <v>0</v>
      </c>
    </row>
    <row r="45" spans="1:7" x14ac:dyDescent="0.2">
      <c r="A45" s="286">
        <v>44</v>
      </c>
      <c r="B45" s="273"/>
      <c r="C45" s="287"/>
      <c r="F45" s="321" t="s">
        <v>393</v>
      </c>
      <c r="G45" s="328">
        <v>0</v>
      </c>
    </row>
    <row r="46" spans="1:7" x14ac:dyDescent="0.2">
      <c r="A46" s="286">
        <v>45</v>
      </c>
      <c r="B46" s="273"/>
      <c r="C46" s="287"/>
      <c r="F46" s="322" t="s">
        <v>394</v>
      </c>
      <c r="G46" s="329">
        <v>0</v>
      </c>
    </row>
    <row r="47" spans="1:7" x14ac:dyDescent="0.2">
      <c r="A47" s="286">
        <v>46</v>
      </c>
      <c r="B47" s="273"/>
      <c r="C47" s="287"/>
      <c r="F47" s="321" t="s">
        <v>395</v>
      </c>
      <c r="G47" s="328">
        <v>0</v>
      </c>
    </row>
    <row r="48" spans="1:7" x14ac:dyDescent="0.2">
      <c r="A48" s="286">
        <v>47</v>
      </c>
      <c r="B48" s="273"/>
      <c r="C48" s="287"/>
      <c r="F48" s="322" t="s">
        <v>396</v>
      </c>
      <c r="G48" s="329">
        <v>0</v>
      </c>
    </row>
    <row r="49" spans="1:7" x14ac:dyDescent="0.2">
      <c r="A49" s="286">
        <v>48</v>
      </c>
      <c r="B49" s="273"/>
      <c r="C49" s="287"/>
      <c r="F49" s="321" t="s">
        <v>397</v>
      </c>
      <c r="G49" s="328">
        <v>0</v>
      </c>
    </row>
    <row r="50" spans="1:7" x14ac:dyDescent="0.2">
      <c r="A50" s="286">
        <v>49</v>
      </c>
      <c r="B50" s="273"/>
      <c r="C50" s="287"/>
      <c r="F50" s="322" t="s">
        <v>398</v>
      </c>
      <c r="G50" s="329">
        <v>0</v>
      </c>
    </row>
    <row r="51" spans="1:7" x14ac:dyDescent="0.2">
      <c r="A51" s="286">
        <v>50</v>
      </c>
      <c r="B51" s="273"/>
      <c r="C51" s="287"/>
      <c r="F51" s="321" t="s">
        <v>399</v>
      </c>
      <c r="G51" s="328">
        <v>0</v>
      </c>
    </row>
    <row r="52" spans="1:7" x14ac:dyDescent="0.2">
      <c r="A52" s="286">
        <v>51</v>
      </c>
      <c r="B52" s="273"/>
      <c r="C52" s="287"/>
      <c r="F52" s="322" t="s">
        <v>323</v>
      </c>
      <c r="G52" s="329">
        <v>0</v>
      </c>
    </row>
    <row r="53" spans="1:7" x14ac:dyDescent="0.2">
      <c r="A53" s="286">
        <v>52</v>
      </c>
      <c r="B53" s="273"/>
      <c r="C53" s="287"/>
      <c r="F53" s="321" t="s">
        <v>324</v>
      </c>
      <c r="G53" s="328">
        <v>0</v>
      </c>
    </row>
    <row r="54" spans="1:7" x14ac:dyDescent="0.2">
      <c r="A54" s="286">
        <v>53</v>
      </c>
      <c r="B54" s="273"/>
      <c r="C54" s="287"/>
      <c r="F54" s="322" t="s">
        <v>325</v>
      </c>
      <c r="G54" s="329">
        <v>0</v>
      </c>
    </row>
    <row r="55" spans="1:7" x14ac:dyDescent="0.2">
      <c r="A55" s="286">
        <v>54</v>
      </c>
      <c r="B55" s="273"/>
      <c r="C55" s="287"/>
      <c r="F55" s="321" t="s">
        <v>326</v>
      </c>
      <c r="G55" s="328">
        <v>0</v>
      </c>
    </row>
    <row r="56" spans="1:7" x14ac:dyDescent="0.2">
      <c r="A56" s="286">
        <v>55</v>
      </c>
      <c r="B56" s="273"/>
      <c r="C56" s="287"/>
      <c r="F56" s="322" t="s">
        <v>327</v>
      </c>
      <c r="G56" s="329">
        <v>0</v>
      </c>
    </row>
    <row r="57" spans="1:7" x14ac:dyDescent="0.2">
      <c r="A57" s="286">
        <v>56</v>
      </c>
      <c r="B57" s="273"/>
      <c r="C57" s="287"/>
      <c r="F57" s="321" t="s">
        <v>328</v>
      </c>
      <c r="G57" s="328">
        <v>0</v>
      </c>
    </row>
    <row r="58" spans="1:7" x14ac:dyDescent="0.2">
      <c r="A58" s="286">
        <v>57</v>
      </c>
      <c r="B58" s="273"/>
      <c r="C58" s="287"/>
      <c r="F58" s="322" t="s">
        <v>329</v>
      </c>
      <c r="G58" s="329">
        <v>0</v>
      </c>
    </row>
    <row r="59" spans="1:7" x14ac:dyDescent="0.2">
      <c r="A59" s="286">
        <v>58</v>
      </c>
      <c r="B59" s="273"/>
      <c r="C59" s="287"/>
      <c r="F59" s="321" t="s">
        <v>330</v>
      </c>
      <c r="G59" s="328">
        <v>0</v>
      </c>
    </row>
    <row r="60" spans="1:7" x14ac:dyDescent="0.2">
      <c r="A60" s="286">
        <v>59</v>
      </c>
      <c r="B60" s="273"/>
      <c r="C60" s="287"/>
      <c r="F60" s="322" t="s">
        <v>331</v>
      </c>
      <c r="G60" s="329">
        <v>0</v>
      </c>
    </row>
    <row r="61" spans="1:7" x14ac:dyDescent="0.2">
      <c r="A61" s="286">
        <v>60</v>
      </c>
      <c r="B61" s="273"/>
      <c r="C61" s="287"/>
      <c r="F61" s="321" t="s">
        <v>332</v>
      </c>
      <c r="G61" s="328">
        <v>0</v>
      </c>
    </row>
    <row r="62" spans="1:7" x14ac:dyDescent="0.2">
      <c r="A62" s="286">
        <v>61</v>
      </c>
      <c r="B62" s="273"/>
      <c r="C62" s="287"/>
      <c r="F62" s="322" t="s">
        <v>333</v>
      </c>
      <c r="G62" s="329">
        <v>0</v>
      </c>
    </row>
    <row r="63" spans="1:7" x14ac:dyDescent="0.2">
      <c r="A63" s="286">
        <v>62</v>
      </c>
      <c r="B63" s="273"/>
      <c r="C63" s="287"/>
      <c r="F63" s="321" t="s">
        <v>334</v>
      </c>
      <c r="G63" s="328">
        <v>0</v>
      </c>
    </row>
    <row r="64" spans="1:7" x14ac:dyDescent="0.2">
      <c r="A64" s="286">
        <v>63</v>
      </c>
      <c r="B64" s="273"/>
      <c r="C64" s="287"/>
      <c r="F64" s="322" t="s">
        <v>335</v>
      </c>
      <c r="G64" s="329">
        <v>0</v>
      </c>
    </row>
    <row r="65" spans="1:7" x14ac:dyDescent="0.2">
      <c r="A65" s="286">
        <v>64</v>
      </c>
      <c r="B65" s="273"/>
      <c r="C65" s="287"/>
      <c r="F65" s="321" t="s">
        <v>336</v>
      </c>
      <c r="G65" s="328">
        <v>0</v>
      </c>
    </row>
    <row r="66" spans="1:7" x14ac:dyDescent="0.2">
      <c r="A66" s="286">
        <v>65</v>
      </c>
      <c r="B66" s="273"/>
      <c r="C66" s="287"/>
      <c r="F66" s="322" t="s">
        <v>337</v>
      </c>
      <c r="G66" s="329">
        <v>0</v>
      </c>
    </row>
    <row r="67" spans="1:7" x14ac:dyDescent="0.2">
      <c r="A67" s="286">
        <v>66</v>
      </c>
      <c r="B67" s="273"/>
      <c r="C67" s="287"/>
      <c r="F67" s="321" t="s">
        <v>338</v>
      </c>
      <c r="G67" s="328">
        <v>0</v>
      </c>
    </row>
    <row r="68" spans="1:7" x14ac:dyDescent="0.2">
      <c r="A68" s="286">
        <v>67</v>
      </c>
      <c r="B68" s="273"/>
      <c r="C68" s="287"/>
      <c r="F68" s="322" t="s">
        <v>339</v>
      </c>
      <c r="G68" s="329">
        <v>0</v>
      </c>
    </row>
    <row r="69" spans="1:7" x14ac:dyDescent="0.2">
      <c r="A69" s="286">
        <v>68</v>
      </c>
      <c r="B69" s="273"/>
      <c r="C69" s="287"/>
      <c r="F69" s="321" t="s">
        <v>340</v>
      </c>
      <c r="G69" s="328">
        <v>0</v>
      </c>
    </row>
    <row r="70" spans="1:7" x14ac:dyDescent="0.2">
      <c r="A70" s="286">
        <v>69</v>
      </c>
      <c r="B70" s="273"/>
      <c r="C70" s="287"/>
      <c r="F70" s="322" t="s">
        <v>341</v>
      </c>
      <c r="G70" s="329">
        <v>0</v>
      </c>
    </row>
    <row r="71" spans="1:7" x14ac:dyDescent="0.2">
      <c r="A71" s="286">
        <v>70</v>
      </c>
      <c r="B71" s="273"/>
      <c r="C71" s="287"/>
      <c r="F71" s="321" t="s">
        <v>342</v>
      </c>
      <c r="G71" s="328">
        <v>0</v>
      </c>
    </row>
    <row r="72" spans="1:7" x14ac:dyDescent="0.2">
      <c r="A72" s="286">
        <v>71</v>
      </c>
      <c r="B72" s="273"/>
      <c r="C72" s="287"/>
      <c r="F72" s="322" t="s">
        <v>343</v>
      </c>
      <c r="G72" s="329">
        <v>0</v>
      </c>
    </row>
    <row r="73" spans="1:7" x14ac:dyDescent="0.2">
      <c r="A73" s="286">
        <v>72</v>
      </c>
      <c r="B73" s="273"/>
      <c r="C73" s="287"/>
      <c r="F73" s="321" t="s">
        <v>344</v>
      </c>
      <c r="G73" s="328">
        <v>0</v>
      </c>
    </row>
    <row r="74" spans="1:7" x14ac:dyDescent="0.2">
      <c r="A74" s="286">
        <v>73</v>
      </c>
      <c r="B74" s="273"/>
      <c r="C74" s="287"/>
      <c r="F74" s="322" t="s">
        <v>345</v>
      </c>
      <c r="G74" s="329">
        <v>0</v>
      </c>
    </row>
    <row r="75" spans="1:7" x14ac:dyDescent="0.2">
      <c r="A75" s="286">
        <v>74</v>
      </c>
      <c r="B75" s="273"/>
      <c r="C75" s="287"/>
      <c r="F75" s="321" t="s">
        <v>346</v>
      </c>
      <c r="G75" s="328">
        <v>0</v>
      </c>
    </row>
    <row r="76" spans="1:7" x14ac:dyDescent="0.2">
      <c r="A76" s="286">
        <v>75</v>
      </c>
      <c r="B76" s="273"/>
      <c r="C76" s="287"/>
      <c r="F76" s="322" t="s">
        <v>347</v>
      </c>
      <c r="G76" s="329">
        <v>0</v>
      </c>
    </row>
    <row r="77" spans="1:7" x14ac:dyDescent="0.2">
      <c r="A77" s="286">
        <v>76</v>
      </c>
      <c r="B77" s="273"/>
      <c r="C77" s="287"/>
      <c r="F77" s="321" t="s">
        <v>348</v>
      </c>
      <c r="G77" s="328">
        <v>0</v>
      </c>
    </row>
    <row r="78" spans="1:7" x14ac:dyDescent="0.2">
      <c r="A78" s="286">
        <v>77</v>
      </c>
      <c r="B78" s="273"/>
      <c r="C78" s="287"/>
      <c r="F78" s="322" t="s">
        <v>349</v>
      </c>
      <c r="G78" s="329">
        <v>0</v>
      </c>
    </row>
    <row r="79" spans="1:7" x14ac:dyDescent="0.2">
      <c r="A79" s="286">
        <v>78</v>
      </c>
      <c r="B79" s="273"/>
      <c r="C79" s="287"/>
      <c r="F79" s="321" t="s">
        <v>350</v>
      </c>
      <c r="G79" s="328">
        <v>0</v>
      </c>
    </row>
    <row r="80" spans="1:7" x14ac:dyDescent="0.2">
      <c r="A80" s="286">
        <v>79</v>
      </c>
      <c r="B80" s="273"/>
      <c r="C80" s="287"/>
      <c r="F80" s="322" t="s">
        <v>351</v>
      </c>
      <c r="G80" s="329">
        <v>0</v>
      </c>
    </row>
    <row r="81" spans="1:6" x14ac:dyDescent="0.2">
      <c r="A81" s="286">
        <v>80</v>
      </c>
      <c r="B81" s="273"/>
      <c r="C81" s="287"/>
      <c r="F81" s="321" t="s">
        <v>352</v>
      </c>
    </row>
    <row r="82" spans="1:6" x14ac:dyDescent="0.2">
      <c r="A82" s="286">
        <v>81</v>
      </c>
      <c r="B82" s="273"/>
      <c r="C82" s="287"/>
      <c r="F82" s="322" t="s">
        <v>353</v>
      </c>
    </row>
    <row r="83" spans="1:6" x14ac:dyDescent="0.2">
      <c r="A83" s="286">
        <v>82</v>
      </c>
      <c r="B83" s="288"/>
      <c r="C83" s="287"/>
    </row>
    <row r="84" spans="1:6" x14ac:dyDescent="0.2">
      <c r="A84" s="286">
        <v>83</v>
      </c>
      <c r="B84" s="288"/>
      <c r="C84" s="287"/>
    </row>
    <row r="85" spans="1:6" x14ac:dyDescent="0.2">
      <c r="A85" s="286">
        <v>84</v>
      </c>
      <c r="B85" s="288"/>
      <c r="C85" s="287"/>
    </row>
    <row r="86" spans="1:6" x14ac:dyDescent="0.2">
      <c r="A86" s="286">
        <v>85</v>
      </c>
      <c r="B86" s="288"/>
      <c r="C86" s="287"/>
    </row>
    <row r="87" spans="1:6" x14ac:dyDescent="0.2">
      <c r="A87" s="286">
        <v>86</v>
      </c>
      <c r="B87" s="288"/>
      <c r="C87" s="287"/>
    </row>
    <row r="88" spans="1:6" x14ac:dyDescent="0.2">
      <c r="A88" s="286">
        <v>87</v>
      </c>
      <c r="B88" s="288"/>
      <c r="C88" s="287"/>
    </row>
    <row r="89" spans="1:6" x14ac:dyDescent="0.2">
      <c r="A89" s="286">
        <v>88</v>
      </c>
      <c r="B89" s="288"/>
      <c r="C89" s="287"/>
    </row>
    <row r="90" spans="1:6" x14ac:dyDescent="0.2">
      <c r="A90" s="286">
        <v>89</v>
      </c>
      <c r="B90" s="288"/>
      <c r="C90" s="287"/>
    </row>
    <row r="91" spans="1:6" x14ac:dyDescent="0.2">
      <c r="A91" s="286">
        <v>90</v>
      </c>
      <c r="B91" s="288"/>
      <c r="C91" s="287"/>
    </row>
    <row r="92" spans="1:6" x14ac:dyDescent="0.2">
      <c r="A92" s="286">
        <v>91</v>
      </c>
      <c r="B92" s="288"/>
      <c r="C92" s="287"/>
    </row>
    <row r="93" spans="1:6" x14ac:dyDescent="0.2">
      <c r="A93" s="286">
        <v>92</v>
      </c>
      <c r="B93" s="288"/>
      <c r="C93" s="287"/>
    </row>
    <row r="94" spans="1:6" x14ac:dyDescent="0.2">
      <c r="A94" s="286">
        <v>93</v>
      </c>
      <c r="B94" s="288"/>
      <c r="C94" s="287"/>
    </row>
    <row r="95" spans="1:6" x14ac:dyDescent="0.2">
      <c r="A95" s="286">
        <v>94</v>
      </c>
      <c r="B95" s="288"/>
      <c r="C95" s="287"/>
    </row>
    <row r="96" spans="1:6" x14ac:dyDescent="0.2">
      <c r="A96" s="286">
        <v>95</v>
      </c>
      <c r="B96" s="288"/>
      <c r="C96" s="287"/>
    </row>
    <row r="97" spans="1:3" x14ac:dyDescent="0.2">
      <c r="A97" s="286">
        <v>96</v>
      </c>
      <c r="B97" s="288"/>
      <c r="C97" s="287"/>
    </row>
    <row r="98" spans="1:3" x14ac:dyDescent="0.2">
      <c r="A98" s="286">
        <v>97</v>
      </c>
      <c r="B98" s="288"/>
      <c r="C98" s="287"/>
    </row>
    <row r="99" spans="1:3" x14ac:dyDescent="0.2">
      <c r="A99" s="286">
        <v>98</v>
      </c>
      <c r="B99" s="288"/>
      <c r="C99" s="287"/>
    </row>
    <row r="100" spans="1:3" x14ac:dyDescent="0.2">
      <c r="A100" s="286">
        <v>99</v>
      </c>
      <c r="B100" s="288"/>
      <c r="C100" s="287"/>
    </row>
    <row r="101" spans="1:3" x14ac:dyDescent="0.2">
      <c r="A101" s="286">
        <v>100</v>
      </c>
      <c r="B101" s="288"/>
      <c r="C101" s="287"/>
    </row>
    <row r="102" spans="1:3" x14ac:dyDescent="0.2">
      <c r="A102" s="286">
        <v>101</v>
      </c>
      <c r="B102" s="288"/>
      <c r="C102" s="287"/>
    </row>
    <row r="103" spans="1:3" x14ac:dyDescent="0.2">
      <c r="A103" s="286">
        <v>102</v>
      </c>
      <c r="B103" s="288"/>
      <c r="C103" s="287"/>
    </row>
    <row r="104" spans="1:3" x14ac:dyDescent="0.2">
      <c r="A104" s="286">
        <v>103</v>
      </c>
      <c r="B104" s="288"/>
      <c r="C104" s="287"/>
    </row>
    <row r="105" spans="1:3" x14ac:dyDescent="0.2">
      <c r="A105" s="286">
        <v>104</v>
      </c>
      <c r="B105" s="288"/>
      <c r="C105" s="287"/>
    </row>
    <row r="106" spans="1:3" x14ac:dyDescent="0.2">
      <c r="A106" s="286">
        <v>105</v>
      </c>
      <c r="B106" s="288"/>
      <c r="C106" s="287">
        <v>0</v>
      </c>
    </row>
    <row r="107" spans="1:3" x14ac:dyDescent="0.2">
      <c r="A107" s="286">
        <v>106</v>
      </c>
      <c r="B107" s="288"/>
      <c r="C107" s="287">
        <v>0</v>
      </c>
    </row>
    <row r="108" spans="1:3" x14ac:dyDescent="0.2">
      <c r="A108" s="286">
        <v>107</v>
      </c>
      <c r="B108" s="288"/>
      <c r="C108" s="287">
        <v>0</v>
      </c>
    </row>
    <row r="109" spans="1:3" x14ac:dyDescent="0.2">
      <c r="A109" s="286">
        <v>108</v>
      </c>
      <c r="B109" s="288"/>
      <c r="C109" s="287">
        <v>0</v>
      </c>
    </row>
    <row r="110" spans="1:3" x14ac:dyDescent="0.2">
      <c r="A110" s="286">
        <v>109</v>
      </c>
      <c r="B110" s="288"/>
      <c r="C110" s="287">
        <v>0</v>
      </c>
    </row>
    <row r="111" spans="1:3" x14ac:dyDescent="0.2">
      <c r="A111" s="286">
        <v>110</v>
      </c>
      <c r="B111" s="288"/>
      <c r="C111" s="287">
        <v>0</v>
      </c>
    </row>
    <row r="112" spans="1:3" x14ac:dyDescent="0.2">
      <c r="A112" s="286">
        <v>111</v>
      </c>
      <c r="B112" s="288"/>
      <c r="C112" s="287">
        <v>0</v>
      </c>
    </row>
    <row r="113" spans="1:3" x14ac:dyDescent="0.2">
      <c r="A113" s="286">
        <v>112</v>
      </c>
      <c r="B113" s="288"/>
      <c r="C113" s="287">
        <v>0</v>
      </c>
    </row>
    <row r="114" spans="1:3" x14ac:dyDescent="0.2">
      <c r="A114" s="286">
        <v>113</v>
      </c>
      <c r="B114" s="288"/>
      <c r="C114" s="287">
        <v>0</v>
      </c>
    </row>
    <row r="115" spans="1:3" x14ac:dyDescent="0.2">
      <c r="A115" s="286">
        <v>114</v>
      </c>
      <c r="B115" s="288"/>
      <c r="C115" s="287">
        <v>0</v>
      </c>
    </row>
    <row r="116" spans="1:3" x14ac:dyDescent="0.2">
      <c r="A116" s="286">
        <v>115</v>
      </c>
      <c r="B116" s="288"/>
      <c r="C116" s="287">
        <v>0</v>
      </c>
    </row>
    <row r="117" spans="1:3" x14ac:dyDescent="0.2">
      <c r="A117" s="286">
        <v>116</v>
      </c>
      <c r="B117" s="288"/>
      <c r="C117" s="287">
        <v>0</v>
      </c>
    </row>
    <row r="118" spans="1:3" x14ac:dyDescent="0.2">
      <c r="A118" s="286">
        <v>117</v>
      </c>
      <c r="B118" s="288"/>
      <c r="C118" s="287">
        <v>0</v>
      </c>
    </row>
    <row r="119" spans="1:3" x14ac:dyDescent="0.2">
      <c r="A119" s="286">
        <v>118</v>
      </c>
      <c r="B119" s="288"/>
      <c r="C119" s="287">
        <v>0</v>
      </c>
    </row>
    <row r="120" spans="1:3" x14ac:dyDescent="0.2">
      <c r="A120" s="286">
        <v>119</v>
      </c>
      <c r="B120" s="288"/>
      <c r="C120" s="287">
        <v>0</v>
      </c>
    </row>
    <row r="121" spans="1:3" x14ac:dyDescent="0.2">
      <c r="A121" s="286">
        <v>120</v>
      </c>
      <c r="B121" s="288"/>
      <c r="C121" s="287">
        <v>0</v>
      </c>
    </row>
    <row r="122" spans="1:3" x14ac:dyDescent="0.2">
      <c r="A122" s="286">
        <v>121</v>
      </c>
      <c r="B122" s="288"/>
      <c r="C122" s="287">
        <v>0</v>
      </c>
    </row>
    <row r="123" spans="1:3" x14ac:dyDescent="0.2">
      <c r="A123" s="286">
        <v>122</v>
      </c>
      <c r="B123" s="288"/>
      <c r="C123" s="287">
        <v>0</v>
      </c>
    </row>
    <row r="124" spans="1:3" x14ac:dyDescent="0.2">
      <c r="A124" s="286">
        <v>123</v>
      </c>
      <c r="B124" s="288"/>
      <c r="C124" s="287">
        <v>0</v>
      </c>
    </row>
    <row r="125" spans="1:3" x14ac:dyDescent="0.2">
      <c r="A125" s="286">
        <v>124</v>
      </c>
      <c r="B125" s="288"/>
      <c r="C125" s="287">
        <v>0</v>
      </c>
    </row>
    <row r="126" spans="1:3" x14ac:dyDescent="0.2">
      <c r="A126" s="286">
        <v>125</v>
      </c>
      <c r="B126" s="288"/>
      <c r="C126" s="287">
        <v>0</v>
      </c>
    </row>
    <row r="127" spans="1:3" x14ac:dyDescent="0.2">
      <c r="A127" s="286">
        <v>126</v>
      </c>
      <c r="B127" s="288"/>
      <c r="C127" s="287">
        <v>0</v>
      </c>
    </row>
    <row r="128" spans="1:3" x14ac:dyDescent="0.2">
      <c r="A128" s="286">
        <v>127</v>
      </c>
      <c r="B128" s="288"/>
      <c r="C128" s="287">
        <v>0</v>
      </c>
    </row>
    <row r="129" spans="1:3" x14ac:dyDescent="0.2">
      <c r="A129" s="286">
        <v>128</v>
      </c>
      <c r="B129" s="288"/>
      <c r="C129" s="287">
        <v>0</v>
      </c>
    </row>
    <row r="130" spans="1:3" x14ac:dyDescent="0.2">
      <c r="A130" s="286">
        <v>129</v>
      </c>
      <c r="B130" s="288"/>
      <c r="C130" s="287">
        <v>0</v>
      </c>
    </row>
    <row r="131" spans="1:3" x14ac:dyDescent="0.2">
      <c r="A131" s="286">
        <v>130</v>
      </c>
      <c r="B131" s="288"/>
      <c r="C131" s="287">
        <v>0</v>
      </c>
    </row>
    <row r="132" spans="1:3" x14ac:dyDescent="0.2">
      <c r="A132" s="286">
        <v>131</v>
      </c>
      <c r="B132" s="288"/>
      <c r="C132" s="287">
        <v>0</v>
      </c>
    </row>
    <row r="133" spans="1:3" x14ac:dyDescent="0.2">
      <c r="A133" s="286">
        <v>132</v>
      </c>
      <c r="B133" s="288"/>
      <c r="C133" s="287">
        <v>0</v>
      </c>
    </row>
    <row r="134" spans="1:3" x14ac:dyDescent="0.2">
      <c r="A134" s="286">
        <v>133</v>
      </c>
      <c r="B134" s="288"/>
      <c r="C134" s="287">
        <v>0</v>
      </c>
    </row>
    <row r="135" spans="1:3" x14ac:dyDescent="0.2">
      <c r="A135" s="286">
        <v>134</v>
      </c>
      <c r="B135" s="288"/>
      <c r="C135" s="287">
        <v>0</v>
      </c>
    </row>
  </sheetData>
  <pageMargins left="0.7" right="0.7" top="0.75" bottom="0.75" header="0.3" footer="0.3"/>
  <pageSetup paperSize="9" orientation="portrait" copies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G88"/>
  <sheetViews>
    <sheetView workbookViewId="0">
      <selection sqref="A1:G85"/>
    </sheetView>
  </sheetViews>
  <sheetFormatPr defaultRowHeight="12.75" x14ac:dyDescent="0.2"/>
  <cols>
    <col min="1" max="1" width="7.42578125" customWidth="1"/>
    <col min="2" max="2" width="58.85546875" bestFit="1" customWidth="1"/>
    <col min="3" max="3" width="18.42578125" style="315" bestFit="1" customWidth="1"/>
    <col min="4" max="4" width="35.28515625" customWidth="1"/>
    <col min="5" max="6" width="35.85546875" customWidth="1"/>
    <col min="7" max="7" width="73.42578125" style="314" bestFit="1" customWidth="1"/>
    <col min="8" max="8" width="17.7109375" bestFit="1" customWidth="1"/>
  </cols>
  <sheetData>
    <row r="1" spans="1:7" s="43" customFormat="1" ht="12" customHeight="1" x14ac:dyDescent="0.2">
      <c r="A1" s="317" t="str">
        <f>IF('[2]Нормы трудоемкости'!A1=0,"",'[2]Нормы трудоемкости'!A1)</f>
        <v>К3</v>
      </c>
      <c r="B1" s="317">
        <f>IF('[2]Нормы трудоемкости'!B1=0,"",'[2]Нормы трудоемкости'!B1)</f>
        <v>1.3</v>
      </c>
      <c r="C1" s="317" t="str">
        <f>IF('[2]Нормы трудоемкости'!C1=0,"",'[2]Нормы трудоемкости'!C1)</f>
        <v/>
      </c>
      <c r="D1" s="317" t="str">
        <f>IF('[2]Нормы трудоемкости'!D1=0,"",'[2]Нормы трудоемкости'!D1)</f>
        <v/>
      </c>
      <c r="E1" s="317" t="str">
        <f>IF('[2]Нормы трудоемкости'!E1=0,"",'[2]Нормы трудоемкости'!E1)</f>
        <v/>
      </c>
      <c r="F1" s="317" t="str">
        <f>IF('[2]Нормы трудоемкости'!F1=0,"",'[2]Нормы трудоемкости'!F1)</f>
        <v/>
      </c>
      <c r="G1" s="317" t="str">
        <f>IF('[2]Нормы трудоемкости'!G1=0,"",'[2]Нормы трудоемкости'!G1)</f>
        <v/>
      </c>
    </row>
    <row r="2" spans="1:7" s="43" customFormat="1" ht="12" customHeight="1" x14ac:dyDescent="0.2">
      <c r="A2" s="317" t="str">
        <f>IF('[2]Нормы трудоемкости'!A2=0,"",'[2]Нормы трудоемкости'!A2)</f>
        <v>К4</v>
      </c>
      <c r="B2" s="317">
        <f>IF('[2]Нормы трудоемкости'!B2=0,"",'[2]Нормы трудоемкости'!B2)</f>
        <v>1.5</v>
      </c>
      <c r="C2" s="317" t="str">
        <f>IF('[2]Нормы трудоемкости'!C2=0,"",'[2]Нормы трудоемкости'!C2)</f>
        <v/>
      </c>
      <c r="D2" s="317" t="str">
        <f>IF('[2]Нормы трудоемкости'!D2=0,"",'[2]Нормы трудоемкости'!D2)</f>
        <v/>
      </c>
      <c r="E2" s="317" t="str">
        <f>IF('[2]Нормы трудоемкости'!E2=0,"",'[2]Нормы трудоемкости'!E2)</f>
        <v/>
      </c>
      <c r="F2" s="317" t="str">
        <f>IF('[2]Нормы трудоемкости'!F2=0,"",'[2]Нормы трудоемкости'!F2)</f>
        <v/>
      </c>
      <c r="G2" s="317" t="str">
        <f>IF('[2]Нормы трудоемкости'!G2=0,"",'[2]Нормы трудоемкости'!G2)</f>
        <v/>
      </c>
    </row>
    <row r="3" spans="1:7" ht="12" customHeight="1" x14ac:dyDescent="0.2">
      <c r="A3" s="317" t="str">
        <f>IF('[2]Нормы трудоемкости'!A3=0,"",'[2]Нормы трудоемкости'!A3)</f>
        <v>К5</v>
      </c>
      <c r="B3" s="317">
        <f>IF('[2]Нормы трудоемкости'!B3=0,"",'[2]Нормы трудоемкости'!B3)</f>
        <v>2</v>
      </c>
      <c r="C3" s="317" t="str">
        <f>IF('[2]Нормы трудоемкости'!C3=0,"",'[2]Нормы трудоемкости'!C3)</f>
        <v/>
      </c>
      <c r="D3" s="317" t="str">
        <f>IF('[2]Нормы трудоемкости'!D3=0,"",'[2]Нормы трудоемкости'!D3)</f>
        <v/>
      </c>
      <c r="E3" s="317" t="str">
        <f>IF('[2]Нормы трудоемкости'!E3=0,"",'[2]Нормы трудоемкости'!E3)</f>
        <v/>
      </c>
      <c r="F3" s="317" t="str">
        <f>IF('[2]Нормы трудоемкости'!F3=0,"",'[2]Нормы трудоемкости'!F3)</f>
        <v/>
      </c>
      <c r="G3" s="317" t="str">
        <f>IF('[2]Нормы трудоемкости'!G3=0,"",'[2]Нормы трудоемкости'!G3)</f>
        <v/>
      </c>
    </row>
    <row r="4" spans="1:7" x14ac:dyDescent="0.2">
      <c r="A4" s="317" t="str">
        <f>IF('[2]Нормы трудоемкости'!A4=0,"",'[2]Нормы трудоемкости'!A4)</f>
        <v/>
      </c>
      <c r="B4" s="317" t="str">
        <f>IF('[2]Нормы трудоемкости'!B4=0,"",'[2]Нормы трудоемкости'!B4)</f>
        <v/>
      </c>
      <c r="C4" s="317" t="str">
        <f>IF('[2]Нормы трудоемкости'!C4=0,"",'[2]Нормы трудоемкости'!C4)</f>
        <v/>
      </c>
      <c r="D4" s="317" t="str">
        <f>IF('[2]Нормы трудоемкости'!D4=0,"",'[2]Нормы трудоемкости'!D4)</f>
        <v/>
      </c>
      <c r="E4" s="317" t="str">
        <f>IF('[2]Нормы трудоемкости'!E4=0,"",'[2]Нормы трудоемкости'!E4)</f>
        <v/>
      </c>
      <c r="F4" s="317" t="str">
        <f>IF('[2]Нормы трудоемкости'!F4=0,"",'[2]Нормы трудоемкости'!F4)</f>
        <v/>
      </c>
      <c r="G4" s="317" t="str">
        <f>IF('[2]Нормы трудоемкости'!G4=0,"",'[2]Нормы трудоемкости'!G4)</f>
        <v/>
      </c>
    </row>
    <row r="5" spans="1:7" x14ac:dyDescent="0.2">
      <c r="A5" s="317" t="str">
        <f>IF('[2]Нормы трудоемкости'!A5=0,"",'[2]Нормы трудоемкости'!A5)</f>
        <v>№п/п</v>
      </c>
      <c r="B5" s="317" t="str">
        <f>IF('[2]Нормы трудоемкости'!B5=0,"",'[2]Нормы трудоемкости'!B5)</f>
        <v>Наименование операции</v>
      </c>
      <c r="C5" s="317" t="str">
        <f>IF('[2]Нормы трудоемкости'!C5=0,"",'[2]Нормы трудоемкости'!C5)</f>
        <v>Из протокола</v>
      </c>
      <c r="D5" s="317" t="str">
        <f>IF('[2]Нормы трудоемкости'!D5=0,"",'[2]Нормы трудоемкости'!D5)</f>
        <v>на 1дм2 заг-ки 3 кл. точн., час/дм2</v>
      </c>
      <c r="E5" s="317" t="str">
        <f>IF('[2]Нормы трудоемкости'!E5=0,"",'[2]Нормы трудоемкости'!E5)</f>
        <v>на 1 дм2 заг-ки 4 кл. точн., час/дм2</v>
      </c>
      <c r="F5" s="317" t="str">
        <f>IF('[2]Нормы трудоемкости'!F5=0,"",'[2]Нормы трудоемкости'!F5)</f>
        <v>на 1 дм2 заг-ки 5 кл. точн., час/дм2</v>
      </c>
      <c r="G5" s="317" t="str">
        <f>IF('[2]Нормы трудоемкости'!G5=0,"",'[2]Нормы трудоемкости'!G5)</f>
        <v>Альтернативное название из протокола проеведения хронометража</v>
      </c>
    </row>
    <row r="6" spans="1:7" x14ac:dyDescent="0.2">
      <c r="A6" s="317" t="str">
        <f>IF('[2]Нормы трудоемкости'!A6=0,"",'[2]Нормы трудоемкости'!A6)</f>
        <v/>
      </c>
      <c r="B6" s="317" t="str">
        <f>IF('[2]Нормы трудоемкости'!B6=0,"",'[2]Нормы трудоемкости'!B6)</f>
        <v>Подготовительные</v>
      </c>
      <c r="C6" s="317" t="str">
        <f>IF('[2]Нормы трудоемкости'!C6=0,"",'[2]Нормы трудоемкости'!C6)</f>
        <v/>
      </c>
      <c r="D6" s="317" t="str">
        <f>IF('[2]Нормы трудоемкости'!D6=0,"",'[2]Нормы трудоемкости'!D6)</f>
        <v/>
      </c>
      <c r="E6" s="317" t="str">
        <f>IF('[2]Нормы трудоемкости'!E6=0,"",'[2]Нормы трудоемкости'!E6)</f>
        <v/>
      </c>
      <c r="F6" s="317" t="str">
        <f>IF('[2]Нормы трудоемкости'!F6=0,"",'[2]Нормы трудоемкости'!F6)</f>
        <v/>
      </c>
      <c r="G6" s="317" t="str">
        <f>IF('[2]Нормы трудоемкости'!G6=0,"",'[2]Нормы трудоемкости'!G6)</f>
        <v/>
      </c>
    </row>
    <row r="7" spans="1:7" s="95" customFormat="1" ht="13.15" customHeight="1" x14ac:dyDescent="0.2">
      <c r="A7" s="317">
        <f>IF('[2]Нормы трудоемкости'!A7=0,"",'[2]Нормы трудоемкости'!A7)</f>
        <v>1</v>
      </c>
      <c r="B7" s="317" t="str">
        <f>IF('[2]Нормы трудоемкости'!B7=0,"",'[2]Нормы трудоемкости'!B7)</f>
        <v>Изготовление фотошаблонов</v>
      </c>
      <c r="C7" s="317" t="str">
        <f>IF('[2]Нормы трудоемкости'!C7=0,"",'[2]Нормы трудоемкости'!C7)</f>
        <v/>
      </c>
      <c r="D7" s="317">
        <f>IF('[2]Нормы трудоемкости'!D7=0,"",'[2]Нормы трудоемкости'!D7)</f>
        <v>1.056</v>
      </c>
      <c r="E7" s="317">
        <f>IF('[2]Нормы трудоемкости'!E7=0,"",'[2]Нормы трудоемкости'!E7)</f>
        <v>1.1759999999999999</v>
      </c>
      <c r="F7" s="317">
        <f>IF('[2]Нормы трудоемкости'!F7=0,"",'[2]Нормы трудоемкости'!F7)</f>
        <v>1.236</v>
      </c>
      <c r="G7" s="317" t="str">
        <f>IF('[2]Нормы трудоемкости'!G7=0,"",'[2]Нормы трудоемкости'!G7)</f>
        <v/>
      </c>
    </row>
    <row r="8" spans="1:7" s="95" customFormat="1" ht="13.15" customHeight="1" x14ac:dyDescent="0.2">
      <c r="A8" s="317">
        <f>IF('[2]Нормы трудоемкости'!A8=0,"",'[2]Нормы трудоемкости'!A8)</f>
        <v>1.1000000000000001</v>
      </c>
      <c r="B8" s="317" t="str">
        <f>IF('[2]Нормы трудоемкости'!B8=0,"",'[2]Нормы трудоемкости'!B8)</f>
        <v>Изготовленние шаблонов без пробивки (маска,маркировка)</v>
      </c>
      <c r="C8" s="317" t="str">
        <f>IF('[2]Нормы трудоемкости'!C8=0,"",'[2]Нормы трудоемкости'!C8)</f>
        <v/>
      </c>
      <c r="D8" s="317">
        <f>IF('[2]Нормы трудоемкости'!D8=0,"",'[2]Нормы трудоемкости'!D8)</f>
        <v>0.4</v>
      </c>
      <c r="E8" s="317">
        <f>IF('[2]Нормы трудоемкости'!E8=0,"",'[2]Нормы трудоемкости'!E8)</f>
        <v>0.6</v>
      </c>
      <c r="F8" s="317">
        <f>IF('[2]Нормы трудоемкости'!F8=0,"",'[2]Нормы трудоемкости'!F8)</f>
        <v>1</v>
      </c>
      <c r="G8" s="317" t="str">
        <f>IF('[2]Нормы трудоемкости'!G8=0,"",'[2]Нормы трудоемкости'!G8)</f>
        <v/>
      </c>
    </row>
    <row r="9" spans="1:7" s="95" customFormat="1" ht="13.15" customHeight="1" x14ac:dyDescent="0.2">
      <c r="A9" s="317">
        <f>IF('[2]Нормы трудоемкости'!A9=0,"",'[2]Нормы трудоемкости'!A9)</f>
        <v>2</v>
      </c>
      <c r="B9" s="317" t="str">
        <f>IF('[2]Нормы трудоемкости'!B9=0,"",'[2]Нормы трудоемкости'!B9)</f>
        <v>Проверка, паспортизация, ретушь ФШ</v>
      </c>
      <c r="C9" s="317" t="str">
        <f>IF('[2]Нормы трудоемкости'!C9=0,"",'[2]Нормы трудоемкости'!C9)</f>
        <v/>
      </c>
      <c r="D9" s="317">
        <f>IF('[2]Нормы трудоемкости'!D9=0,"",'[2]Нормы трудоемкости'!D9)</f>
        <v>0.45599999999999996</v>
      </c>
      <c r="E9" s="317">
        <f>IF('[2]Нормы трудоемкости'!E9=0,"",'[2]Нормы трудоемкости'!E9)</f>
        <v>0.58799999999999997</v>
      </c>
      <c r="F9" s="317">
        <f>IF('[2]Нормы трудоемкости'!F9=0,"",'[2]Нормы трудоемкости'!F9)</f>
        <v>0.75600000000000001</v>
      </c>
      <c r="G9" s="317" t="str">
        <f>IF('[2]Нормы трудоемкости'!G9=0,"",'[2]Нормы трудоемкости'!G9)</f>
        <v/>
      </c>
    </row>
    <row r="10" spans="1:7" s="95" customFormat="1" ht="13.15" customHeight="1" x14ac:dyDescent="0.2">
      <c r="A10" s="317">
        <f>IF('[2]Нормы трудоемкости'!A10=0,"",'[2]Нормы трудоемкости'!A10)</f>
        <v>2.1</v>
      </c>
      <c r="B10" s="317" t="str">
        <f>IF('[2]Нормы трудоемкости'!B10=0,"",'[2]Нормы трудоемкости'!B10)</f>
        <v>Изготовленние шаблонов без пробивки (маска,маркировка)</v>
      </c>
      <c r="C10" s="317" t="str">
        <f>IF('[2]Нормы трудоемкости'!C10=0,"",'[2]Нормы трудоемкости'!C10)</f>
        <v/>
      </c>
      <c r="D10" s="317">
        <f>IF('[2]Нормы трудоемкости'!D10=0,"",'[2]Нормы трудоемкости'!D10)</f>
        <v>0.3</v>
      </c>
      <c r="E10" s="317">
        <f>IF('[2]Нормы трудоемкости'!E10=0,"",'[2]Нормы трудоемкости'!E10)</f>
        <v>0.4</v>
      </c>
      <c r="F10" s="317">
        <f>IF('[2]Нормы трудоемкости'!F10=0,"",'[2]Нормы трудоемкости'!F10)</f>
        <v>0.7</v>
      </c>
      <c r="G10" s="317" t="str">
        <f>IF('[2]Нормы трудоемкости'!G10=0,"",'[2]Нормы трудоемкости'!G10)</f>
        <v/>
      </c>
    </row>
    <row r="11" spans="1:7" s="95" customFormat="1" ht="13.15" customHeight="1" x14ac:dyDescent="0.2">
      <c r="A11" s="317">
        <f>IF('[2]Нормы трудоемкости'!A11=0,"",'[2]Нормы трудоемкости'!A11)</f>
        <v>3</v>
      </c>
      <c r="B11" s="317" t="str">
        <f>IF('[2]Нормы трудоемкости'!B11=0,"",'[2]Нормы трудоемкости'!B11)</f>
        <v>Изготовление мастер-плат для фрезерования</v>
      </c>
      <c r="C11" s="317" t="str">
        <f>IF('[2]Нормы трудоемкости'!C11=0,"",'[2]Нормы трудоемкости'!C11)</f>
        <v/>
      </c>
      <c r="D11" s="317">
        <f>IF('[2]Нормы трудоемкости'!D11=0,"",'[2]Нормы трудоемкости'!D11)</f>
        <v>0.375</v>
      </c>
      <c r="E11" s="317">
        <f>IF('[2]Нормы трудоемкости'!E11=0,"",'[2]Нормы трудоемкости'!E11)</f>
        <v>0.375</v>
      </c>
      <c r="F11" s="317">
        <f>IF('[2]Нормы трудоемкости'!F11=0,"",'[2]Нормы трудоемкости'!F11)</f>
        <v>0.375</v>
      </c>
      <c r="G11" s="317" t="str">
        <f>IF('[2]Нормы трудоемкости'!G11=0,"",'[2]Нормы трудоемкости'!G11)</f>
        <v/>
      </c>
    </row>
    <row r="12" spans="1:7" ht="15" customHeight="1" x14ac:dyDescent="0.2">
      <c r="A12" s="317" t="str">
        <f>IF('[2]Нормы трудоемкости'!A12=0,"",'[2]Нормы трудоемкости'!A12)</f>
        <v/>
      </c>
      <c r="B12" s="317" t="str">
        <f>IF('[2]Нормы трудоемкости'!B12=0,"",'[2]Нормы трудоемкости'!B12)</f>
        <v>Основные операции</v>
      </c>
      <c r="C12" s="317" t="str">
        <f>IF('[2]Нормы трудоемкости'!C12=0,"",'[2]Нормы трудоемкости'!C12)</f>
        <v/>
      </c>
      <c r="D12" s="317" t="str">
        <f>IF('[2]Нормы трудоемкости'!D12=0,"",'[2]Нормы трудоемкости'!D12)</f>
        <v/>
      </c>
      <c r="E12" s="317" t="str">
        <f>IF('[2]Нормы трудоемкости'!E12=0,"",'[2]Нормы трудоемкости'!E12)</f>
        <v/>
      </c>
      <c r="F12" s="317" t="str">
        <f>IF('[2]Нормы трудоемкости'!F12=0,"",'[2]Нормы трудоемкости'!F12)</f>
        <v/>
      </c>
      <c r="G12" s="317" t="str">
        <f>IF('[2]Нормы трудоемкости'!G12=0,"",'[2]Нормы трудоемкости'!G12)</f>
        <v/>
      </c>
    </row>
    <row r="13" spans="1:7" ht="13.15" customHeight="1" x14ac:dyDescent="0.2">
      <c r="A13" s="317">
        <f>IF('[2]Нормы трудоемкости'!A13=0,"",'[2]Нормы трудоемкости'!A13)</f>
        <v>1</v>
      </c>
      <c r="B13" s="317" t="str">
        <f>IF('[2]Нормы трудоемкости'!B13=0,"",'[2]Нормы трудоемкости'!B13)</f>
        <v>Заготовительная</v>
      </c>
      <c r="C13" s="317">
        <f>IF('[2]Нормы трудоемкости'!C13=0,"",'[2]Нормы трудоемкости'!C13)</f>
        <v>2.4E-2</v>
      </c>
      <c r="D13" s="317">
        <f>IF('[2]Нормы трудоемкости'!D13=0,"",'[2]Нормы трудоемкости'!D13)</f>
        <v>3.1200000000000002E-2</v>
      </c>
      <c r="E13" s="317">
        <f>IF('[2]Нормы трудоемкости'!E13=0,"",'[2]Нормы трудоемкости'!E13)</f>
        <v>3.6000000000000004E-2</v>
      </c>
      <c r="F13" s="317">
        <f>IF('[2]Нормы трудоемкости'!F13=0,"",'[2]Нормы трудоемкости'!F13)</f>
        <v>4.8000000000000001E-2</v>
      </c>
      <c r="G13" s="317" t="str">
        <f>IF('[2]Нормы трудоемкости'!G13=0,"",'[2]Нормы трудоемкости'!G13)</f>
        <v>Нарезка заготовок</v>
      </c>
    </row>
    <row r="14" spans="1:7" ht="13.15" customHeight="1" x14ac:dyDescent="0.2">
      <c r="A14" s="317">
        <f>IF('[2]Нормы трудоемкости'!A14=0,"",'[2]Нормы трудоемкости'!A14)</f>
        <v>2</v>
      </c>
      <c r="B14" s="317" t="str">
        <f>IF('[2]Нормы трудоемкости'!B14=0,"",'[2]Нормы трудоемкости'!B14)</f>
        <v>Подготовка поверхности химическая</v>
      </c>
      <c r="C14" s="317">
        <f>IF('[2]Нормы трудоемкости'!C14=0,"",'[2]Нормы трудоемкости'!C14)</f>
        <v>6.0000000000000001E-3</v>
      </c>
      <c r="D14" s="317">
        <f>IF('[2]Нормы трудоемкости'!D14=0,"",'[2]Нормы трудоемкости'!D14)</f>
        <v>7.8000000000000005E-3</v>
      </c>
      <c r="E14" s="317">
        <f>IF('[2]Нормы трудоемкости'!E14=0,"",'[2]Нормы трудоемкости'!E14)</f>
        <v>9.0000000000000011E-3</v>
      </c>
      <c r="F14" s="317">
        <f>IF('[2]Нормы трудоемкости'!F14=0,"",'[2]Нормы трудоемкости'!F14)</f>
        <v>1.2E-2</v>
      </c>
      <c r="G14" s="317" t="str">
        <f>IF('[2]Нормы трудоемкости'!G14=0,"",'[2]Нормы трудоемкости'!G14)</f>
        <v/>
      </c>
    </row>
    <row r="15" spans="1:7" ht="13.15" customHeight="1" x14ac:dyDescent="0.2">
      <c r="A15" s="317">
        <f>IF('[2]Нормы трудоемкости'!A15=0,"",'[2]Нормы трудоемкости'!A15)</f>
        <v>3</v>
      </c>
      <c r="B15" s="317" t="str">
        <f>IF('[2]Нормы трудоемкости'!B15=0,"",'[2]Нормы трудоемкости'!B15)</f>
        <v>Нанесение пленочного фоторезиста</v>
      </c>
      <c r="C15" s="317">
        <f>IF('[2]Нормы трудоемкости'!C15=0,"",'[2]Нормы трудоемкости'!C15)</f>
        <v>7.0000000000000001E-3</v>
      </c>
      <c r="D15" s="317">
        <f>IF('[2]Нормы трудоемкости'!D15=0,"",'[2]Нормы трудоемкости'!D15)</f>
        <v>9.1000000000000004E-3</v>
      </c>
      <c r="E15" s="317">
        <f>IF('[2]Нормы трудоемкости'!E15=0,"",'[2]Нормы трудоемкости'!E15)</f>
        <v>1.0500000000000001E-2</v>
      </c>
      <c r="F15" s="317">
        <f>IF('[2]Нормы трудоемкости'!F15=0,"",'[2]Нормы трудоемкости'!F15)</f>
        <v>1.4E-2</v>
      </c>
      <c r="G15" s="317" t="str">
        <f>IF('[2]Нормы трудоемкости'!G15=0,"",'[2]Нормы трудоемкости'!G15)</f>
        <v/>
      </c>
    </row>
    <row r="16" spans="1:7" ht="13.15" customHeight="1" x14ac:dyDescent="0.2">
      <c r="A16" s="317">
        <f>IF('[2]Нормы трудоемкости'!A16=0,"",'[2]Нормы трудоемкости'!A16)</f>
        <v>4</v>
      </c>
      <c r="B16" s="317" t="str">
        <f>IF('[2]Нормы трудоемкости'!B16=0,"",'[2]Нормы трудоемкости'!B16)</f>
        <v>Пробивка базовых отверстий</v>
      </c>
      <c r="C16" s="317">
        <f>IF('[2]Нормы трудоемкости'!C16=0,"",'[2]Нормы трудоемкости'!C16)</f>
        <v>2.5999999999999999E-3</v>
      </c>
      <c r="D16" s="317">
        <f>IF('[2]Нормы трудоемкости'!D16=0,"",'[2]Нормы трудоемкости'!D16)</f>
        <v>3.3799999999999998E-3</v>
      </c>
      <c r="E16" s="317">
        <f>IF('[2]Нормы трудоемкости'!E16=0,"",'[2]Нормы трудоемкости'!E16)</f>
        <v>3.8999999999999998E-3</v>
      </c>
      <c r="F16" s="317">
        <f>IF('[2]Нормы трудоемкости'!F16=0,"",'[2]Нормы трудоемкости'!F16)</f>
        <v>5.1999999999999998E-3</v>
      </c>
      <c r="G16" s="317" t="str">
        <f>IF('[2]Нормы трудоемкости'!G16=0,"",'[2]Нормы трудоемкости'!G16)</f>
        <v>Сверление базовых отверстий</v>
      </c>
    </row>
    <row r="17" spans="1:7" ht="12" customHeight="1" x14ac:dyDescent="0.2">
      <c r="A17" s="317">
        <f>IF('[2]Нормы трудоемкости'!A17=0,"",'[2]Нормы трудоемкости'!A17)</f>
        <v>5</v>
      </c>
      <c r="B17" s="317" t="str">
        <f>IF('[2]Нормы трудоемкости'!B17=0,"",'[2]Нормы трудоемкости'!B17)</f>
        <v>Экспонирование</v>
      </c>
      <c r="C17" s="317">
        <f>IF('[2]Нормы трудоемкости'!C17=0,"",'[2]Нормы трудоемкости'!C17)</f>
        <v>4.0000000000000001E-3</v>
      </c>
      <c r="D17" s="317">
        <f>IF('[2]Нормы трудоемкости'!D17=0,"",'[2]Нормы трудоемкости'!D17)</f>
        <v>5.2000000000000006E-3</v>
      </c>
      <c r="E17" s="317">
        <f>IF('[2]Нормы трудоемкости'!E17=0,"",'[2]Нормы трудоемкости'!E17)</f>
        <v>6.0000000000000001E-3</v>
      </c>
      <c r="F17" s="317">
        <f>IF('[2]Нормы трудоемкости'!F17=0,"",'[2]Нормы трудоемкости'!F17)</f>
        <v>8.0000000000000002E-3</v>
      </c>
      <c r="G17" s="317" t="str">
        <f>IF('[2]Нормы трудоемкости'!G17=0,"",'[2]Нормы трудоемкости'!G17)</f>
        <v/>
      </c>
    </row>
    <row r="18" spans="1:7" ht="13.15" customHeight="1" x14ac:dyDescent="0.2">
      <c r="A18" s="317">
        <f>IF('[2]Нормы трудоемкости'!A18=0,"",'[2]Нормы трудоемкости'!A18)</f>
        <v>6</v>
      </c>
      <c r="B18" s="317" t="str">
        <f>IF('[2]Нормы трудоемкости'!B18=0,"",'[2]Нормы трудоемкости'!B18)</f>
        <v>Проявление</v>
      </c>
      <c r="C18" s="317">
        <f>IF('[2]Нормы трудоемкости'!C18=0,"",'[2]Нормы трудоемкости'!C18)</f>
        <v>5.0000000000000001E-3</v>
      </c>
      <c r="D18" s="317">
        <f>IF('[2]Нормы трудоемкости'!D18=0,"",'[2]Нормы трудоемкости'!D18)</f>
        <v>6.5000000000000006E-3</v>
      </c>
      <c r="E18" s="317">
        <f>IF('[2]Нормы трудоемкости'!E18=0,"",'[2]Нормы трудоемкости'!E18)</f>
        <v>7.4999999999999997E-3</v>
      </c>
      <c r="F18" s="317">
        <f>IF('[2]Нормы трудоемкости'!F18=0,"",'[2]Нормы трудоемкости'!F18)</f>
        <v>0.01</v>
      </c>
      <c r="G18" s="317" t="str">
        <f>IF('[2]Нормы трудоемкости'!G18=0,"",'[2]Нормы трудоемкости'!G18)</f>
        <v/>
      </c>
    </row>
    <row r="19" spans="1:7" ht="13.15" customHeight="1" x14ac:dyDescent="0.2">
      <c r="A19" s="317">
        <f>IF('[2]Нормы трудоемкости'!A19=0,"",'[2]Нормы трудоемкости'!A19)</f>
        <v>7</v>
      </c>
      <c r="B19" s="317" t="str">
        <f>IF('[2]Нормы трудоемкости'!B19=0,"",'[2]Нормы трудоемкости'!B19)</f>
        <v>Ретуширование</v>
      </c>
      <c r="C19" s="317">
        <f>IF('[2]Нормы трудоемкости'!C19=0,"",'[2]Нормы трудоемкости'!C19)</f>
        <v>2.1000000000000001E-2</v>
      </c>
      <c r="D19" s="317">
        <f>IF('[2]Нормы трудоемкости'!D19=0,"",'[2]Нормы трудоемкости'!D19)</f>
        <v>2.7300000000000001E-2</v>
      </c>
      <c r="E19" s="317">
        <f>IF('[2]Нормы трудоемкости'!E19=0,"",'[2]Нормы трудоемкости'!E19)</f>
        <v>3.15E-2</v>
      </c>
      <c r="F19" s="317">
        <f>IF('[2]Нормы трудоемкости'!F19=0,"",'[2]Нормы трудоемкости'!F19)</f>
        <v>4.2000000000000003E-2</v>
      </c>
      <c r="G19" s="317" t="str">
        <f>IF('[2]Нормы трудоемкости'!G19=0,"",'[2]Нормы трудоемкости'!G19)</f>
        <v/>
      </c>
    </row>
    <row r="20" spans="1:7" ht="13.15" customHeight="1" x14ac:dyDescent="0.2">
      <c r="A20" s="317">
        <f>IF('[2]Нормы трудоемкости'!A20=0,"",'[2]Нормы трудоемкости'!A20)</f>
        <v>8</v>
      </c>
      <c r="B20" s="317" t="str">
        <f>IF('[2]Нормы трудоемкости'!B20=0,"",'[2]Нормы трудоемкости'!B20)</f>
        <v>Травление (кислое)</v>
      </c>
      <c r="C20" s="317">
        <f>IF('[2]Нормы трудоемкости'!C20=0,"",'[2]Нормы трудоемкости'!C20)</f>
        <v>4.0000000000000001E-3</v>
      </c>
      <c r="D20" s="317">
        <f>IF('[2]Нормы трудоемкости'!D20=0,"",'[2]Нормы трудоемкости'!D20)</f>
        <v>5.2000000000000006E-3</v>
      </c>
      <c r="E20" s="317">
        <f>IF('[2]Нормы трудоемкости'!E20=0,"",'[2]Нормы трудоемкости'!E20)</f>
        <v>6.0000000000000001E-3</v>
      </c>
      <c r="F20" s="317">
        <f>IF('[2]Нормы трудоемкости'!F20=0,"",'[2]Нормы трудоемкости'!F20)</f>
        <v>8.0000000000000002E-3</v>
      </c>
      <c r="G20" s="317" t="str">
        <f>IF('[2]Нормы трудоемкости'!G20=0,"",'[2]Нормы трудоемкости'!G20)</f>
        <v/>
      </c>
    </row>
    <row r="21" spans="1:7" ht="13.15" customHeight="1" x14ac:dyDescent="0.2">
      <c r="A21" s="317">
        <f>IF('[2]Нормы трудоемкости'!A21=0,"",'[2]Нормы трудоемкости'!A21)</f>
        <v>9</v>
      </c>
      <c r="B21" s="317" t="str">
        <f>IF('[2]Нормы трудоемкости'!B21=0,"",'[2]Нормы трудоемкости'!B21)</f>
        <v>Снятие пленочного фоторезиста</v>
      </c>
      <c r="C21" s="317">
        <f>IF('[2]Нормы трудоемкости'!C21=0,"",'[2]Нормы трудоемкости'!C21)</f>
        <v>3.4000000000000002E-2</v>
      </c>
      <c r="D21" s="317">
        <f>IF('[2]Нормы трудоемкости'!D21=0,"",'[2]Нормы трудоемкости'!D21)</f>
        <v>4.4200000000000003E-2</v>
      </c>
      <c r="E21" s="317">
        <f>IF('[2]Нормы трудоемкости'!E21=0,"",'[2]Нормы трудоемкости'!E21)</f>
        <v>5.1000000000000004E-2</v>
      </c>
      <c r="F21" s="317">
        <f>IF('[2]Нормы трудоемкости'!F21=0,"",'[2]Нормы трудоемкости'!F21)</f>
        <v>6.8000000000000005E-2</v>
      </c>
      <c r="G21" s="317" t="str">
        <f>IF('[2]Нормы трудоемкости'!G21=0,"",'[2]Нормы трудоемкости'!G21)</f>
        <v/>
      </c>
    </row>
    <row r="22" spans="1:7" ht="13.15" customHeight="1" x14ac:dyDescent="0.2">
      <c r="A22" s="317">
        <f>IF('[2]Нормы трудоемкости'!A22=0,"",'[2]Нормы трудоемкости'!A22)</f>
        <v>10</v>
      </c>
      <c r="B22" s="317" t="str">
        <f>IF('[2]Нормы трудоемкости'!B22=0,"",'[2]Нормы трудоемкости'!B22)</f>
        <v>Подрезка, ремонт внутренних слоев</v>
      </c>
      <c r="C22" s="317">
        <f>IF('[2]Нормы трудоемкости'!C22=0,"",'[2]Нормы трудоемкости'!C22)</f>
        <v>2.1000000000000001E-2</v>
      </c>
      <c r="D22" s="317">
        <f>IF('[2]Нормы трудоемкости'!D22=0,"",'[2]Нормы трудоемкости'!D22)</f>
        <v>2.7300000000000001E-2</v>
      </c>
      <c r="E22" s="317">
        <f>IF('[2]Нормы трудоемкости'!E22=0,"",'[2]Нормы трудоемкости'!E22)</f>
        <v>3.15E-2</v>
      </c>
      <c r="F22" s="317">
        <f>IF('[2]Нормы трудоемкости'!F22=0,"",'[2]Нормы трудоемкости'!F22)</f>
        <v>4.2000000000000003E-2</v>
      </c>
      <c r="G22" s="317" t="str">
        <f>IF('[2]Нормы трудоемкости'!G22=0,"",'[2]Нормы трудоемкости'!G22)</f>
        <v/>
      </c>
    </row>
    <row r="23" spans="1:7" ht="12.75" customHeight="1" x14ac:dyDescent="0.2">
      <c r="A23" s="317">
        <f>IF('[2]Нормы трудоемкости'!A23=0,"",'[2]Нормы трудоемкости'!A23)</f>
        <v>11</v>
      </c>
      <c r="B23" s="317" t="str">
        <f>IF('[2]Нормы трудоемкости'!B23=0,"",'[2]Нормы трудоемкости'!B23)</f>
        <v>Видеоконтроль слоев (ORION) МПП</v>
      </c>
      <c r="C23" s="317" t="str">
        <f>IF('[2]Нормы трудоемкости'!C23=0,"",'[2]Нормы трудоемкости'!C23)</f>
        <v/>
      </c>
      <c r="D23" s="317">
        <f>IF('[2]Нормы трудоемкости'!D23=0,"",'[2]Нормы трудоемкости'!D23)</f>
        <v>6.6666666666666662E-3</v>
      </c>
      <c r="E23" s="317">
        <f>IF('[2]Нормы трудоемкости'!E23=0,"",'[2]Нормы трудоемкости'!E23)</f>
        <v>1.1111111111111112E-2</v>
      </c>
      <c r="F23" s="317">
        <f>IF('[2]Нормы трудоемкости'!F23=0,"",'[2]Нормы трудоемкости'!F23)</f>
        <v>1.7777777777777778E-2</v>
      </c>
      <c r="G23" s="317" t="str">
        <f>IF('[2]Нормы трудоемкости'!G23=0,"",'[2]Нормы трудоемкости'!G23)</f>
        <v/>
      </c>
    </row>
    <row r="24" spans="1:7" ht="13.15" customHeight="1" x14ac:dyDescent="0.2">
      <c r="A24" s="317">
        <f>IF('[2]Нормы трудоемкости'!A24=0,"",'[2]Нормы трудоемкости'!A24)</f>
        <v>12</v>
      </c>
      <c r="B24" s="317" t="str">
        <f>IF('[2]Нормы трудоемкости'!B24=0,"",'[2]Нормы трудоемкости'!B24)</f>
        <v>Нанесение адгезионного слоя</v>
      </c>
      <c r="C24" s="317">
        <f>IF('[2]Нормы трудоемкости'!C24=0,"",'[2]Нормы трудоемкости'!C24)</f>
        <v>7.0000000000000001E-3</v>
      </c>
      <c r="D24" s="317">
        <f>IF('[2]Нормы трудоемкости'!D24=0,"",'[2]Нормы трудоемкости'!D24)</f>
        <v>9.1000000000000004E-3</v>
      </c>
      <c r="E24" s="317">
        <f>IF('[2]Нормы трудоемкости'!E24=0,"",'[2]Нормы трудоемкости'!E24)</f>
        <v>1.0500000000000001E-2</v>
      </c>
      <c r="F24" s="317">
        <f>IF('[2]Нормы трудоемкости'!F24=0,"",'[2]Нормы трудоемкости'!F24)</f>
        <v>1.4E-2</v>
      </c>
      <c r="G24" s="317" t="str">
        <f>IF('[2]Нормы трудоемкости'!G24=0,"",'[2]Нормы трудоемкости'!G24)</f>
        <v>подготовка поверхности мех</v>
      </c>
    </row>
    <row r="25" spans="1:7" ht="13.15" customHeight="1" x14ac:dyDescent="0.2">
      <c r="A25" s="317" t="str">
        <f>IF('[2]Нормы трудоемкости'!A25=0,"",'[2]Нормы трудоемкости'!A25)</f>
        <v/>
      </c>
      <c r="B25" s="317" t="str">
        <f>IF('[2]Нормы трудоемкости'!B25=0,"",'[2]Нормы трудоемкости'!B25)</f>
        <v>Сумма на слой</v>
      </c>
      <c r="C25" s="317" t="str">
        <f>IF('[2]Нормы трудоемкости'!C25=0,"",'[2]Нормы трудоемкости'!C25)</f>
        <v/>
      </c>
      <c r="D25" s="317">
        <f>IF('[2]Нормы трудоемкости'!D25=0,"",'[2]Нормы трудоемкости'!D25)</f>
        <v>0.18294666666666665</v>
      </c>
      <c r="E25" s="317">
        <f>IF('[2]Нормы трудоемкости'!E25=0,"",'[2]Нормы трудоемкости'!E25)</f>
        <v>0.21451111111111115</v>
      </c>
      <c r="F25" s="317">
        <f>IF('[2]Нормы трудоемкости'!F25=0,"",'[2]Нормы трудоемкости'!F25)</f>
        <v>0.28897777777777778</v>
      </c>
      <c r="G25" s="317" t="str">
        <f>IF('[2]Нормы трудоемкости'!G25=0,"",'[2]Нормы трудоемкости'!G25)</f>
        <v/>
      </c>
    </row>
    <row r="26" spans="1:7" ht="13.15" customHeight="1" x14ac:dyDescent="0.2">
      <c r="A26" s="317" t="str">
        <f>IF('[2]Нормы трудоемкости'!A26=0,"",'[2]Нормы трудоемкости'!A26)</f>
        <v/>
      </c>
      <c r="B26" s="317" t="str">
        <f>IF('[2]Нормы трудоемкости'!B26=0,"",'[2]Нормы трудоемкости'!B26)</f>
        <v/>
      </c>
      <c r="C26" s="317" t="str">
        <f>IF('[2]Нормы трудоемкости'!C26=0,"",'[2]Нормы трудоемкости'!C26)</f>
        <v/>
      </c>
      <c r="D26" s="317" t="str">
        <f>IF('[2]Нормы трудоемкости'!D26=0,"",'[2]Нормы трудоемкости'!D26)</f>
        <v/>
      </c>
      <c r="E26" s="317" t="str">
        <f>IF('[2]Нормы трудоемкости'!E26=0,"",'[2]Нормы трудоемкости'!E26)</f>
        <v/>
      </c>
      <c r="F26" s="317" t="str">
        <f>IF('[2]Нормы трудоемкости'!F26=0,"",'[2]Нормы трудоемкости'!F26)</f>
        <v/>
      </c>
      <c r="G26" s="317" t="str">
        <f>IF('[2]Нормы трудоемкости'!G26=0,"",'[2]Нормы трудоемкости'!G26)</f>
        <v/>
      </c>
    </row>
    <row r="27" spans="1:7" ht="13.15" customHeight="1" x14ac:dyDescent="0.2">
      <c r="A27" s="317">
        <f>IF('[2]Нормы трудоемкости'!A27=0,"",'[2]Нормы трудоемкости'!A27)</f>
        <v>13</v>
      </c>
      <c r="B27" s="317" t="str">
        <f>IF('[2]Нормы трудоемкости'!B27=0,"",'[2]Нормы трудоемкости'!B27)</f>
        <v>Проверка комплектности, прессование, термостабилизация</v>
      </c>
      <c r="C27" s="317" t="str">
        <f>IF('[2]Нормы трудоемкости'!C27=0,"",'[2]Нормы трудоемкости'!C27)</f>
        <v/>
      </c>
      <c r="D27" s="317">
        <f>IF('[2]Нормы трудоемкости'!D27=0,"",'[2]Нормы трудоемкости'!D27)</f>
        <v>7.7000000000000013E-2</v>
      </c>
      <c r="E27" s="317">
        <f>IF('[2]Нормы трудоемкости'!E27=0,"",'[2]Нормы трудоемкости'!E27)</f>
        <v>8.8000000000000009E-2</v>
      </c>
      <c r="F27" s="317">
        <f>IF('[2]Нормы трудоемкости'!F27=0,"",'[2]Нормы трудоемкости'!F27)</f>
        <v>0.11000000000000001</v>
      </c>
      <c r="G27" s="317" t="str">
        <f>IF('[2]Нормы трудоемкости'!G27=0,"",'[2]Нормы трудоемкости'!G27)</f>
        <v/>
      </c>
    </row>
    <row r="28" spans="1:7" x14ac:dyDescent="0.2">
      <c r="A28" s="317">
        <f>IF('[2]Нормы трудоемкости'!A28=0,"",'[2]Нормы трудоемкости'!A28)</f>
        <v>14</v>
      </c>
      <c r="B28" s="317" t="str">
        <f>IF('[2]Нормы трудоемкости'!B28=0,"",'[2]Нормы трудоемкости'!B28)</f>
        <v>Промывка водой под высоким давлением</v>
      </c>
      <c r="C28" s="317">
        <f>IF('[2]Нормы трудоемкости'!C28=0,"",'[2]Нормы трудоемкости'!C28)</f>
        <v>8.3000000000000004E-2</v>
      </c>
      <c r="D28" s="317">
        <f>IF('[2]Нормы трудоемкости'!D28=0,"",'[2]Нормы трудоемкости'!D28)</f>
        <v>0.10790000000000001</v>
      </c>
      <c r="E28" s="317">
        <f>IF('[2]Нормы трудоемкости'!E28=0,"",'[2]Нормы трудоемкости'!E28)</f>
        <v>0.1245</v>
      </c>
      <c r="F28" s="317">
        <f>IF('[2]Нормы трудоемкости'!F28=0,"",'[2]Нормы трудоемкости'!F28)</f>
        <v>0.16600000000000001</v>
      </c>
      <c r="G28" s="317" t="str">
        <f>IF('[2]Нормы трудоемкости'!G28=0,"",'[2]Нормы трудоемкости'!G28)</f>
        <v/>
      </c>
    </row>
    <row r="29" spans="1:7" x14ac:dyDescent="0.2">
      <c r="A29" s="317">
        <f>IF('[2]Нормы трудоемкости'!A29=0,"",'[2]Нормы трудоемкости'!A29)</f>
        <v>15</v>
      </c>
      <c r="B29" s="317" t="str">
        <f>IF('[2]Нормы трудоемкости'!B29=0,"",'[2]Нормы трудоемкости'!B29)</f>
        <v>Дисмеринг</v>
      </c>
      <c r="C29" s="317">
        <f>IF('[2]Нормы трудоемкости'!C29=0,"",'[2]Нормы трудоемкости'!C29)</f>
        <v>3.0000000000000001E-3</v>
      </c>
      <c r="D29" s="317">
        <f>IF('[2]Нормы трудоемкости'!D29=0,"",'[2]Нормы трудоемкости'!D29)</f>
        <v>3.9000000000000003E-3</v>
      </c>
      <c r="E29" s="317">
        <f>IF('[2]Нормы трудоемкости'!E29=0,"",'[2]Нормы трудоемкости'!E29)</f>
        <v>4.5000000000000005E-3</v>
      </c>
      <c r="F29" s="317">
        <f>IF('[2]Нормы трудоемкости'!F29=0,"",'[2]Нормы трудоемкости'!F29)</f>
        <v>6.0000000000000001E-3</v>
      </c>
      <c r="G29" s="317" t="str">
        <f>IF('[2]Нормы трудоемкости'!G29=0,"",'[2]Нормы трудоемкости'!G29)</f>
        <v/>
      </c>
    </row>
    <row r="30" spans="1:7" x14ac:dyDescent="0.2">
      <c r="A30" s="317">
        <f>IF('[2]Нормы трудоемкости'!A30=0,"",'[2]Нормы трудоемкости'!A30)</f>
        <v>16</v>
      </c>
      <c r="B30" s="317" t="str">
        <f>IF('[2]Нормы трудоемкости'!B30=0,"",'[2]Нормы трудоемкости'!B30)</f>
        <v>Промывка водой под высоким давлением</v>
      </c>
      <c r="C30" s="317">
        <f>IF('[2]Нормы трудоемкости'!C30=0,"",'[2]Нормы трудоемкости'!C30)</f>
        <v>8.3000000000000004E-2</v>
      </c>
      <c r="D30" s="317">
        <f>IF('[2]Нормы трудоемкости'!D30=0,"",'[2]Нормы трудоемкости'!D30)</f>
        <v>0.10790000000000001</v>
      </c>
      <c r="E30" s="317">
        <f>IF('[2]Нормы трудоемкости'!E30=0,"",'[2]Нормы трудоемкости'!E30)</f>
        <v>0.1245</v>
      </c>
      <c r="F30" s="317">
        <f>IF('[2]Нормы трудоемкости'!F30=0,"",'[2]Нормы трудоемкости'!F30)</f>
        <v>0.16600000000000001</v>
      </c>
      <c r="G30" s="317" t="str">
        <f>IF('[2]Нормы трудоемкости'!G30=0,"",'[2]Нормы трудоемкости'!G30)</f>
        <v/>
      </c>
    </row>
    <row r="31" spans="1:7" x14ac:dyDescent="0.2">
      <c r="A31" s="317">
        <f>IF('[2]Нормы трудоемкости'!A31=0,"",'[2]Нормы трудоемкости'!A31)</f>
        <v>17</v>
      </c>
      <c r="B31" s="317" t="str">
        <f>IF('[2]Нормы трудоемкости'!B31=0,"",'[2]Нормы трудоемкости'!B31)</f>
        <v>Химическое меднение и затяжка</v>
      </c>
      <c r="C31" s="317">
        <f>IF('[2]Нормы трудоемкости'!C31=0,"",'[2]Нормы трудоемкости'!C31)</f>
        <v>3.0000000000000001E-3</v>
      </c>
      <c r="D31" s="317">
        <f>IF('[2]Нормы трудоемкости'!D31=0,"",'[2]Нормы трудоемкости'!D31)</f>
        <v>3.9000000000000003E-3</v>
      </c>
      <c r="E31" s="317">
        <f>IF('[2]Нормы трудоемкости'!E31=0,"",'[2]Нормы трудоемкости'!E31)</f>
        <v>4.5000000000000005E-3</v>
      </c>
      <c r="F31" s="317">
        <f>IF('[2]Нормы трудоемкости'!F31=0,"",'[2]Нормы трудоемкости'!F31)</f>
        <v>6.0000000000000001E-3</v>
      </c>
      <c r="G31" s="317" t="str">
        <f>IF('[2]Нормы трудоемкости'!G31=0,"",'[2]Нормы трудоемкости'!G31)</f>
        <v/>
      </c>
    </row>
    <row r="32" spans="1:7" x14ac:dyDescent="0.2">
      <c r="A32" s="317">
        <f>IF('[2]Нормы трудоемкости'!A32=0,"",'[2]Нормы трудоемкости'!A32)</f>
        <v>18</v>
      </c>
      <c r="B32" s="317" t="str">
        <f>IF('[2]Нормы трудоемкости'!B32=0,"",'[2]Нормы трудоемкости'!B32)</f>
        <v>Подготовка поверхности механическая</v>
      </c>
      <c r="C32" s="317">
        <f>IF('[2]Нормы трудоемкости'!C32=0,"",'[2]Нормы трудоемкости'!C32)</f>
        <v>7.0000000000000001E-3</v>
      </c>
      <c r="D32" s="317">
        <f>IF('[2]Нормы трудоемкости'!D32=0,"",'[2]Нормы трудоемкости'!D32)</f>
        <v>9.1000000000000004E-3</v>
      </c>
      <c r="E32" s="317">
        <f>IF('[2]Нормы трудоемкости'!E32=0,"",'[2]Нормы трудоемкости'!E32)</f>
        <v>1.0500000000000001E-2</v>
      </c>
      <c r="F32" s="317">
        <f>IF('[2]Нормы трудоемкости'!F32=0,"",'[2]Нормы трудоемкости'!F32)</f>
        <v>1.4E-2</v>
      </c>
      <c r="G32" s="317" t="str">
        <f>IF('[2]Нормы трудоемкости'!G32=0,"",'[2]Нормы трудоемкости'!G32)</f>
        <v/>
      </c>
    </row>
    <row r="33" spans="1:7" x14ac:dyDescent="0.2">
      <c r="A33" s="317">
        <f>IF('[2]Нормы трудоемкости'!A33=0,"",'[2]Нормы трудоемкости'!A33)</f>
        <v>19</v>
      </c>
      <c r="B33" s="317" t="str">
        <f>IF('[2]Нормы трудоемкости'!B33=0,"",'[2]Нормы трудоемкости'!B33)</f>
        <v>Получение рисунка схемы</v>
      </c>
      <c r="C33" s="317">
        <f>IF('[2]Нормы трудоемкости'!C33=0,"",'[2]Нормы трудоемкости'!C33)</f>
        <v>9.0000000000000011E-3</v>
      </c>
      <c r="D33" s="317">
        <f>IF('[2]Нормы трудоемкости'!D33=0,"",'[2]Нормы трудоемкости'!D33)</f>
        <v>1.1700000000000002E-2</v>
      </c>
      <c r="E33" s="317">
        <f>IF('[2]Нормы трудоемкости'!E33=0,"",'[2]Нормы трудоемкости'!E33)</f>
        <v>1.3500000000000002E-2</v>
      </c>
      <c r="F33" s="317">
        <f>IF('[2]Нормы трудоемкости'!F33=0,"",'[2]Нормы трудоемкости'!F33)</f>
        <v>1.8000000000000002E-2</v>
      </c>
      <c r="G33" s="317" t="str">
        <f>IF('[2]Нормы трудоемкости'!G33=0,"",'[2]Нормы трудоемкости'!G33)</f>
        <v>экспонирование и проявление</v>
      </c>
    </row>
    <row r="34" spans="1:7" x14ac:dyDescent="0.2">
      <c r="A34" s="317">
        <f>IF('[2]Нормы трудоемкости'!A34=0,"",'[2]Нормы трудоемкости'!A34)</f>
        <v>20</v>
      </c>
      <c r="B34" s="317" t="str">
        <f>IF('[2]Нормы трудоемкости'!B34=0,"",'[2]Нормы трудоемкости'!B34)</f>
        <v>Ретуширование</v>
      </c>
      <c r="C34" s="317">
        <f>IF('[2]Нормы трудоемкости'!C34=0,"",'[2]Нормы трудоемкости'!C34)</f>
        <v>2.1000000000000001E-2</v>
      </c>
      <c r="D34" s="317">
        <f>IF('[2]Нормы трудоемкости'!D34=0,"",'[2]Нормы трудоемкости'!D34)</f>
        <v>2.7300000000000001E-2</v>
      </c>
      <c r="E34" s="317">
        <f>IF('[2]Нормы трудоемкости'!E34=0,"",'[2]Нормы трудоемкости'!E34)</f>
        <v>3.15E-2</v>
      </c>
      <c r="F34" s="317">
        <f>IF('[2]Нормы трудоемкости'!F34=0,"",'[2]Нормы трудоемкости'!F34)</f>
        <v>4.2000000000000003E-2</v>
      </c>
      <c r="G34" s="317" t="str">
        <f>IF('[2]Нормы трудоемкости'!G34=0,"",'[2]Нормы трудоемкости'!G34)</f>
        <v/>
      </c>
    </row>
    <row r="35" spans="1:7" x14ac:dyDescent="0.2">
      <c r="A35" s="317">
        <f>IF('[2]Нормы трудоемкости'!A35=0,"",'[2]Нормы трудоемкости'!A35)</f>
        <v>21</v>
      </c>
      <c r="B35" s="317" t="str">
        <f>IF('[2]Нормы трудоемкости'!B35=0,"",'[2]Нормы трудоемкости'!B35)</f>
        <v>Гальваническое меднение и оловянирование</v>
      </c>
      <c r="C35" s="317">
        <f>IF('[2]Нормы трудоемкости'!C35=0,"",'[2]Нормы трудоемкости'!C35)</f>
        <v>3.0000000000000001E-3</v>
      </c>
      <c r="D35" s="317">
        <f>IF('[2]Нормы трудоемкости'!D35=0,"",'[2]Нормы трудоемкости'!D35)</f>
        <v>3.9000000000000003E-3</v>
      </c>
      <c r="E35" s="317">
        <f>IF('[2]Нормы трудоемкости'!E35=0,"",'[2]Нормы трудоемкости'!E35)</f>
        <v>4.5000000000000005E-3</v>
      </c>
      <c r="F35" s="317">
        <f>IF('[2]Нормы трудоемкости'!F35=0,"",'[2]Нормы трудоемкости'!F35)</f>
        <v>6.0000000000000001E-3</v>
      </c>
      <c r="G35" s="317" t="str">
        <f>IF('[2]Нормы трудоемкости'!G35=0,"",'[2]Нормы трудоемкости'!G35)</f>
        <v/>
      </c>
    </row>
    <row r="36" spans="1:7" x14ac:dyDescent="0.2">
      <c r="A36" s="317">
        <f>IF('[2]Нормы трудоемкости'!A36=0,"",'[2]Нормы трудоемкости'!A36)</f>
        <v>22</v>
      </c>
      <c r="B36" s="317" t="str">
        <f>IF('[2]Нормы трудоемкости'!B36=0,"",'[2]Нормы трудоемкости'!B36)</f>
        <v>Снятие фоторезиста</v>
      </c>
      <c r="C36" s="317">
        <f>IF('[2]Нормы трудоемкости'!C36=0,"",'[2]Нормы трудоемкости'!C36)</f>
        <v>3.4000000000000002E-2</v>
      </c>
      <c r="D36" s="317">
        <f>IF('[2]Нормы трудоемкости'!D36=0,"",'[2]Нормы трудоемкости'!D36)</f>
        <v>4.4200000000000003E-2</v>
      </c>
      <c r="E36" s="317">
        <f>IF('[2]Нормы трудоемкости'!E36=0,"",'[2]Нормы трудоемкости'!E36)</f>
        <v>5.1000000000000004E-2</v>
      </c>
      <c r="F36" s="317">
        <f>IF('[2]Нормы трудоемкости'!F36=0,"",'[2]Нормы трудоемкости'!F36)</f>
        <v>6.8000000000000005E-2</v>
      </c>
      <c r="G36" s="317" t="str">
        <f>IF('[2]Нормы трудоемкости'!G36=0,"",'[2]Нормы трудоемкости'!G36)</f>
        <v/>
      </c>
    </row>
    <row r="37" spans="1:7" x14ac:dyDescent="0.2">
      <c r="A37" s="317">
        <f>IF('[2]Нормы трудоемкости'!A37=0,"",'[2]Нормы трудоемкости'!A37)</f>
        <v>23</v>
      </c>
      <c r="B37" s="317" t="str">
        <f>IF('[2]Нормы трудоемкости'!B37=0,"",'[2]Нормы трудоемкости'!B37)</f>
        <v>Ретуширование</v>
      </c>
      <c r="C37" s="317">
        <f>IF('[2]Нормы трудоемкости'!C37=0,"",'[2]Нормы трудоемкости'!C37)</f>
        <v>2.1000000000000001E-2</v>
      </c>
      <c r="D37" s="317">
        <f>IF('[2]Нормы трудоемкости'!D37=0,"",'[2]Нормы трудоемкости'!D37)</f>
        <v>2.7300000000000001E-2</v>
      </c>
      <c r="E37" s="317">
        <f>IF('[2]Нормы трудоемкости'!E37=0,"",'[2]Нормы трудоемкости'!E37)</f>
        <v>3.15E-2</v>
      </c>
      <c r="F37" s="317">
        <f>IF('[2]Нормы трудоемкости'!F37=0,"",'[2]Нормы трудоемкости'!F37)</f>
        <v>4.2000000000000003E-2</v>
      </c>
      <c r="G37" s="317" t="str">
        <f>IF('[2]Нормы трудоемкости'!G37=0,"",'[2]Нормы трудоемкости'!G37)</f>
        <v/>
      </c>
    </row>
    <row r="38" spans="1:7" x14ac:dyDescent="0.2">
      <c r="A38" s="317">
        <f>IF('[2]Нормы трудоемкости'!A38=0,"",'[2]Нормы трудоемкости'!A38)</f>
        <v>24</v>
      </c>
      <c r="B38" s="317" t="str">
        <f>IF('[2]Нормы трудоемкости'!B38=0,"",'[2]Нормы трудоемкости'!B38)</f>
        <v>Травление</v>
      </c>
      <c r="C38" s="317">
        <f>IF('[2]Нормы трудоемкости'!C38=0,"",'[2]Нормы трудоемкости'!C38)</f>
        <v>0.01</v>
      </c>
      <c r="D38" s="317">
        <f>IF('[2]Нормы трудоемкости'!D38=0,"",'[2]Нормы трудоемкости'!D38)</f>
        <v>1.3000000000000001E-2</v>
      </c>
      <c r="E38" s="317">
        <f>IF('[2]Нормы трудоемкости'!E38=0,"",'[2]Нормы трудоемкости'!E38)</f>
        <v>1.4999999999999999E-2</v>
      </c>
      <c r="F38" s="317">
        <f>IF('[2]Нормы трудоемкости'!F38=0,"",'[2]Нормы трудоемкости'!F38)</f>
        <v>0.02</v>
      </c>
      <c r="G38" s="317" t="str">
        <f>IF('[2]Нормы трудоемкости'!G38=0,"",'[2]Нормы трудоемкости'!G38)</f>
        <v>в щелочном</v>
      </c>
    </row>
    <row r="39" spans="1:7" x14ac:dyDescent="0.2">
      <c r="A39" s="317">
        <f>IF('[2]Нормы трудоемкости'!A39=0,"",'[2]Нормы трудоемкости'!A39)</f>
        <v>25</v>
      </c>
      <c r="B39" s="317" t="str">
        <f>IF('[2]Нормы трудоемкости'!B39=0,"",'[2]Нормы трудоемкости'!B39)</f>
        <v>Дезоксидирование в линии кислого травления</v>
      </c>
      <c r="C39" s="317">
        <f>IF('[2]Нормы трудоемкости'!C39=0,"",'[2]Нормы трудоемкости'!C39)</f>
        <v>0.05</v>
      </c>
      <c r="D39" s="317">
        <f>IF('[2]Нормы трудоемкости'!D39=0,"",'[2]Нормы трудоемкости'!D39)</f>
        <v>6.5000000000000002E-2</v>
      </c>
      <c r="E39" s="317">
        <f>IF('[2]Нормы трудоемкости'!E39=0,"",'[2]Нормы трудоемкости'!E39)</f>
        <v>7.5000000000000011E-2</v>
      </c>
      <c r="F39" s="317">
        <f>IF('[2]Нормы трудоемкости'!F39=0,"",'[2]Нормы трудоемкости'!F39)</f>
        <v>0.1</v>
      </c>
      <c r="G39" s="317" t="str">
        <f>IF('[2]Нормы трудоемкости'!G39=0,"",'[2]Нормы трудоемкости'!G39)</f>
        <v/>
      </c>
    </row>
    <row r="40" spans="1:7" x14ac:dyDescent="0.2">
      <c r="A40" s="317">
        <f>IF('[2]Нормы трудоемкости'!A40=0,"",'[2]Нормы трудоемкости'!A40)</f>
        <v>26</v>
      </c>
      <c r="B40" s="317" t="str">
        <f>IF('[2]Нормы трудоемкости'!B40=0,"",'[2]Нормы трудоемкости'!B40)</f>
        <v>Промывка водой под высоким давлением</v>
      </c>
      <c r="C40" s="317">
        <f>IF('[2]Нормы трудоемкости'!C40=0,"",'[2]Нормы трудоемкости'!C40)</f>
        <v>8.3000000000000004E-2</v>
      </c>
      <c r="D40" s="317">
        <f>IF('[2]Нормы трудоемкости'!D40=0,"",'[2]Нормы трудоемкости'!D40)</f>
        <v>0.10790000000000001</v>
      </c>
      <c r="E40" s="317">
        <f>IF('[2]Нормы трудоемкости'!E40=0,"",'[2]Нормы трудоемкости'!E40)</f>
        <v>0.1245</v>
      </c>
      <c r="F40" s="317">
        <f>IF('[2]Нормы трудоемкости'!F40=0,"",'[2]Нормы трудоемкости'!F40)</f>
        <v>0.16600000000000001</v>
      </c>
      <c r="G40" s="317" t="str">
        <f>IF('[2]Нормы трудоемкости'!G40=0,"",'[2]Нормы трудоемкости'!G40)</f>
        <v/>
      </c>
    </row>
    <row r="41" spans="1:7" x14ac:dyDescent="0.2">
      <c r="A41" s="317">
        <f>IF('[2]Нормы трудоемкости'!A41=0,"",'[2]Нормы трудоемкости'!A41)</f>
        <v>27</v>
      </c>
      <c r="B41" s="317" t="str">
        <f>IF('[2]Нормы трудоемкости'!B41=0,"",'[2]Нормы трудоемкости'!B41)</f>
        <v>Контроль КЗ по шинам питания</v>
      </c>
      <c r="C41" s="317">
        <f>IF('[2]Нормы трудоемкости'!C41=0,"",'[2]Нормы трудоемкости'!C41)</f>
        <v>2.2222222222222222E-3</v>
      </c>
      <c r="D41" s="317">
        <f>IF('[2]Нормы трудоемкости'!D41=0,"",'[2]Нормы трудоемкости'!D41)</f>
        <v>2.8888888888888892E-3</v>
      </c>
      <c r="E41" s="317">
        <f>IF('[2]Нормы трудоемкости'!E41=0,"",'[2]Нормы трудоемкости'!E41)</f>
        <v>3.3333333333333331E-3</v>
      </c>
      <c r="F41" s="317">
        <f>IF('[2]Нормы трудоемкости'!F41=0,"",'[2]Нормы трудоемкости'!F41)</f>
        <v>4.4444444444444444E-3</v>
      </c>
      <c r="G41" s="317" t="str">
        <f>IF('[2]Нормы трудоемкости'!G41=0,"",'[2]Нормы трудоемкости'!G41)</f>
        <v>контроль сопр изоляции</v>
      </c>
    </row>
    <row r="42" spans="1:7" x14ac:dyDescent="0.2">
      <c r="A42" s="317">
        <f>IF('[2]Нормы трудоемкости'!A42=0,"",'[2]Нормы трудоемкости'!A42)</f>
        <v>28</v>
      </c>
      <c r="B42" s="317" t="str">
        <f>IF('[2]Нормы трудоемкости'!B42=0,"",'[2]Нормы трудоемкости'!B42)</f>
        <v>Подрезка, ремонт рисунка</v>
      </c>
      <c r="C42" s="317">
        <f>IF('[2]Нормы трудоемкости'!C42=0,"",'[2]Нормы трудоемкости'!C42)</f>
        <v>2.1000000000000001E-2</v>
      </c>
      <c r="D42" s="317">
        <f>IF('[2]Нормы трудоемкости'!D42=0,"",'[2]Нормы трудоемкости'!D42)</f>
        <v>2.7300000000000001E-2</v>
      </c>
      <c r="E42" s="317">
        <f>IF('[2]Нормы трудоемкости'!E42=0,"",'[2]Нормы трудоемкости'!E42)</f>
        <v>3.15E-2</v>
      </c>
      <c r="F42" s="317">
        <f>IF('[2]Нормы трудоемкости'!F42=0,"",'[2]Нормы трудоемкости'!F42)</f>
        <v>4.2000000000000003E-2</v>
      </c>
      <c r="G42" s="317" t="str">
        <f>IF('[2]Нормы трудоемкости'!G42=0,"",'[2]Нормы трудоемкости'!G42)</f>
        <v/>
      </c>
    </row>
    <row r="43" spans="1:7" x14ac:dyDescent="0.2">
      <c r="A43" s="317">
        <f>IF('[2]Нормы трудоемкости'!A43=0,"",'[2]Нормы трудоемкости'!A43)</f>
        <v>29</v>
      </c>
      <c r="B43" s="317" t="str">
        <f>IF('[2]Нормы трудоемкости'!B43=0,"",'[2]Нормы трудоемкости'!B43)</f>
        <v>Расчистка (под микрос1.2ом)</v>
      </c>
      <c r="C43" s="317">
        <f>IF('[2]Нормы трудоемкости'!C43=0,"",'[2]Нормы трудоемкости'!C43)</f>
        <v>4.0000000000000001E-3</v>
      </c>
      <c r="D43" s="317">
        <f>IF('[2]Нормы трудоемкости'!D43=0,"",'[2]Нормы трудоемкости'!D43)</f>
        <v>5.2000000000000006E-3</v>
      </c>
      <c r="E43" s="317">
        <f>IF('[2]Нормы трудоемкости'!E43=0,"",'[2]Нормы трудоемкости'!E43)</f>
        <v>6.0000000000000001E-3</v>
      </c>
      <c r="F43" s="317">
        <f>IF('[2]Нормы трудоемкости'!F43=0,"",'[2]Нормы трудоемкости'!F43)</f>
        <v>8.0000000000000002E-3</v>
      </c>
      <c r="G43" s="317" t="str">
        <f>IF('[2]Нормы трудоемкости'!G43=0,"",'[2]Нормы трудоемкости'!G43)</f>
        <v/>
      </c>
    </row>
    <row r="44" spans="1:7" x14ac:dyDescent="0.2">
      <c r="A44" s="317">
        <f>IF('[2]Нормы трудоемкости'!A44=0,"",'[2]Нормы трудоемкости'!A44)</f>
        <v>30</v>
      </c>
      <c r="B44" s="317" t="str">
        <f>IF('[2]Нормы трудоемкости'!B44=0,"",'[2]Нормы трудоемкости'!B44)</f>
        <v xml:space="preserve">Финишная промывка </v>
      </c>
      <c r="C44" s="317">
        <f>IF('[2]Нормы трудоемкости'!C44=0,"",'[2]Нормы трудоемкости'!C44)</f>
        <v>8.3000000000000004E-2</v>
      </c>
      <c r="D44" s="317">
        <f>IF('[2]Нормы трудоемкости'!D44=0,"",'[2]Нормы трудоемкости'!D44)</f>
        <v>0.10790000000000001</v>
      </c>
      <c r="E44" s="317">
        <f>IF('[2]Нормы трудоемкости'!E44=0,"",'[2]Нормы трудоемкости'!E44)</f>
        <v>0.1245</v>
      </c>
      <c r="F44" s="317">
        <f>IF('[2]Нормы трудоемкости'!F44=0,"",'[2]Нормы трудоемкости'!F44)</f>
        <v>0.16600000000000001</v>
      </c>
      <c r="G44" s="317" t="str">
        <f>IF('[2]Нормы трудоемкости'!G44=0,"",'[2]Нормы трудоемкости'!G44)</f>
        <v/>
      </c>
    </row>
    <row r="45" spans="1:7" x14ac:dyDescent="0.2">
      <c r="A45" s="317">
        <f>IF('[2]Нормы трудоемкости'!A45=0,"",'[2]Нормы трудоемкости'!A45)</f>
        <v>31</v>
      </c>
      <c r="B45" s="317" t="str">
        <f>IF('[2]Нормы трудоемкости'!B45=0,"",'[2]Нормы трудоемкости'!B45)</f>
        <v>Технический контроль</v>
      </c>
      <c r="C45" s="317" t="str">
        <f>IF('[2]Нормы трудоемкости'!C45=0,"",'[2]Нормы трудоемкости'!C45)</f>
        <v/>
      </c>
      <c r="D45" s="317">
        <f>IF('[2]Нормы трудоемкости'!D45=0,"",'[2]Нормы трудоемкости'!D45)</f>
        <v>2.2000000000000002E-2</v>
      </c>
      <c r="E45" s="317">
        <f>IF('[2]Нормы трудоемкости'!E45=0,"",'[2]Нормы трудоемкости'!E45)</f>
        <v>2.7500000000000004E-2</v>
      </c>
      <c r="F45" s="317">
        <f>IF('[2]Нормы трудоемкости'!F45=0,"",'[2]Нормы трудоемкости'!F45)</f>
        <v>5.5000000000000007E-2</v>
      </c>
      <c r="G45" s="317" t="str">
        <f>IF('[2]Нормы трудоемкости'!G45=0,"",'[2]Нормы трудоемкости'!G45)</f>
        <v/>
      </c>
    </row>
    <row r="46" spans="1:7" x14ac:dyDescent="0.2">
      <c r="A46" s="317">
        <f>IF('[2]Нормы трудоемкости'!A46=0,"",'[2]Нормы трудоемкости'!A46)</f>
        <v>32</v>
      </c>
      <c r="B46" s="317" t="str">
        <f>IF('[2]Нормы трудоемкости'!B46=0,"",'[2]Нормы трудоемкости'!B46)</f>
        <v>Упаковочная</v>
      </c>
      <c r="C46" s="317">
        <f>IF('[2]Нормы трудоемкости'!C46=0,"",'[2]Нормы трудоемкости'!C46)</f>
        <v>4.4444444444444444E-3</v>
      </c>
      <c r="D46" s="317">
        <f>IF('[2]Нормы трудоемкости'!D46=0,"",'[2]Нормы трудоемкости'!D46)</f>
        <v>5.7777777777777784E-3</v>
      </c>
      <c r="E46" s="317">
        <f>IF('[2]Нормы трудоемкости'!E46=0,"",'[2]Нормы трудоемкости'!E46)</f>
        <v>6.6666666666666662E-3</v>
      </c>
      <c r="F46" s="317">
        <f>IF('[2]Нормы трудоемкости'!F46=0,"",'[2]Нормы трудоемкости'!F46)</f>
        <v>8.8888888888888889E-3</v>
      </c>
      <c r="G46" s="317" t="str">
        <f>IF('[2]Нормы трудоемкости'!G46=0,"",'[2]Нормы трудоемкости'!G46)</f>
        <v/>
      </c>
    </row>
    <row r="47" spans="1:7" x14ac:dyDescent="0.2">
      <c r="A47" s="317" t="str">
        <f>IF('[2]Нормы трудоемкости'!A47=0,"",'[2]Нормы трудоемкости'!A47)</f>
        <v/>
      </c>
      <c r="B47" s="317" t="str">
        <f>IF('[2]Нормы трудоемкости'!B47=0,"",'[2]Нормы трудоемкости'!B47)</f>
        <v>Сумма (То)</v>
      </c>
      <c r="C47" s="317" t="str">
        <f>IF('[2]Нормы трудоемкости'!C47=0,"",'[2]Нормы трудоемкости'!C47)</f>
        <v/>
      </c>
      <c r="D47" s="317">
        <f>IF('[2]Нормы трудоемкости'!D47=0,"",'[2]Нормы трудоемкости'!D47)</f>
        <v>0.78106666666666669</v>
      </c>
      <c r="E47" s="317">
        <f>IF('[2]Нормы трудоемкости'!E47=0,"",'[2]Нормы трудоемкости'!E47)</f>
        <v>0.90250000000000008</v>
      </c>
      <c r="F47" s="317">
        <f>IF('[2]Нормы трудоемкости'!F47=0,"",'[2]Нормы трудоемкости'!F47)</f>
        <v>1.2143333333333335</v>
      </c>
      <c r="G47" s="317" t="str">
        <f>IF('[2]Нормы трудоемкости'!G47=0,"",'[2]Нормы трудоемкости'!G47)</f>
        <v/>
      </c>
    </row>
    <row r="48" spans="1:7" x14ac:dyDescent="0.2">
      <c r="A48" s="317" t="str">
        <f>IF('[2]Нормы трудоемкости'!A48=0,"",'[2]Нормы трудоемкости'!A48)</f>
        <v/>
      </c>
      <c r="B48" s="317" t="str">
        <f>IF('[2]Нормы трудоемкости'!B48=0,"",'[2]Нормы трудоемкости'!B48)</f>
        <v>Дополнительные операции</v>
      </c>
      <c r="C48" s="317" t="str">
        <f>IF('[2]Нормы трудоемкости'!C48=0,"",'[2]Нормы трудоемкости'!C48)</f>
        <v/>
      </c>
      <c r="D48" s="317" t="str">
        <f>IF('[2]Нормы трудоемкости'!D48=0,"",'[2]Нормы трудоемкости'!D48)</f>
        <v/>
      </c>
      <c r="E48" s="317" t="str">
        <f>IF('[2]Нормы трудоемкости'!E48=0,"",'[2]Нормы трудоемкости'!E48)</f>
        <v/>
      </c>
      <c r="F48" s="317" t="str">
        <f>IF('[2]Нормы трудоемкости'!F48=0,"",'[2]Нормы трудоемкости'!F48)</f>
        <v/>
      </c>
      <c r="G48" s="317" t="str">
        <f>IF('[2]Нормы трудоемкости'!G48=0,"",'[2]Нормы трудоемкости'!G48)</f>
        <v/>
      </c>
    </row>
    <row r="49" spans="1:7" x14ac:dyDescent="0.2">
      <c r="A49" s="317">
        <f>IF('[2]Нормы трудоемкости'!A49=0,"",'[2]Нормы трудоемкости'!A49)</f>
        <v>1</v>
      </c>
      <c r="B49" s="317" t="str">
        <f>IF('[2]Нормы трудоемкости'!B49=0,"",'[2]Нормы трудоемкости'!B49)</f>
        <v>Сверление, на отверстие</v>
      </c>
      <c r="C49" s="317">
        <f>IF('[2]Нормы трудоемкости'!C49=0,"",'[2]Нормы трудоемкости'!C49)</f>
        <v>2.5999999999999998E-4</v>
      </c>
      <c r="D49" s="317">
        <f>IF('[2]Нормы трудоемкости'!D49=0,"",'[2]Нормы трудоемкости'!D49)</f>
        <v>3.3799999999999998E-4</v>
      </c>
      <c r="E49" s="317">
        <f>IF('[2]Нормы трудоемкости'!E49=0,"",'[2]Нормы трудоемкости'!E49)</f>
        <v>3.8999999999999994E-4</v>
      </c>
      <c r="F49" s="317">
        <f>IF('[2]Нормы трудоемкости'!F49=0,"",'[2]Нормы трудоемкости'!F49)</f>
        <v>5.1999999999999995E-4</v>
      </c>
      <c r="G49" s="317" t="str">
        <f>IF('[2]Нормы трудоемкости'!G49=0,"",'[2]Нормы трудоемкости'!G49)</f>
        <v/>
      </c>
    </row>
    <row r="50" spans="1:7" x14ac:dyDescent="0.2">
      <c r="A50" s="317">
        <f>IF('[2]Нормы трудоемкости'!A50=0,"",'[2]Нормы трудоемкости'!A50)</f>
        <v>2</v>
      </c>
      <c r="B50" s="317" t="str">
        <f>IF('[2]Нормы трудоемкости'!B50=0,"",'[2]Нормы трудоемкости'!B50)</f>
        <v>Нанесение сплава ГОР ПОС-61</v>
      </c>
      <c r="C50" s="317">
        <f>IF('[2]Нормы трудоемкости'!C50=0,"",'[2]Нормы трудоемкости'!C50)</f>
        <v>1.4E-2</v>
      </c>
      <c r="D50" s="317">
        <f>IF('[2]Нормы трудоемкости'!D50=0,"",'[2]Нормы трудоемкости'!D50)</f>
        <v>1.8200000000000001E-2</v>
      </c>
      <c r="E50" s="317">
        <f>IF('[2]Нормы трудоемкости'!E50=0,"",'[2]Нормы трудоемкости'!E50)</f>
        <v>2.1000000000000001E-2</v>
      </c>
      <c r="F50" s="317">
        <f>IF('[2]Нормы трудоемкости'!F50=0,"",'[2]Нормы трудоемкости'!F50)</f>
        <v>2.8000000000000001E-2</v>
      </c>
      <c r="G50" s="317" t="str">
        <f>IF('[2]Нормы трудоемкости'!G50=0,"",'[2]Нормы трудоемкости'!G50)</f>
        <v/>
      </c>
    </row>
    <row r="51" spans="1:7" x14ac:dyDescent="0.2">
      <c r="A51" s="317">
        <f>IF('[2]Нормы трудоемкости'!A51=0,"",'[2]Нормы трудоемкости'!A51)</f>
        <v>8</v>
      </c>
      <c r="B51" s="317" t="str">
        <f>IF('[2]Нормы трудоемкости'!B51=0,"",'[2]Нормы трудоемкости'!B51)</f>
        <v xml:space="preserve">Нанесение защитной маски:    </v>
      </c>
      <c r="C51" s="317" t="str">
        <f>IF('[2]Нормы трудоемкости'!C51=0,"",'[2]Нормы трудоемкости'!C51)</f>
        <v/>
      </c>
      <c r="D51" s="317" t="str">
        <f>IF('[2]Нормы трудоемкости'!D51=0,"",'[2]Нормы трудоемкости'!D51)</f>
        <v/>
      </c>
      <c r="E51" s="317" t="str">
        <f>IF('[2]Нормы трудоемкости'!E51=0,"",'[2]Нормы трудоемкости'!E51)</f>
        <v/>
      </c>
      <c r="F51" s="317" t="str">
        <f>IF('[2]Нормы трудоемкости'!F51=0,"",'[2]Нормы трудоемкости'!F51)</f>
        <v/>
      </c>
      <c r="G51" s="317" t="str">
        <f>IF('[2]Нормы трудоемкости'!G51=0,"",'[2]Нормы трудоемкости'!G51)</f>
        <v/>
      </c>
    </row>
    <row r="52" spans="1:7" x14ac:dyDescent="0.2">
      <c r="A52" s="317">
        <f>IF('[2]Нормы трудоемкости'!A52=0,"",'[2]Нормы трудоемкости'!A52)</f>
        <v>9</v>
      </c>
      <c r="B52" s="317" t="str">
        <f>IF('[2]Нормы трудоемкости'!B52=0,"",'[2]Нормы трудоемкости'!B52)</f>
        <v>СЗПМ,  при одностороннем маскировании, час/дм2</v>
      </c>
      <c r="C52" s="317">
        <f>IF('[2]Нормы трудоемкости'!C52=0,"",'[2]Нормы трудоемкости'!C52)</f>
        <v>5.4599999999999996E-2</v>
      </c>
      <c r="D52" s="317">
        <f>IF('[2]Нормы трудоемкости'!D52=0,"",'[2]Нормы трудоемкости'!D52)</f>
        <v>7.0980000000000001E-2</v>
      </c>
      <c r="E52" s="317">
        <f>IF('[2]Нормы трудоемкости'!E52=0,"",'[2]Нормы трудоемкости'!E52)</f>
        <v>8.1900000000000001E-2</v>
      </c>
      <c r="F52" s="317">
        <f>IF('[2]Нормы трудоемкости'!F52=0,"",'[2]Нормы трудоемкости'!F52)</f>
        <v>0.10919999999999999</v>
      </c>
      <c r="G52" s="317" t="str">
        <f>IF('[2]Нормы трудоемкости'!G52=0,"",'[2]Нормы трудоемкости'!G52)</f>
        <v/>
      </c>
    </row>
    <row r="53" spans="1:7" x14ac:dyDescent="0.2">
      <c r="A53" s="317">
        <f>IF('[2]Нормы трудоемкости'!A53=0,"",'[2]Нормы трудоемкости'!A53)</f>
        <v>10</v>
      </c>
      <c r="B53" s="317" t="str">
        <f>IF('[2]Нормы трудоемкости'!B53=0,"",'[2]Нормы трудоемкости'!B53)</f>
        <v>СЗПМ, при двустороннем маскировании, час/дм2</v>
      </c>
      <c r="C53" s="317">
        <f>IF('[2]Нормы трудоемкости'!C53=0,"",'[2]Нормы трудоемкости'!C53)</f>
        <v>8.1900000000000001E-2</v>
      </c>
      <c r="D53" s="317">
        <f>IF('[2]Нормы трудоемкости'!D53=0,"",'[2]Нормы трудоемкости'!D53)</f>
        <v>0.10647000000000001</v>
      </c>
      <c r="E53" s="317">
        <f>IF('[2]Нормы трудоемкости'!E53=0,"",'[2]Нормы трудоемкости'!E53)</f>
        <v>0.12285</v>
      </c>
      <c r="F53" s="317">
        <f>IF('[2]Нормы трудоемкости'!F53=0,"",'[2]Нормы трудоемкости'!F53)</f>
        <v>0.1638</v>
      </c>
      <c r="G53" s="317" t="str">
        <f>IF('[2]Нормы трудоемкости'!G53=0,"",'[2]Нормы трудоемкости'!G53)</f>
        <v/>
      </c>
    </row>
    <row r="54" spans="1:7" x14ac:dyDescent="0.2">
      <c r="A54" s="317">
        <f>IF('[2]Нормы трудоемкости'!A54=0,"",'[2]Нормы трудоемкости'!A54)</f>
        <v>11</v>
      </c>
      <c r="B54" s="317" t="str">
        <f>IF('[2]Нормы трудоемкости'!B54=0,"",'[2]Нормы трудоемкости'!B54)</f>
        <v>ЖЗПМ, при одностороннем маскировании, час/дм2</v>
      </c>
      <c r="C54" s="317">
        <f>IF('[2]Нормы трудоемкости'!C54=0,"",'[2]Нормы трудоемкости'!C54)</f>
        <v>8.3999999999999991E-2</v>
      </c>
      <c r="D54" s="317">
        <f>IF('[2]Нормы трудоемкости'!D54=0,"",'[2]Нормы трудоемкости'!D54)</f>
        <v>0.10919999999999999</v>
      </c>
      <c r="E54" s="317">
        <f>IF('[2]Нормы трудоемкости'!E54=0,"",'[2]Нормы трудоемкости'!E54)</f>
        <v>0.126</v>
      </c>
      <c r="F54" s="317">
        <f>IF('[2]Нормы трудоемкости'!F54=0,"",'[2]Нормы трудоемкости'!F54)</f>
        <v>0.16799999999999998</v>
      </c>
      <c r="G54" s="317" t="str">
        <f>IF('[2]Нормы трудоемкости'!G54=0,"",'[2]Нормы трудоемкости'!G54)</f>
        <v/>
      </c>
    </row>
    <row r="55" spans="1:7" x14ac:dyDescent="0.2">
      <c r="A55" s="317">
        <f>IF('[2]Нормы трудоемкости'!A55=0,"",'[2]Нормы трудоемкости'!A55)</f>
        <v>12</v>
      </c>
      <c r="B55" s="317" t="str">
        <f>IF('[2]Нормы трудоемкости'!B55=0,"",'[2]Нормы трудоемкости'!B55)</f>
        <v>ЖЗПМ, при двустороннем маскировании, час/дм2</v>
      </c>
      <c r="C55" s="317">
        <f>IF('[2]Нормы трудоемкости'!C55=0,"",'[2]Нормы трудоемкости'!C55)</f>
        <v>0.126</v>
      </c>
      <c r="D55" s="317">
        <f>IF('[2]Нормы трудоемкости'!D55=0,"",'[2]Нормы трудоемкости'!D55)</f>
        <v>0.1638</v>
      </c>
      <c r="E55" s="317">
        <f>IF('[2]Нормы трудоемкости'!E55=0,"",'[2]Нормы трудоемкости'!E55)</f>
        <v>0.189</v>
      </c>
      <c r="F55" s="317">
        <f>IF('[2]Нормы трудоемкости'!F55=0,"",'[2]Нормы трудоемкости'!F55)</f>
        <v>0.252</v>
      </c>
      <c r="G55" s="317" t="str">
        <f>IF('[2]Нормы трудоемкости'!G55=0,"",'[2]Нормы трудоемкости'!G55)</f>
        <v/>
      </c>
    </row>
    <row r="56" spans="1:7" x14ac:dyDescent="0.2">
      <c r="A56" s="317">
        <f>IF('[2]Нормы трудоемкости'!A56=0,"",'[2]Нормы трудоемкости'!A56)</f>
        <v>13</v>
      </c>
      <c r="B56" s="317" t="str">
        <f>IF('[2]Нормы трудоемкости'!B56=0,"",'[2]Нормы трудоемкости'!B56)</f>
        <v>Ручная маркировка, час/шт.</v>
      </c>
      <c r="C56" s="317">
        <f>IF('[2]Нормы трудоемкости'!C56=0,"",'[2]Нормы трудоемкости'!C56)</f>
        <v>2.3E-2</v>
      </c>
      <c r="D56" s="317">
        <f>IF('[2]Нормы трудоемкости'!D56=0,"",'[2]Нормы трудоемкости'!D56)</f>
        <v>2.9899999999999999E-2</v>
      </c>
      <c r="E56" s="317">
        <f>IF('[2]Нормы трудоемкости'!E56=0,"",'[2]Нормы трудоемкости'!E56)</f>
        <v>3.4500000000000003E-2</v>
      </c>
      <c r="F56" s="317">
        <f>IF('[2]Нормы трудоемкости'!F56=0,"",'[2]Нормы трудоемкости'!F56)</f>
        <v>4.5999999999999999E-2</v>
      </c>
      <c r="G56" s="317" t="str">
        <f>IF('[2]Нормы трудоемкости'!G56=0,"",'[2]Нормы трудоемкости'!G56)</f>
        <v/>
      </c>
    </row>
    <row r="57" spans="1:7" x14ac:dyDescent="0.2">
      <c r="A57" s="317">
        <f>IF('[2]Нормы трудоемкости'!A57=0,"",'[2]Нормы трудоемкости'!A57)</f>
        <v>14</v>
      </c>
      <c r="B57" s="317" t="str">
        <f>IF('[2]Нормы трудоемкости'!B57=0,"",'[2]Нормы трудоемкости'!B57)</f>
        <v>Маркировка термоотверждающей краской на Legend:</v>
      </c>
      <c r="C57" s="317" t="str">
        <f>IF('[2]Нормы трудоемкости'!C57=0,"",'[2]Нормы трудоемкости'!C57)</f>
        <v/>
      </c>
      <c r="D57" s="317" t="str">
        <f>IF('[2]Нормы трудоемкости'!D57=0,"",'[2]Нормы трудоемкости'!D57)</f>
        <v/>
      </c>
      <c r="E57" s="317" t="str">
        <f>IF('[2]Нормы трудоемкости'!E57=0,"",'[2]Нормы трудоемкости'!E57)</f>
        <v/>
      </c>
      <c r="F57" s="317" t="str">
        <f>IF('[2]Нормы трудоемкости'!F57=0,"",'[2]Нормы трудоемкости'!F57)</f>
        <v/>
      </c>
      <c r="G57" s="317" t="str">
        <f>IF('[2]Нормы трудоемкости'!G57=0,"",'[2]Нормы трудоемкости'!G57)</f>
        <v/>
      </c>
    </row>
    <row r="58" spans="1:7" x14ac:dyDescent="0.2">
      <c r="A58" s="317">
        <f>IF('[2]Нормы трудоемкости'!A58=0,"",'[2]Нормы трудоемкости'!A58)</f>
        <v>14.1</v>
      </c>
      <c r="B58" s="317" t="str">
        <f>IF('[2]Нормы трудоемкости'!B58=0,"",'[2]Нормы трудоемкости'!B58)</f>
        <v xml:space="preserve"> с одной стороны,час/дм2</v>
      </c>
      <c r="C58" s="317" t="str">
        <f>IF('[2]Нормы трудоемкости'!C58=0,"",'[2]Нормы трудоемкости'!C58)</f>
        <v/>
      </c>
      <c r="D58" s="317">
        <f>IF('[2]Нормы трудоемкости'!D58=0,"",'[2]Нормы трудоемкости'!D58)</f>
        <v>1.4999999999999999E-2</v>
      </c>
      <c r="E58" s="317">
        <f>IF('[2]Нормы трудоемкости'!E58=0,"",'[2]Нормы трудоемкости'!E58)</f>
        <v>1.4999999999999999E-2</v>
      </c>
      <c r="F58" s="317">
        <f>IF('[2]Нормы трудоемкости'!F58=0,"",'[2]Нормы трудоемкости'!F58)</f>
        <v>1.4999999999999999E-2</v>
      </c>
      <c r="G58" s="317" t="str">
        <f>IF('[2]Нормы трудоемкости'!G58=0,"",'[2]Нормы трудоемкости'!G58)</f>
        <v/>
      </c>
    </row>
    <row r="59" spans="1:7" x14ac:dyDescent="0.2">
      <c r="A59" s="317">
        <f>IF('[2]Нормы трудоемкости'!A59=0,"",'[2]Нормы трудоемкости'!A59)</f>
        <v>14.2</v>
      </c>
      <c r="B59" s="317" t="str">
        <f>IF('[2]Нормы трудоемкости'!B59=0,"",'[2]Нормы трудоемкости'!B59)</f>
        <v xml:space="preserve"> с двух сторон, час/дм2</v>
      </c>
      <c r="C59" s="317" t="str">
        <f>IF('[2]Нормы трудоемкости'!C59=0,"",'[2]Нормы трудоемкости'!C59)</f>
        <v/>
      </c>
      <c r="D59" s="317">
        <f>IF('[2]Нормы трудоемкости'!D59=0,"",'[2]Нормы трудоемкости'!D59)</f>
        <v>2.5000000000000001E-2</v>
      </c>
      <c r="E59" s="317">
        <f>IF('[2]Нормы трудоемкости'!E59=0,"",'[2]Нормы трудоемкости'!E59)</f>
        <v>2.5000000000000001E-2</v>
      </c>
      <c r="F59" s="317">
        <f>IF('[2]Нормы трудоемкости'!F59=0,"",'[2]Нормы трудоемкости'!F59)</f>
        <v>2.5000000000000001E-2</v>
      </c>
      <c r="G59" s="317" t="str">
        <f>IF('[2]Нормы трудоемкости'!G59=0,"",'[2]Нормы трудоемкости'!G59)</f>
        <v/>
      </c>
    </row>
    <row r="60" spans="1:7" x14ac:dyDescent="0.2">
      <c r="A60" s="317">
        <f>IF('[2]Нормы трудоемкости'!A60=0,"",'[2]Нормы трудоемкости'!A60)</f>
        <v>15</v>
      </c>
      <c r="B60" s="317" t="str">
        <f>IF('[2]Нормы трудоемкости'!B60=0,"",'[2]Нормы трудоемкости'!B60)</f>
        <v>Фотомаркировка:</v>
      </c>
      <c r="C60" s="317" t="str">
        <f>IF('[2]Нормы трудоемкости'!C60=0,"",'[2]Нормы трудоемкости'!C60)</f>
        <v/>
      </c>
      <c r="D60" s="317" t="str">
        <f>IF('[2]Нормы трудоемкости'!D60=0,"",'[2]Нормы трудоемкости'!D60)</f>
        <v/>
      </c>
      <c r="E60" s="317" t="str">
        <f>IF('[2]Нормы трудоемкости'!E60=0,"",'[2]Нормы трудоемкости'!E60)</f>
        <v/>
      </c>
      <c r="F60" s="317" t="str">
        <f>IF('[2]Нормы трудоемкости'!F60=0,"",'[2]Нормы трудоемкости'!F60)</f>
        <v/>
      </c>
      <c r="G60" s="317" t="str">
        <f>IF('[2]Нормы трудоемкости'!G60=0,"",'[2]Нормы трудоемкости'!G60)</f>
        <v/>
      </c>
    </row>
    <row r="61" spans="1:7" x14ac:dyDescent="0.2">
      <c r="A61" s="317">
        <f>IF('[2]Нормы трудоемкости'!A61=0,"",'[2]Нормы трудоемкости'!A61)</f>
        <v>15.1</v>
      </c>
      <c r="B61" s="317" t="str">
        <f>IF('[2]Нормы трудоемкости'!B61=0,"",'[2]Нормы трудоемкости'!B61)</f>
        <v xml:space="preserve"> с одной стороны,час/дм2</v>
      </c>
      <c r="C61" s="317">
        <f>IF('[2]Нормы трудоемкости'!C61=0,"",'[2]Нормы трудоемкости'!C61)</f>
        <v>0.10099999999999999</v>
      </c>
      <c r="D61" s="317">
        <f>IF('[2]Нормы трудоемкости'!D61=0,"",'[2]Нормы трудоемкости'!D61)</f>
        <v>0.1313</v>
      </c>
      <c r="E61" s="317">
        <f>IF('[2]Нормы трудоемкости'!E61=0,"",'[2]Нормы трудоемкости'!E61)</f>
        <v>0.1515</v>
      </c>
      <c r="F61" s="317">
        <f>IF('[2]Нормы трудоемкости'!F61=0,"",'[2]Нормы трудоемкости'!F61)</f>
        <v>0.20199999999999999</v>
      </c>
      <c r="G61" s="317" t="str">
        <f>IF('[2]Нормы трудоемкости'!G61=0,"",'[2]Нормы трудоемкости'!G61)</f>
        <v/>
      </c>
    </row>
    <row r="62" spans="1:7" x14ac:dyDescent="0.2">
      <c r="A62" s="317">
        <f>IF('[2]Нормы трудоемкости'!A62=0,"",'[2]Нормы трудоемкости'!A62)</f>
        <v>15.2</v>
      </c>
      <c r="B62" s="317" t="str">
        <f>IF('[2]Нормы трудоемкости'!B62=0,"",'[2]Нормы трудоемкости'!B62)</f>
        <v xml:space="preserve"> с двух сторон, час/дм2</v>
      </c>
      <c r="C62" s="317">
        <f>IF('[2]Нормы трудоемкости'!C62=0,"",'[2]Нормы трудоемкости'!C62)</f>
        <v>0.1515</v>
      </c>
      <c r="D62" s="317">
        <f>IF('[2]Нормы трудоемкости'!D62=0,"",'[2]Нормы трудоемкости'!D62)</f>
        <v>0.19695000000000001</v>
      </c>
      <c r="E62" s="317">
        <f>IF('[2]Нормы трудоемкости'!E62=0,"",'[2]Нормы трудоемкости'!E62)</f>
        <v>0.22725000000000001</v>
      </c>
      <c r="F62" s="317">
        <f>IF('[2]Нормы трудоемкости'!F62=0,"",'[2]Нормы трудоемкости'!F62)</f>
        <v>0.30299999999999999</v>
      </c>
      <c r="G62" s="317" t="str">
        <f>IF('[2]Нормы трудоемкости'!G62=0,"",'[2]Нормы трудоемкости'!G62)</f>
        <v/>
      </c>
    </row>
    <row r="63" spans="1:7" x14ac:dyDescent="0.2">
      <c r="A63" s="317">
        <f>IF('[2]Нормы трудоемкости'!A63=0,"",'[2]Нормы трудоемкости'!A63)</f>
        <v>16</v>
      </c>
      <c r="B63" s="317" t="str">
        <f>IF('[2]Нормы трудоемкости'!B63=0,"",'[2]Нормы трудоемкости'!B63)</f>
        <v>Иммерсионное золочение, час/загот.</v>
      </c>
      <c r="C63" s="317">
        <f>IF('[2]Нормы трудоемкости'!C63=0,"",'[2]Нормы трудоемкости'!C63)</f>
        <v>1.4999999999999999E-2</v>
      </c>
      <c r="D63" s="317">
        <f>IF('[2]Нормы трудоемкости'!D63=0,"",'[2]Нормы трудоемкости'!D63)</f>
        <v>1.95E-2</v>
      </c>
      <c r="E63" s="317">
        <f>IF('[2]Нормы трудоемкости'!E63=0,"",'[2]Нормы трудоемкости'!E63)</f>
        <v>2.2499999999999999E-2</v>
      </c>
      <c r="F63" s="317">
        <f>IF('[2]Нормы трудоемкости'!F63=0,"",'[2]Нормы трудоемкости'!F63)</f>
        <v>0.03</v>
      </c>
      <c r="G63" s="317" t="str">
        <f>IF('[2]Нормы трудоемкости'!G63=0,"",'[2]Нормы трудоемкости'!G63)</f>
        <v/>
      </c>
    </row>
    <row r="64" spans="1:7" x14ac:dyDescent="0.2">
      <c r="A64" s="317">
        <f>IF('[2]Нормы трудоемкости'!A64=0,"",'[2]Нормы трудоемкости'!A64)</f>
        <v>17</v>
      </c>
      <c r="B64" s="317" t="str">
        <f>IF('[2]Нормы трудоемкости'!B64=0,"",'[2]Нормы трудоемкости'!B64)</f>
        <v>Изготовление мастер-платы для пробивки шаблона</v>
      </c>
      <c r="C64" s="317" t="str">
        <f>IF('[2]Нормы трудоемкости'!C64=0,"",'[2]Нормы трудоемкости'!C64)</f>
        <v/>
      </c>
      <c r="D64" s="317" t="str">
        <f>IF('[2]Нормы трудоемкости'!D64=0,"",'[2]Нормы трудоемкости'!D64)</f>
        <v/>
      </c>
      <c r="E64" s="317" t="str">
        <f>IF('[2]Нормы трудоемкости'!E64=0,"",'[2]Нормы трудоемкости'!E64)</f>
        <v/>
      </c>
      <c r="F64" s="317" t="str">
        <f>IF('[2]Нормы трудоемкости'!F64=0,"",'[2]Нормы трудоемкости'!F64)</f>
        <v/>
      </c>
      <c r="G64" s="317" t="str">
        <f>IF('[2]Нормы трудоемкости'!G64=0,"",'[2]Нормы трудоемкости'!G64)</f>
        <v/>
      </c>
    </row>
    <row r="65" spans="1:7" x14ac:dyDescent="0.2">
      <c r="A65" s="317">
        <f>IF('[2]Нормы трудоемкости'!A65=0,"",'[2]Нормы трудоемкости'!A65)</f>
        <v>17.100000000000001</v>
      </c>
      <c r="B65" s="317" t="str">
        <f>IF('[2]Нормы трудоемкости'!B65=0,"",'[2]Нормы трудоемкости'!B65)</f>
        <v xml:space="preserve"> Заготовительная 230х395</v>
      </c>
      <c r="C65" s="317" t="str">
        <f>IF('[2]Нормы трудоемкости'!C65=0,"",'[2]Нормы трудоемкости'!C65)</f>
        <v/>
      </c>
      <c r="D65" s="317">
        <f>IF('[2]Нормы трудоемкости'!D65=0,"",'[2]Нормы трудоемкости'!D65)</f>
        <v>0.5</v>
      </c>
      <c r="E65" s="317">
        <f>IF('[2]Нормы трудоемкости'!E65=0,"",'[2]Нормы трудоемкости'!E65)</f>
        <v>0.5</v>
      </c>
      <c r="F65" s="317">
        <f>IF('[2]Нормы трудоемкости'!F65=0,"",'[2]Нормы трудоемкости'!F65)</f>
        <v>0.7</v>
      </c>
      <c r="G65" s="317" t="str">
        <f>IF('[2]Нормы трудоемкости'!G65=0,"",'[2]Нормы трудоемкости'!G65)</f>
        <v/>
      </c>
    </row>
    <row r="66" spans="1:7" x14ac:dyDescent="0.2">
      <c r="A66" s="317" t="str">
        <f>IF('[2]Нормы трудоемкости'!A66=0,"",'[2]Нормы трудоемкости'!A66)</f>
        <v/>
      </c>
      <c r="B66" s="317" t="str">
        <f>IF('[2]Нормы трудоемкости'!B66=0,"",'[2]Нормы трудоемкости'!B66)</f>
        <v>280х395</v>
      </c>
      <c r="C66" s="317" t="str">
        <f>IF('[2]Нормы трудоемкости'!C66=0,"",'[2]Нормы трудоемкости'!C66)</f>
        <v/>
      </c>
      <c r="D66" s="317">
        <f>IF('[2]Нормы трудоемкости'!D66=0,"",'[2]Нормы трудоемкости'!D66)</f>
        <v>0.6</v>
      </c>
      <c r="E66" s="317">
        <f>IF('[2]Нормы трудоемкости'!E66=0,"",'[2]Нормы трудоемкости'!E66)</f>
        <v>0.6</v>
      </c>
      <c r="F66" s="317">
        <f>IF('[2]Нормы трудоемкости'!F66=0,"",'[2]Нормы трудоемкости'!F66)</f>
        <v>0.8</v>
      </c>
      <c r="G66" s="317" t="str">
        <f>IF('[2]Нормы трудоемкости'!G66=0,"",'[2]Нормы трудоемкости'!G66)</f>
        <v/>
      </c>
    </row>
    <row r="67" spans="1:7" x14ac:dyDescent="0.2">
      <c r="A67" s="317" t="str">
        <f>IF('[2]Нормы трудоемкости'!A67=0,"",'[2]Нормы трудоемкости'!A67)</f>
        <v/>
      </c>
      <c r="B67" s="317" t="str">
        <f>IF('[2]Нормы трудоемкости'!B67=0,"",'[2]Нормы трудоемкости'!B67)</f>
        <v>485х585</v>
      </c>
      <c r="C67" s="317" t="str">
        <f>IF('[2]Нормы трудоемкости'!C67=0,"",'[2]Нормы трудоемкости'!C67)</f>
        <v/>
      </c>
      <c r="D67" s="317">
        <f>IF('[2]Нормы трудоемкости'!D67=0,"",'[2]Нормы трудоемкости'!D67)</f>
        <v>0.7</v>
      </c>
      <c r="E67" s="317">
        <f>IF('[2]Нормы трудоемкости'!E67=0,"",'[2]Нормы трудоемкости'!E67)</f>
        <v>0.7</v>
      </c>
      <c r="F67" s="317">
        <f>IF('[2]Нормы трудоемкости'!F67=0,"",'[2]Нормы трудоемкости'!F67)</f>
        <v>0.9</v>
      </c>
      <c r="G67" s="317" t="str">
        <f>IF('[2]Нормы трудоемкости'!G67=0,"",'[2]Нормы трудоемкости'!G67)</f>
        <v/>
      </c>
    </row>
    <row r="68" spans="1:7" x14ac:dyDescent="0.2">
      <c r="A68" s="317">
        <f>IF('[2]Нормы трудоемкости'!A68=0,"",'[2]Нормы трудоемкости'!A68)</f>
        <v>17.2</v>
      </c>
      <c r="B68" s="317" t="str">
        <f>IF('[2]Нормы трудоемкости'!B68=0,"",'[2]Нормы трудоемкости'!B68)</f>
        <v>Сверление, на отверстие</v>
      </c>
      <c r="C68" s="317" t="str">
        <f>IF('[2]Нормы трудоемкости'!C68=0,"",'[2]Нормы трудоемкости'!C68)</f>
        <v/>
      </c>
      <c r="D68" s="317">
        <f>IF('[2]Нормы трудоемкости'!D68=0,"",'[2]Нормы трудоемкости'!D68)</f>
        <v>3.3799999999999998E-4</v>
      </c>
      <c r="E68" s="317">
        <f>IF('[2]Нормы трудоемкости'!E68=0,"",'[2]Нормы трудоемкости'!E68)</f>
        <v>3.8999999999999994E-4</v>
      </c>
      <c r="F68" s="317">
        <f>IF('[2]Нормы трудоемкости'!F68=0,"",'[2]Нормы трудоемкости'!F68)</f>
        <v>5.1999999999999995E-4</v>
      </c>
      <c r="G68" s="317" t="str">
        <f>IF('[2]Нормы трудоемкости'!G68=0,"",'[2]Нормы трудоемкости'!G68)</f>
        <v/>
      </c>
    </row>
    <row r="69" spans="1:7" x14ac:dyDescent="0.2">
      <c r="A69" s="317">
        <f>IF('[2]Нормы трудоемкости'!A69=0,"",'[2]Нормы трудоемкости'!A69)</f>
        <v>17.3</v>
      </c>
      <c r="B69" s="317" t="str">
        <f>IF('[2]Нормы трудоемкости'!B69=0,"",'[2]Нормы трудоемкости'!B69)</f>
        <v>Пробивка ФШ 230х395</v>
      </c>
      <c r="C69" s="317" t="str">
        <f>IF('[2]Нормы трудоемкости'!C69=0,"",'[2]Нормы трудоемкости'!C69)</f>
        <v/>
      </c>
      <c r="D69" s="317">
        <f>IF('[2]Нормы трудоемкости'!D69=0,"",'[2]Нормы трудоемкости'!D69)</f>
        <v>0.5</v>
      </c>
      <c r="E69" s="317">
        <f>IF('[2]Нормы трудоемкости'!E69=0,"",'[2]Нормы трудоемкости'!E69)</f>
        <v>0.5</v>
      </c>
      <c r="F69" s="317">
        <f>IF('[2]Нормы трудоемкости'!F69=0,"",'[2]Нормы трудоемкости'!F69)</f>
        <v>0.5</v>
      </c>
      <c r="G69" s="317" t="str">
        <f>IF('[2]Нормы трудоемкости'!G69=0,"",'[2]Нормы трудоемкости'!G69)</f>
        <v/>
      </c>
    </row>
    <row r="70" spans="1:7" x14ac:dyDescent="0.2">
      <c r="A70" s="317" t="str">
        <f>IF('[2]Нормы трудоемкости'!A70=0,"",'[2]Нормы трудоемкости'!A70)</f>
        <v/>
      </c>
      <c r="B70" s="317" t="str">
        <f>IF('[2]Нормы трудоемкости'!B70=0,"",'[2]Нормы трудоемкости'!B70)</f>
        <v>280х395</v>
      </c>
      <c r="C70" s="317" t="str">
        <f>IF('[2]Нормы трудоемкости'!C70=0,"",'[2]Нормы трудоемкости'!C70)</f>
        <v/>
      </c>
      <c r="D70" s="317">
        <f>IF('[2]Нормы трудоемкости'!D70=0,"",'[2]Нормы трудоемкости'!D70)</f>
        <v>0.6</v>
      </c>
      <c r="E70" s="317">
        <f>IF('[2]Нормы трудоемкости'!E70=0,"",'[2]Нормы трудоемкости'!E70)</f>
        <v>0.6</v>
      </c>
      <c r="F70" s="317">
        <f>IF('[2]Нормы трудоемкости'!F70=0,"",'[2]Нормы трудоемкости'!F70)</f>
        <v>0.6</v>
      </c>
      <c r="G70" s="317" t="str">
        <f>IF('[2]Нормы трудоемкости'!G70=0,"",'[2]Нормы трудоемкости'!G70)</f>
        <v/>
      </c>
    </row>
    <row r="71" spans="1:7" x14ac:dyDescent="0.2">
      <c r="A71" s="317" t="str">
        <f>IF('[2]Нормы трудоемкости'!A71=0,"",'[2]Нормы трудоемкости'!A71)</f>
        <v/>
      </c>
      <c r="B71" s="317" t="str">
        <f>IF('[2]Нормы трудоемкости'!B71=0,"",'[2]Нормы трудоемкости'!B71)</f>
        <v>485х585</v>
      </c>
      <c r="C71" s="317" t="str">
        <f>IF('[2]Нормы трудоемкости'!C71=0,"",'[2]Нормы трудоемкости'!C71)</f>
        <v/>
      </c>
      <c r="D71" s="317">
        <f>IF('[2]Нормы трудоемкости'!D71=0,"",'[2]Нормы трудоемкости'!D71)</f>
        <v>0.7</v>
      </c>
      <c r="E71" s="317">
        <f>IF('[2]Нормы трудоемкости'!E71=0,"",'[2]Нормы трудоемкости'!E71)</f>
        <v>0.7</v>
      </c>
      <c r="F71" s="317">
        <f>IF('[2]Нормы трудоемкости'!F71=0,"",'[2]Нормы трудоемкости'!F71)</f>
        <v>0.7</v>
      </c>
      <c r="G71" s="317" t="str">
        <f>IF('[2]Нормы трудоемкости'!G71=0,"",'[2]Нормы трудоемкости'!G71)</f>
        <v/>
      </c>
    </row>
    <row r="72" spans="1:7" x14ac:dyDescent="0.2">
      <c r="A72" s="317">
        <f>IF('[2]Нормы трудоемкости'!A72=0,"",'[2]Нормы трудоемкости'!A72)</f>
        <v>17.399999999999999</v>
      </c>
      <c r="B72" s="317" t="str">
        <f>IF('[2]Нормы трудоемкости'!B72=0,"",'[2]Нормы трудоемкости'!B72)</f>
        <v>Приг., нанесение эмульсии и экспонирование МП 230х395</v>
      </c>
      <c r="C72" s="317" t="str">
        <f>IF('[2]Нормы трудоемкости'!C72=0,"",'[2]Нормы трудоемкости'!C72)</f>
        <v/>
      </c>
      <c r="D72" s="317">
        <f>IF('[2]Нормы трудоемкости'!D72=0,"",'[2]Нормы трудоемкости'!D72)</f>
        <v>0.54</v>
      </c>
      <c r="E72" s="317">
        <f>IF('[2]Нормы трудоемкости'!E72=0,"",'[2]Нормы трудоемкости'!E72)</f>
        <v>0.66</v>
      </c>
      <c r="F72" s="317">
        <f>IF('[2]Нормы трудоемкости'!F72=0,"",'[2]Нормы трудоемкости'!F72)</f>
        <v>0.78</v>
      </c>
      <c r="G72" s="317" t="str">
        <f>IF('[2]Нормы трудоемкости'!G72=0,"",'[2]Нормы трудоемкости'!G72)</f>
        <v/>
      </c>
    </row>
    <row r="73" spans="1:7" x14ac:dyDescent="0.2">
      <c r="A73" s="317" t="str">
        <f>IF('[2]Нормы трудоемкости'!A73=0,"",'[2]Нормы трудоемкости'!A73)</f>
        <v/>
      </c>
      <c r="B73" s="317" t="str">
        <f>IF('[2]Нормы трудоемкости'!B73=0,"",'[2]Нормы трудоемкости'!B73)</f>
        <v>280х395</v>
      </c>
      <c r="C73" s="317" t="str">
        <f>IF('[2]Нормы трудоемкости'!C73=0,"",'[2]Нормы трудоемкости'!C73)</f>
        <v/>
      </c>
      <c r="D73" s="317">
        <f>IF('[2]Нормы трудоемкости'!D73=0,"",'[2]Нормы трудоемкости'!D73)</f>
        <v>0.54</v>
      </c>
      <c r="E73" s="317">
        <f>IF('[2]Нормы трудоемкости'!E73=0,"",'[2]Нормы трудоемкости'!E73)</f>
        <v>0.54</v>
      </c>
      <c r="F73" s="317">
        <f>IF('[2]Нормы трудоемкости'!F73=0,"",'[2]Нормы трудоемкости'!F73)</f>
        <v>0.78</v>
      </c>
      <c r="G73" s="317" t="str">
        <f>IF('[2]Нормы трудоемкости'!G73=0,"",'[2]Нормы трудоемкости'!G73)</f>
        <v/>
      </c>
    </row>
    <row r="74" spans="1:7" x14ac:dyDescent="0.2">
      <c r="A74" s="317" t="str">
        <f>IF('[2]Нормы трудоемкости'!A74=0,"",'[2]Нормы трудоемкости'!A74)</f>
        <v/>
      </c>
      <c r="B74" s="317" t="str">
        <f>IF('[2]Нормы трудоемкости'!B74=0,"",'[2]Нормы трудоемкости'!B74)</f>
        <v>485х585</v>
      </c>
      <c r="C74" s="317" t="str">
        <f>IF('[2]Нормы трудоемкости'!C74=0,"",'[2]Нормы трудоемкости'!C74)</f>
        <v/>
      </c>
      <c r="D74" s="317">
        <f>IF('[2]Нормы трудоемкости'!D74=0,"",'[2]Нормы трудоемкости'!D74)</f>
        <v>0.84</v>
      </c>
      <c r="E74" s="317">
        <f>IF('[2]Нормы трудоемкости'!E74=0,"",'[2]Нормы трудоемкости'!E74)</f>
        <v>0.96</v>
      </c>
      <c r="F74" s="317">
        <f>IF('[2]Нормы трудоемкости'!F74=0,"",'[2]Нормы трудоемкости'!F74)</f>
        <v>1.08</v>
      </c>
      <c r="G74" s="317" t="str">
        <f>IF('[2]Нормы трудоемкости'!G74=0,"",'[2]Нормы трудоемкости'!G74)</f>
        <v/>
      </c>
    </row>
    <row r="75" spans="1:7" x14ac:dyDescent="0.2">
      <c r="A75" s="317">
        <f>IF('[2]Нормы трудоемкости'!A75=0,"",'[2]Нормы трудоемкости'!A75)</f>
        <v>17.5</v>
      </c>
      <c r="B75" s="317" t="str">
        <f>IF('[2]Нормы трудоемкости'!B75=0,"",'[2]Нормы трудоемкости'!B75)</f>
        <v>Технологический контроль 230х395</v>
      </c>
      <c r="C75" s="317" t="str">
        <f>IF('[2]Нормы трудоемкости'!C75=0,"",'[2]Нормы трудоемкости'!C75)</f>
        <v/>
      </c>
      <c r="D75" s="317">
        <f>IF('[2]Нормы трудоемкости'!D75=0,"",'[2]Нормы трудоемкости'!D75)</f>
        <v>0.12</v>
      </c>
      <c r="E75" s="317">
        <f>IF('[2]Нормы трудоемкости'!E75=0,"",'[2]Нормы трудоемкости'!E75)</f>
        <v>0.18</v>
      </c>
      <c r="F75" s="317">
        <f>IF('[2]Нормы трудоемкости'!F75=0,"",'[2]Нормы трудоемкости'!F75)</f>
        <v>0.3</v>
      </c>
      <c r="G75" s="317" t="str">
        <f>IF('[2]Нормы трудоемкости'!G75=0,"",'[2]Нормы трудоемкости'!G75)</f>
        <v/>
      </c>
    </row>
    <row r="76" spans="1:7" x14ac:dyDescent="0.2">
      <c r="A76" s="317" t="str">
        <f>IF('[2]Нормы трудоемкости'!A76=0,"",'[2]Нормы трудоемкости'!A76)</f>
        <v/>
      </c>
      <c r="B76" s="317" t="str">
        <f>IF('[2]Нормы трудоемкости'!B76=0,"",'[2]Нормы трудоемкости'!B76)</f>
        <v>280х395</v>
      </c>
      <c r="C76" s="317" t="str">
        <f>IF('[2]Нормы трудоемкости'!C76=0,"",'[2]Нормы трудоемкости'!C76)</f>
        <v/>
      </c>
      <c r="D76" s="317">
        <f>IF('[2]Нормы трудоемкости'!D76=0,"",'[2]Нормы трудоемкости'!D76)</f>
        <v>0.18</v>
      </c>
      <c r="E76" s="317">
        <f>IF('[2]Нормы трудоемкости'!E76=0,"",'[2]Нормы трудоемкости'!E76)</f>
        <v>0.24</v>
      </c>
      <c r="F76" s="317">
        <f>IF('[2]Нормы трудоемкости'!F76=0,"",'[2]Нормы трудоемкости'!F76)</f>
        <v>0.36</v>
      </c>
      <c r="G76" s="317" t="str">
        <f>IF('[2]Нормы трудоемкости'!G76=0,"",'[2]Нормы трудоемкости'!G76)</f>
        <v/>
      </c>
    </row>
    <row r="77" spans="1:7" x14ac:dyDescent="0.2">
      <c r="A77" s="317" t="str">
        <f>IF('[2]Нормы трудоемкости'!A77=0,"",'[2]Нормы трудоемкости'!A77)</f>
        <v/>
      </c>
      <c r="B77" s="317" t="str">
        <f>IF('[2]Нормы трудоемкости'!B77=0,"",'[2]Нормы трудоемкости'!B77)</f>
        <v>485х585</v>
      </c>
      <c r="C77" s="317" t="str">
        <f>IF('[2]Нормы трудоемкости'!C77=0,"",'[2]Нормы трудоемкости'!C77)</f>
        <v/>
      </c>
      <c r="D77" s="317">
        <f>IF('[2]Нормы трудоемкости'!D77=0,"",'[2]Нормы трудоемкости'!D77)</f>
        <v>0.3</v>
      </c>
      <c r="E77" s="317">
        <f>IF('[2]Нормы трудоемкости'!E77=0,"",'[2]Нормы трудоемкости'!E77)</f>
        <v>0.48</v>
      </c>
      <c r="F77" s="317">
        <f>IF('[2]Нормы трудоемкости'!F77=0,"",'[2]Нормы трудоемкости'!F77)</f>
        <v>0.72</v>
      </c>
      <c r="G77" s="317" t="str">
        <f>IF('[2]Нормы трудоемкости'!G77=0,"",'[2]Нормы трудоемкости'!G77)</f>
        <v/>
      </c>
    </row>
    <row r="78" spans="1:7" x14ac:dyDescent="0.2">
      <c r="A78" s="317">
        <f>IF('[2]Нормы трудоемкости'!A78=0,"",'[2]Нормы трудоемкости'!A78)</f>
        <v>18</v>
      </c>
      <c r="B78" s="317" t="str">
        <f>IF('[2]Нормы трудоемкости'!B78=0,"",'[2]Нормы трудоемкости'!B78)</f>
        <v xml:space="preserve">Изготовление мастер-платы для проверки программы сверления </v>
      </c>
      <c r="C78" s="317" t="str">
        <f>IF('[2]Нормы трудоемкости'!C78=0,"",'[2]Нормы трудоемкости'!C78)</f>
        <v/>
      </c>
      <c r="D78" s="317" t="str">
        <f>IF('[2]Нормы трудоемкости'!D78=0,"",'[2]Нормы трудоемкости'!D78)</f>
        <v/>
      </c>
      <c r="E78" s="317" t="str">
        <f>IF('[2]Нормы трудоемкости'!E78=0,"",'[2]Нормы трудоемкости'!E78)</f>
        <v/>
      </c>
      <c r="F78" s="317" t="str">
        <f>IF('[2]Нормы трудоемкости'!F78=0,"",'[2]Нормы трудоемкости'!F78)</f>
        <v/>
      </c>
      <c r="G78" s="317" t="str">
        <f>IF('[2]Нормы трудоемкости'!G78=0,"",'[2]Нормы трудоемкости'!G78)</f>
        <v/>
      </c>
    </row>
    <row r="79" spans="1:7" x14ac:dyDescent="0.2">
      <c r="A79" s="317">
        <f>IF('[2]Нормы трудоемкости'!A79=0,"",'[2]Нормы трудоемкости'!A79)</f>
        <v>18.100000000000001</v>
      </c>
      <c r="B79" s="317" t="str">
        <f>IF('[2]Нормы трудоемкости'!B79=0,"",'[2]Нормы трудоемкости'!B79)</f>
        <v xml:space="preserve"> Заготовительная 230х395</v>
      </c>
      <c r="C79" s="317" t="str">
        <f>IF('[2]Нормы трудоемкости'!C79=0,"",'[2]Нормы трудоемкости'!C79)</f>
        <v/>
      </c>
      <c r="D79" s="317">
        <f>IF('[2]Нормы трудоемкости'!D79=0,"",'[2]Нормы трудоемкости'!D79)</f>
        <v>0.5</v>
      </c>
      <c r="E79" s="317">
        <f>IF('[2]Нормы трудоемкости'!E79=0,"",'[2]Нормы трудоемкости'!E79)</f>
        <v>0.5</v>
      </c>
      <c r="F79" s="317">
        <f>IF('[2]Нормы трудоемкости'!F79=0,"",'[2]Нормы трудоемкости'!F79)</f>
        <v>0.7</v>
      </c>
      <c r="G79" s="317" t="str">
        <f>IF('[2]Нормы трудоемкости'!G79=0,"",'[2]Нормы трудоемкости'!G79)</f>
        <v/>
      </c>
    </row>
    <row r="80" spans="1:7" x14ac:dyDescent="0.2">
      <c r="A80" s="317" t="str">
        <f>IF('[2]Нормы трудоемкости'!A80=0,"",'[2]Нормы трудоемкости'!A80)</f>
        <v/>
      </c>
      <c r="B80" s="317" t="str">
        <f>IF('[2]Нормы трудоемкости'!B80=0,"",'[2]Нормы трудоемкости'!B80)</f>
        <v>280х395</v>
      </c>
      <c r="C80" s="317" t="str">
        <f>IF('[2]Нормы трудоемкости'!C80=0,"",'[2]Нормы трудоемкости'!C80)</f>
        <v/>
      </c>
      <c r="D80" s="317">
        <f>IF('[2]Нормы трудоемкости'!D80=0,"",'[2]Нормы трудоемкости'!D80)</f>
        <v>0.6</v>
      </c>
      <c r="E80" s="317">
        <f>IF('[2]Нормы трудоемкости'!E80=0,"",'[2]Нормы трудоемкости'!E80)</f>
        <v>0.6</v>
      </c>
      <c r="F80" s="317">
        <f>IF('[2]Нормы трудоемкости'!F80=0,"",'[2]Нормы трудоемкости'!F80)</f>
        <v>0.8</v>
      </c>
      <c r="G80" s="317" t="str">
        <f>IF('[2]Нормы трудоемкости'!G80=0,"",'[2]Нормы трудоемкости'!G80)</f>
        <v/>
      </c>
    </row>
    <row r="81" spans="1:7" x14ac:dyDescent="0.2">
      <c r="A81" s="317" t="str">
        <f>IF('[2]Нормы трудоемкости'!A81=0,"",'[2]Нормы трудоемкости'!A81)</f>
        <v/>
      </c>
      <c r="B81" s="317" t="str">
        <f>IF('[2]Нормы трудоемкости'!B81=0,"",'[2]Нормы трудоемкости'!B81)</f>
        <v>485х585</v>
      </c>
      <c r="C81" s="317" t="str">
        <f>IF('[2]Нормы трудоемкости'!C81=0,"",'[2]Нормы трудоемкости'!C81)</f>
        <v/>
      </c>
      <c r="D81" s="317">
        <f>IF('[2]Нормы трудоемкости'!D81=0,"",'[2]Нормы трудоемкости'!D81)</f>
        <v>0.7</v>
      </c>
      <c r="E81" s="317">
        <f>IF('[2]Нормы трудоемкости'!E81=0,"",'[2]Нормы трудоемкости'!E81)</f>
        <v>0.7</v>
      </c>
      <c r="F81" s="317">
        <f>IF('[2]Нормы трудоемкости'!F81=0,"",'[2]Нормы трудоемкости'!F81)</f>
        <v>0.9</v>
      </c>
      <c r="G81" s="317" t="str">
        <f>IF('[2]Нормы трудоемкости'!G81=0,"",'[2]Нормы трудоемкости'!G81)</f>
        <v/>
      </c>
    </row>
    <row r="82" spans="1:7" x14ac:dyDescent="0.2">
      <c r="A82" s="317">
        <f>IF('[2]Нормы трудоемкости'!A82=0,"",'[2]Нормы трудоемкости'!A82)</f>
        <v>18.2</v>
      </c>
      <c r="B82" s="317" t="str">
        <f>IF('[2]Нормы трудоемкости'!B82=0,"",'[2]Нормы трудоемкости'!B82)</f>
        <v>Сверление, на отверстие</v>
      </c>
      <c r="C82" s="317" t="str">
        <f>IF('[2]Нормы трудоемкости'!C82=0,"",'[2]Нормы трудоемкости'!C82)</f>
        <v/>
      </c>
      <c r="D82" s="317">
        <f>IF('[2]Нормы трудоемкости'!D82=0,"",'[2]Нормы трудоемкости'!D82)</f>
        <v>3.3799999999999998E-4</v>
      </c>
      <c r="E82" s="317">
        <f>IF('[2]Нормы трудоемкости'!E82=0,"",'[2]Нормы трудоемкости'!E82)</f>
        <v>3.8999999999999994E-4</v>
      </c>
      <c r="F82" s="317">
        <f>IF('[2]Нормы трудоемкости'!F82=0,"",'[2]Нормы трудоемкости'!F82)</f>
        <v>5.1999999999999995E-4</v>
      </c>
      <c r="G82" s="317" t="str">
        <f>IF('[2]Нормы трудоемкости'!G82=0,"",'[2]Нормы трудоемкости'!G82)</f>
        <v/>
      </c>
    </row>
    <row r="83" spans="1:7" x14ac:dyDescent="0.2">
      <c r="A83" s="317">
        <f>IF('[2]Нормы трудоемкости'!A83=0,"",'[2]Нормы трудоемкости'!A83)</f>
        <v>18.3</v>
      </c>
      <c r="B83" s="317" t="str">
        <f>IF('[2]Нормы трудоемкости'!B83=0,"",'[2]Нормы трудоемкости'!B83)</f>
        <v>Технологический контроль 230х395</v>
      </c>
      <c r="C83" s="317" t="str">
        <f>IF('[2]Нормы трудоемкости'!C83=0,"",'[2]Нормы трудоемкости'!C83)</f>
        <v/>
      </c>
      <c r="D83" s="317">
        <f>IF('[2]Нормы трудоемкости'!D83=0,"",'[2]Нормы трудоемкости'!D83)</f>
        <v>0.6</v>
      </c>
      <c r="E83" s="317">
        <f>IF('[2]Нормы трудоемкости'!E83=0,"",'[2]Нормы трудоемкости'!E83)</f>
        <v>0.10559999999999999</v>
      </c>
      <c r="F83" s="317">
        <f>IF('[2]Нормы трудоемкости'!F83=0,"",'[2]Нормы трудоемкости'!F83)</f>
        <v>0.84</v>
      </c>
      <c r="G83" s="317" t="str">
        <f>IF('[2]Нормы трудоемкости'!G83=0,"",'[2]Нормы трудоемкости'!G83)</f>
        <v/>
      </c>
    </row>
    <row r="84" spans="1:7" x14ac:dyDescent="0.2">
      <c r="A84" s="317" t="str">
        <f>IF('[2]Нормы трудоемкости'!A84=0,"",'[2]Нормы трудоемкости'!A84)</f>
        <v/>
      </c>
      <c r="B84" s="317" t="str">
        <f>IF('[2]Нормы трудоемкости'!B84=0,"",'[2]Нормы трудоемкости'!B84)</f>
        <v>280х395</v>
      </c>
      <c r="C84" s="317" t="str">
        <f>IF('[2]Нормы трудоемкости'!C84=0,"",'[2]Нормы трудоемкости'!C84)</f>
        <v/>
      </c>
      <c r="D84" s="317">
        <f>IF('[2]Нормы трудоемкости'!D84=0,"",'[2]Нормы трудоемкости'!D84)</f>
        <v>0.6</v>
      </c>
      <c r="E84" s="317">
        <f>IF('[2]Нормы трудоемкости'!E84=0,"",'[2]Нормы трудоемкости'!E84)</f>
        <v>0.72</v>
      </c>
      <c r="F84" s="317">
        <f>IF('[2]Нормы трудоемкости'!F84=0,"",'[2]Нормы трудоемкости'!F84)</f>
        <v>0.84</v>
      </c>
      <c r="G84" s="317" t="str">
        <f>IF('[2]Нормы трудоемкости'!G84=0,"",'[2]Нормы трудоемкости'!G84)</f>
        <v/>
      </c>
    </row>
    <row r="85" spans="1:7" x14ac:dyDescent="0.2">
      <c r="A85" s="317" t="str">
        <f>IF('[2]Нормы трудоемкости'!A85=0,"",'[2]Нормы трудоемкости'!A85)</f>
        <v/>
      </c>
      <c r="B85" s="317" t="str">
        <f>IF('[2]Нормы трудоемкости'!B85=0,"",'[2]Нормы трудоемкости'!B85)</f>
        <v>485х585</v>
      </c>
      <c r="C85" s="317" t="str">
        <f>IF('[2]Нормы трудоемкости'!C85=0,"",'[2]Нормы трудоемкости'!C85)</f>
        <v/>
      </c>
      <c r="D85" s="317">
        <f>IF('[2]Нормы трудоемкости'!D85=0,"",'[2]Нормы трудоемкости'!D85)</f>
        <v>0.84</v>
      </c>
      <c r="E85" s="317">
        <f>IF('[2]Нормы трудоемкости'!E85=0,"",'[2]Нормы трудоемкости'!E85)</f>
        <v>0.96</v>
      </c>
      <c r="F85" s="317">
        <f>IF('[2]Нормы трудоемкости'!F85=0,"",'[2]Нормы трудоемкости'!F85)</f>
        <v>1.08</v>
      </c>
      <c r="G85" s="317" t="str">
        <f>IF('[2]Нормы трудоемкости'!G85=0,"",'[2]Нормы трудоемкости'!G85)</f>
        <v/>
      </c>
    </row>
    <row r="86" spans="1:7" x14ac:dyDescent="0.2">
      <c r="A86" s="317" t="str">
        <f>IF('[2]Нормы трудоемкости'!A86=0,"",'[2]Нормы трудоемкости'!A86)</f>
        <v/>
      </c>
      <c r="B86" s="317" t="str">
        <f>IF('[2]Нормы трудоемкости'!B86=0,"",'[2]Нормы трудоемкости'!B86)</f>
        <v/>
      </c>
      <c r="C86" s="317" t="str">
        <f>IF('[2]Нормы трудоемкости'!C86=0,"",'[2]Нормы трудоемкости'!C86)</f>
        <v/>
      </c>
      <c r="D86" s="317" t="str">
        <f>IF('[2]Нормы трудоемкости'!D86=0,"",'[2]Нормы трудоемкости'!D86)</f>
        <v/>
      </c>
      <c r="E86" s="317" t="str">
        <f>IF('[2]Нормы трудоемкости'!E86=0,"",'[2]Нормы трудоемкости'!E86)</f>
        <v/>
      </c>
      <c r="F86" s="317" t="str">
        <f>IF('[2]Нормы трудоемкости'!F86=0,"",'[2]Нормы трудоемкости'!F86)</f>
        <v/>
      </c>
      <c r="G86" s="317" t="str">
        <f>IF('[2]Нормы трудоемкости'!G86=0,"",'[2]Нормы трудоемкости'!G86)</f>
        <v/>
      </c>
    </row>
    <row r="88" spans="1:7" ht="15.75" x14ac:dyDescent="0.25">
      <c r="A88" s="93"/>
      <c r="B88" s="183"/>
      <c r="C88" s="316"/>
      <c r="D88" s="184"/>
      <c r="E88" s="184"/>
      <c r="F88" s="185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207</vt:i4>
      </vt:variant>
    </vt:vector>
  </HeadingPairs>
  <TitlesOfParts>
    <vt:vector size="214" baseType="lpstr">
      <vt:lpstr>Расчет</vt:lpstr>
      <vt:lpstr>Коэфф</vt:lpstr>
      <vt:lpstr>ATG</vt:lpstr>
      <vt:lpstr>Материалы</vt:lpstr>
      <vt:lpstr>Калькуляция</vt:lpstr>
      <vt:lpstr>Текстолит</vt:lpstr>
      <vt:lpstr>Трудоемкости (внешняя)</vt:lpstr>
      <vt:lpstr>bigdrill</vt:lpstr>
      <vt:lpstr>blockname</vt:lpstr>
      <vt:lpstr>bsizex</vt:lpstr>
      <vt:lpstr>bsizey</vt:lpstr>
      <vt:lpstr>class</vt:lpstr>
      <vt:lpstr>constr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fullname</vt:lpstr>
      <vt:lpstr>glasscloth</vt:lpstr>
      <vt:lpstr>gold</vt:lpstr>
      <vt:lpstr>lamel</vt:lpstr>
      <vt:lpstr>layers</vt:lpstr>
      <vt:lpstr>letter</vt:lpstr>
      <vt:lpstr>m</vt:lpstr>
      <vt:lpstr>mark</vt:lpstr>
      <vt:lpstr>marktype</vt:lpstr>
      <vt:lpstr>mask</vt:lpstr>
      <vt:lpstr>N</vt:lpstr>
      <vt:lpstr>nib</vt:lpstr>
      <vt:lpstr>numbers</vt:lpstr>
      <vt:lpstr>nummask</vt:lpstr>
      <vt:lpstr>Nз</vt:lpstr>
      <vt:lpstr>Nпл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textolite</vt:lpstr>
      <vt:lpstr>thickness</vt:lpstr>
      <vt:lpstr>А</vt:lpstr>
      <vt:lpstr>А1</vt:lpstr>
      <vt:lpstr>БЛэк</vt:lpstr>
      <vt:lpstr>В</vt:lpstr>
      <vt:lpstr>В1</vt:lpstr>
      <vt:lpstr>Время_изготовления_шаблонов</vt:lpstr>
      <vt:lpstr>Время_констр</vt:lpstr>
      <vt:lpstr>Время_мастерплат_фрезеровки</vt:lpstr>
      <vt:lpstr>Время_паспортизации_шаблонов</vt:lpstr>
      <vt:lpstr>выбор_материала_табл</vt:lpstr>
      <vt:lpstr>Выбор_материалов_ДПП</vt:lpstr>
      <vt:lpstr>ГОР_ПОС</vt:lpstr>
      <vt:lpstr>Дата_расчета</vt:lpstr>
      <vt:lpstr>длина_заготовки</vt:lpstr>
      <vt:lpstr>Длина_ламелей</vt:lpstr>
      <vt:lpstr>Длина_платы</vt:lpstr>
      <vt:lpstr>ЖЗПМ</vt:lpstr>
      <vt:lpstr>Материалы!Заголовки_для_печати</vt:lpstr>
      <vt:lpstr>Заготовительная_мп</vt:lpstr>
      <vt:lpstr>Заказчик</vt:lpstr>
      <vt:lpstr>Изготовление_мастер_плат_для_фрезерования</vt:lpstr>
      <vt:lpstr>Изготовление_сумма</vt:lpstr>
      <vt:lpstr>Изготовление_ФШ</vt:lpstr>
      <vt:lpstr>Изготовление_ФШ_сумма</vt:lpstr>
      <vt:lpstr>Изготовление_шаблонов</vt:lpstr>
      <vt:lpstr>Иммерсионное_золочение</vt:lpstr>
      <vt:lpstr>индекс_заготовки</vt:lpstr>
      <vt:lpstr>Итого_окончательное</vt:lpstr>
      <vt:lpstr>Итого_сумма</vt:lpstr>
      <vt:lpstr>К3</vt:lpstr>
      <vt:lpstr>К4</vt:lpstr>
      <vt:lpstr>К5</vt:lpstr>
      <vt:lpstr>калийдецианоауреат</vt:lpstr>
      <vt:lpstr>КалькуляцияТаблица</vt:lpstr>
      <vt:lpstr>Квг</vt:lpstr>
      <vt:lpstr>КвгТабл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КолвоЛистовИзТЗ</vt:lpstr>
      <vt:lpstr>Количество_слоев</vt:lpstr>
      <vt:lpstr>Контроль_первичный</vt:lpstr>
      <vt:lpstr>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</vt:lpstr>
      <vt:lpstr>КсерТабл</vt:lpstr>
      <vt:lpstr>Кср</vt:lpstr>
      <vt:lpstr>КсрТабл</vt:lpstr>
      <vt:lpstr>Кт</vt:lpstr>
      <vt:lpstr>КтТабл</vt:lpstr>
      <vt:lpstr>Кф</vt:lpstr>
      <vt:lpstr>ламели</vt:lpstr>
      <vt:lpstr>Легенда</vt:lpstr>
      <vt:lpstr>Листов_материала</vt:lpstr>
      <vt:lpstr>Материалы_Legend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мп_пробивки_те</vt:lpstr>
      <vt:lpstr>мп_проверки_те</vt:lpstr>
      <vt:lpstr>МПП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НомерТекстолитаИзТЗ1</vt:lpstr>
      <vt:lpstr>НомерТекстолитаИзТЗ2</vt:lpstr>
      <vt:lpstr>ATG!Область_печати</vt:lpstr>
      <vt:lpstr>Калькуляция!Область_печати</vt:lpstr>
      <vt:lpstr>Материалы!Область_печати</vt:lpstr>
      <vt:lpstr>Расчет!Область_печати</vt:lpstr>
      <vt:lpstr>'Трудоемкости (внешняя)'!Область_печати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Поиск_материалов_в_базе</vt:lpstr>
      <vt:lpstr>Пробивка_ФШ_мп</vt:lpstr>
      <vt:lpstr>Проверка__паспортизация__ретушь_ФШ</vt:lpstr>
      <vt:lpstr>Рз</vt:lpstr>
      <vt:lpstr>Рп</vt:lpstr>
      <vt:lpstr>'Трудоемкости (внешняя)'!Ручная_маркировка</vt:lpstr>
      <vt:lpstr>Ручная_маркировка</vt:lpstr>
      <vt:lpstr>Сверление__на_отверстие</vt:lpstr>
      <vt:lpstr>Калькуляция!Себестоимость</vt:lpstr>
      <vt:lpstr>СЗПМ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ст_тё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Сумма__То</vt:lpstr>
      <vt:lpstr>Сумма_на_слой</vt:lpstr>
      <vt:lpstr>Текстолит</vt:lpstr>
      <vt:lpstr>Текстолит1</vt:lpstr>
      <vt:lpstr>Текстолит2</vt:lpstr>
      <vt:lpstr>Технологический_контроль_мп</vt:lpstr>
      <vt:lpstr>Технологический_контроль_пров_мп</vt:lpstr>
      <vt:lpstr>тип_ст_таблица</vt:lpstr>
      <vt:lpstr>ТипМаркировки</vt:lpstr>
      <vt:lpstr>ТипМаски</vt:lpstr>
      <vt:lpstr>То</vt:lpstr>
      <vt:lpstr>Толщина_платы</vt:lpstr>
      <vt:lpstr>Точек_Электроконтроля</vt:lpstr>
      <vt:lpstr>Трпп</vt:lpstr>
      <vt:lpstr>'Трудоемкости (внешняя)'!Трудоемкости</vt:lpstr>
      <vt:lpstr>Трудоемкости_все_7_столбцов</vt:lpstr>
      <vt:lpstr>Трудоемкость_сверления</vt:lpstr>
      <vt:lpstr>Трудоемкость_сверления_всех</vt:lpstr>
      <vt:lpstr>труёмзол1пл</vt:lpstr>
      <vt:lpstr>Тф</vt:lpstr>
      <vt:lpstr>Тф1пл</vt:lpstr>
      <vt:lpstr>Тф2пл</vt:lpstr>
      <vt:lpstr>ФМ</vt:lpstr>
      <vt:lpstr>ФОТнч</vt:lpstr>
      <vt:lpstr>ФПК</vt:lpstr>
      <vt:lpstr>Калькуляция!Цена</vt:lpstr>
      <vt:lpstr>Цена_вусего_без_НДС</vt:lpstr>
      <vt:lpstr>Цена_одной_без_НДС</vt:lpstr>
      <vt:lpstr>Цнч</vt:lpstr>
      <vt:lpstr>Цэкатг</vt:lpstr>
      <vt:lpstr>Чо1</vt:lpstr>
      <vt:lpstr>Чо2</vt:lpstr>
      <vt:lpstr>ширина_заготовки</vt:lpstr>
      <vt:lpstr>Ширина_ламелей</vt:lpstr>
      <vt:lpstr>ширина_платы</vt:lpstr>
      <vt:lpstr>экспонирование_мп</vt:lpstr>
      <vt:lpstr>Электроконтроль</vt:lpstr>
    </vt:vector>
  </TitlesOfParts>
  <Company>NOME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Фёдоров Игорь Юрьевич</dc:creator>
  <cp:lastModifiedBy>Фёдоров Игорь Юрьевич</cp:lastModifiedBy>
  <cp:lastPrinted>2022-02-15T11:40:45Z</cp:lastPrinted>
  <dcterms:created xsi:type="dcterms:W3CDTF">2001-01-12T12:45:52Z</dcterms:created>
  <dcterms:modified xsi:type="dcterms:W3CDTF">2022-02-25T07:43:32Z</dcterms:modified>
</cp:coreProperties>
</file>