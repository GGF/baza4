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60" windowWidth="27795" windowHeight="12090"/>
  </bookViews>
  <sheets>
    <sheet name="Лист1" sheetId="1" r:id="rId1"/>
  </sheets>
  <calcPr calcId="145621" refMode="R1C1"/>
</workbook>
</file>

<file path=xl/calcChain.xml><?xml version="1.0" encoding="utf-8"?>
<calcChain xmlns="http://schemas.openxmlformats.org/spreadsheetml/2006/main">
  <c r="M77" i="1" l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M1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L1" i="1"/>
</calcChain>
</file>

<file path=xl/sharedStrings.xml><?xml version="1.0" encoding="utf-8"?>
<sst xmlns="http://schemas.openxmlformats.org/spreadsheetml/2006/main" count="874" uniqueCount="586">
  <si>
    <t>Абрамова Ольга Геннадьевна  (совм.)</t>
  </si>
  <si>
    <t xml:space="preserve">000000300 </t>
  </si>
  <si>
    <t>Контролер ОТК 4раз.</t>
  </si>
  <si>
    <t>23.08.1959</t>
  </si>
  <si>
    <t>Агеенко Арина Владимировна</t>
  </si>
  <si>
    <t xml:space="preserve">000000471 </t>
  </si>
  <si>
    <t>Изготовитель трафаретов шкал и плат 2р</t>
  </si>
  <si>
    <t>13.09.1981</t>
  </si>
  <si>
    <t>Афонин Михаил Владимирович  (совм.)</t>
  </si>
  <si>
    <t xml:space="preserve">000000493 </t>
  </si>
  <si>
    <t>Инженер</t>
  </si>
  <si>
    <t>02.01.1982</t>
  </si>
  <si>
    <t>Балуков Андрей Николаевич (совм.)</t>
  </si>
  <si>
    <t xml:space="preserve">000000349 </t>
  </si>
  <si>
    <t>03.03.1949</t>
  </si>
  <si>
    <t>Батова Жанна Владимировна</t>
  </si>
  <si>
    <t xml:space="preserve">000000370 </t>
  </si>
  <si>
    <t>Изготовитель трафаретов шкал и плат 3р</t>
  </si>
  <si>
    <t>24.08.1973</t>
  </si>
  <si>
    <t>Боровикова Татьяна Дмитриевна</t>
  </si>
  <si>
    <t xml:space="preserve">000000263 </t>
  </si>
  <si>
    <t>05.06.1962</t>
  </si>
  <si>
    <t>Бражников Егор Денисович</t>
  </si>
  <si>
    <t xml:space="preserve">000000483 </t>
  </si>
  <si>
    <t>Инженер-технолог 2 категории</t>
  </si>
  <si>
    <t>27.09.1989</t>
  </si>
  <si>
    <t>Васильев Станислав Борисович</t>
  </si>
  <si>
    <t xml:space="preserve">000000364 </t>
  </si>
  <si>
    <t>Оператор станков с прогр. управлением 4р</t>
  </si>
  <si>
    <t>12.06.1982</t>
  </si>
  <si>
    <t>Величко Нина Ивановна</t>
  </si>
  <si>
    <t xml:space="preserve">000000431 </t>
  </si>
  <si>
    <t>Инженер-технолог 1 категории</t>
  </si>
  <si>
    <t>28.07.1984</t>
  </si>
  <si>
    <t>Владимирова Виктория Александровна</t>
  </si>
  <si>
    <t xml:space="preserve">000000481 </t>
  </si>
  <si>
    <t>29.08.1996</t>
  </si>
  <si>
    <t>Владимирова Неонэла Владимировна  (совм.)</t>
  </si>
  <si>
    <t xml:space="preserve">000000366 </t>
  </si>
  <si>
    <t>Монтажник радиоэлектронной аппаратуры и приборов 3р.</t>
  </si>
  <si>
    <t>09.11.1969</t>
  </si>
  <si>
    <t>Власова Ирина Федоровна  (совм.)</t>
  </si>
  <si>
    <t xml:space="preserve">000000233 </t>
  </si>
  <si>
    <t>прессовщик листовых материалов 2р.</t>
  </si>
  <si>
    <t>12.05.1962</t>
  </si>
  <si>
    <t>Власова Тамара Владимировна</t>
  </si>
  <si>
    <t xml:space="preserve">000000333 </t>
  </si>
  <si>
    <t>01.08.1958</t>
  </si>
  <si>
    <t>Воронин Антон Андреевич</t>
  </si>
  <si>
    <t xml:space="preserve">000000494 </t>
  </si>
  <si>
    <t>18.04.1993</t>
  </si>
  <si>
    <t>Гольдман Татьяна Васильевна (совм.)</t>
  </si>
  <si>
    <t xml:space="preserve">000000469 </t>
  </si>
  <si>
    <t>техник-технолог</t>
  </si>
  <si>
    <t>10.10.1952</t>
  </si>
  <si>
    <t>Горницкий Иван Викторович</t>
  </si>
  <si>
    <t xml:space="preserve">000000400 </t>
  </si>
  <si>
    <t>начальник группы</t>
  </si>
  <si>
    <t>12.06.1987</t>
  </si>
  <si>
    <t>Горчакова Галина Николаевна  (совм.)</t>
  </si>
  <si>
    <t xml:space="preserve">000000241 </t>
  </si>
  <si>
    <t>05.10.1960</t>
  </si>
  <si>
    <t>Гулак Станислав Сергеевич</t>
  </si>
  <si>
    <t xml:space="preserve">000000497 </t>
  </si>
  <si>
    <t>слесарь механосборочных работ 4р</t>
  </si>
  <si>
    <t>28.11.1995</t>
  </si>
  <si>
    <t>Денисова Светлана Анатольевна  (совм.)</t>
  </si>
  <si>
    <t xml:space="preserve">000000498 </t>
  </si>
  <si>
    <t>Уборщик производственных и служебных помещений</t>
  </si>
  <si>
    <t>02.09.1968</t>
  </si>
  <si>
    <t>Жинкин Андрей Игоревич</t>
  </si>
  <si>
    <t xml:space="preserve">000000098 </t>
  </si>
  <si>
    <t>инженер-программист</t>
  </si>
  <si>
    <t>30.10.1955</t>
  </si>
  <si>
    <t>Замалутдинов Ильдар Рашитович</t>
  </si>
  <si>
    <t xml:space="preserve">000000432 </t>
  </si>
  <si>
    <t>17.01.1979</t>
  </si>
  <si>
    <t>Иванов Александр Викторович</t>
  </si>
  <si>
    <t xml:space="preserve">000000438 </t>
  </si>
  <si>
    <t>инженер-технолог</t>
  </si>
  <si>
    <t>26.07.1983</t>
  </si>
  <si>
    <t>Иванова Ольга Дмитриевна</t>
  </si>
  <si>
    <t xml:space="preserve">000000457 </t>
  </si>
  <si>
    <t>16.08.1960</t>
  </si>
  <si>
    <t>Ильина Ольга Сергеевна (совм.)</t>
  </si>
  <si>
    <t xml:space="preserve">000000369 </t>
  </si>
  <si>
    <t>Секретарь руководителя</t>
  </si>
  <si>
    <t>10.02.1975</t>
  </si>
  <si>
    <t>Калядина Людмила Александровна  (совм.)</t>
  </si>
  <si>
    <t xml:space="preserve">000000410 </t>
  </si>
  <si>
    <t>04.08.1973</t>
  </si>
  <si>
    <t>Касаткина Вера Александровна  (совм.)</t>
  </si>
  <si>
    <t xml:space="preserve">000000476 </t>
  </si>
  <si>
    <t>укладчик деталей и изделий 2 разряда</t>
  </si>
  <si>
    <t>15.03.1954</t>
  </si>
  <si>
    <t>Китуничев Дмитрий Сергеевич</t>
  </si>
  <si>
    <t>Заместитель Генерального директора по общим вопросам</t>
  </si>
  <si>
    <t>07.04.1970</t>
  </si>
  <si>
    <t>Кондряков Вячеслав Георгиевич (совм.)</t>
  </si>
  <si>
    <t xml:space="preserve">000000492 </t>
  </si>
  <si>
    <t xml:space="preserve">специалист по охране труда </t>
  </si>
  <si>
    <t>25.01.1948</t>
  </si>
  <si>
    <t>Коптюх Глеб Васильевич</t>
  </si>
  <si>
    <t xml:space="preserve">000000475 </t>
  </si>
  <si>
    <t>01.09.1989</t>
  </si>
  <si>
    <t>Красулина Юлия Валерьевна</t>
  </si>
  <si>
    <t xml:space="preserve">000000499 </t>
  </si>
  <si>
    <t>измеритель электрофизических параметров 2р</t>
  </si>
  <si>
    <t>09.01.1990</t>
  </si>
  <si>
    <t>Кривова Любовь Григорьевна  (совм.)</t>
  </si>
  <si>
    <t xml:space="preserve">000000444 </t>
  </si>
  <si>
    <t>Изготовитель трафаретов шкал и плат 4р</t>
  </si>
  <si>
    <t>26.10.1960</t>
  </si>
  <si>
    <t>Кузнецов Денис Игоревич</t>
  </si>
  <si>
    <t xml:space="preserve">000000479 </t>
  </si>
  <si>
    <t>Слесарь-электромеханик 4р.</t>
  </si>
  <si>
    <t>11.07.1987</t>
  </si>
  <si>
    <t>Кузнецова Мария Александровна (совм.)</t>
  </si>
  <si>
    <t xml:space="preserve">000000489 </t>
  </si>
  <si>
    <t>инженер по охране окружающей среды (эколог)</t>
  </si>
  <si>
    <t>22.07.1986</t>
  </si>
  <si>
    <t>Кукушкина Галина Владимировна  (совм.)</t>
  </si>
  <si>
    <t xml:space="preserve">000000462 </t>
  </si>
  <si>
    <t>16.01.1967</t>
  </si>
  <si>
    <t>Куренков Леонид Евгеньевич</t>
  </si>
  <si>
    <t xml:space="preserve">000000168 </t>
  </si>
  <si>
    <t>инженер-наладчик КИП и автоматики</t>
  </si>
  <si>
    <t>09.11.1960</t>
  </si>
  <si>
    <t>Куренкова Татьяна Геннадьевна</t>
  </si>
  <si>
    <t xml:space="preserve">000000426 </t>
  </si>
  <si>
    <t>25.09.1960</t>
  </si>
  <si>
    <t>Курочкина Марина Александровна</t>
  </si>
  <si>
    <t xml:space="preserve">000000272 </t>
  </si>
  <si>
    <t>16.01.1959</t>
  </si>
  <si>
    <t>Кучерявый Олег Анатольевич  (совм.)</t>
  </si>
  <si>
    <t xml:space="preserve">000000484 </t>
  </si>
  <si>
    <t>Помощник Генерального директора  по режиму</t>
  </si>
  <si>
    <t>08.04.1956</t>
  </si>
  <si>
    <t>Левитская Надежда Петровна</t>
  </si>
  <si>
    <t xml:space="preserve">000000137 </t>
  </si>
  <si>
    <t>инженер-технолог-аналитик</t>
  </si>
  <si>
    <t>07.05.1947</t>
  </si>
  <si>
    <t>Легоньков Владимир Адольфович  (совм.)</t>
  </si>
  <si>
    <t xml:space="preserve">000000407 </t>
  </si>
  <si>
    <t>29.06.1957</t>
  </si>
  <si>
    <t>Литвинова Юлия Евгеньевна</t>
  </si>
  <si>
    <t xml:space="preserve">000000421 </t>
  </si>
  <si>
    <t>18.06.1968</t>
  </si>
  <si>
    <t>Лочмелис Дарья Александровна</t>
  </si>
  <si>
    <t>Бухгалтер</t>
  </si>
  <si>
    <t>22.12.1993</t>
  </si>
  <si>
    <t>Макаров Борис Константинович (совм.)</t>
  </si>
  <si>
    <t xml:space="preserve">000000269 </t>
  </si>
  <si>
    <t>менеджер по качеству</t>
  </si>
  <si>
    <t>26.02.1948</t>
  </si>
  <si>
    <t>Макарова Татьяна Леонидовна  (совм.)</t>
  </si>
  <si>
    <t xml:space="preserve">000000322 </t>
  </si>
  <si>
    <t>Заместитель начальника производства</t>
  </si>
  <si>
    <t>13.04.1976</t>
  </si>
  <si>
    <t>Макина Юлия Сергеевна</t>
  </si>
  <si>
    <t xml:space="preserve">000000386 </t>
  </si>
  <si>
    <t>контролер ОТК 3раз.</t>
  </si>
  <si>
    <t>27.11.1985</t>
  </si>
  <si>
    <t>Марченко Владимир Викторович (совм.)</t>
  </si>
  <si>
    <t xml:space="preserve">000000303 </t>
  </si>
  <si>
    <t>Менеджер по персоналу</t>
  </si>
  <si>
    <t>16.03.1956</t>
  </si>
  <si>
    <t>Мракова Любовь Васильевна</t>
  </si>
  <si>
    <t xml:space="preserve">000000467 </t>
  </si>
  <si>
    <t>10.08.1968</t>
  </si>
  <si>
    <t>Николайчук Иван Иванович (совм.)</t>
  </si>
  <si>
    <t>Генеральный директор</t>
  </si>
  <si>
    <t>07.10.1946</t>
  </si>
  <si>
    <t>Осипова Наталья Михайловна</t>
  </si>
  <si>
    <t xml:space="preserve">000000451 </t>
  </si>
  <si>
    <t>19.03.1967</t>
  </si>
  <si>
    <t>Осоченко Евгения Юрьевна</t>
  </si>
  <si>
    <t>13.08.1966</t>
  </si>
  <si>
    <t>Палотай Ирина Ильинична</t>
  </si>
  <si>
    <t xml:space="preserve">000000490 </t>
  </si>
  <si>
    <t>07.04.1966</t>
  </si>
  <si>
    <t>Полушкин Владимир Юрьевич</t>
  </si>
  <si>
    <t xml:space="preserve">000000171 </t>
  </si>
  <si>
    <t>фотограф 5 разряда</t>
  </si>
  <si>
    <t>20.12.1965</t>
  </si>
  <si>
    <t>Попов Сергей Олегович</t>
  </si>
  <si>
    <t xml:space="preserve">000000374 </t>
  </si>
  <si>
    <t>слесарь механосборочных работ 5р</t>
  </si>
  <si>
    <t>07.07.1967</t>
  </si>
  <si>
    <t>Попова Римма Владимировна</t>
  </si>
  <si>
    <t>Главный бухгалтер</t>
  </si>
  <si>
    <t>14.06.1964</t>
  </si>
  <si>
    <t>Прокофьева Светлана Владимировна  (совм.)</t>
  </si>
  <si>
    <t xml:space="preserve">000000406 </t>
  </si>
  <si>
    <t>23.05.1961</t>
  </si>
  <si>
    <t>Ржанова Марина Викторовна  (совм.)</t>
  </si>
  <si>
    <t xml:space="preserve">000000304 </t>
  </si>
  <si>
    <t>Делопроизводитель</t>
  </si>
  <si>
    <t>14.03.1961</t>
  </si>
  <si>
    <t>Романова Валентина Анатольевна  (совм.)</t>
  </si>
  <si>
    <t xml:space="preserve">000000252 </t>
  </si>
  <si>
    <t>Кладовщик</t>
  </si>
  <si>
    <t>28.03.1955</t>
  </si>
  <si>
    <t>Рытова Ольга Алексеевна</t>
  </si>
  <si>
    <t xml:space="preserve">000000368 </t>
  </si>
  <si>
    <t>Инженер-конструктор 1 категории</t>
  </si>
  <si>
    <t>10.05.1951</t>
  </si>
  <si>
    <t>Самойлова Алена Валерьевна</t>
  </si>
  <si>
    <t xml:space="preserve">000000491 </t>
  </si>
  <si>
    <t>05.07.1987</t>
  </si>
  <si>
    <t>Семенихин Алексей Олегович</t>
  </si>
  <si>
    <t xml:space="preserve">000000413 </t>
  </si>
  <si>
    <t>слесарь-ремонтник 4 р.</t>
  </si>
  <si>
    <t>27.09.1976</t>
  </si>
  <si>
    <t>Семенихин Антон Олегович</t>
  </si>
  <si>
    <t xml:space="preserve">000000485 </t>
  </si>
  <si>
    <t>16.03.1987</t>
  </si>
  <si>
    <t>Сисина Людмила Алексеевна</t>
  </si>
  <si>
    <t xml:space="preserve">000000398 </t>
  </si>
  <si>
    <t>22.05.1960</t>
  </si>
  <si>
    <t>Смирнов Виктор Анатольевич</t>
  </si>
  <si>
    <t xml:space="preserve">000000008 </t>
  </si>
  <si>
    <t>Ведущий конструктор</t>
  </si>
  <si>
    <t>21.06.1964</t>
  </si>
  <si>
    <t>Смирнова Мария Викторовна</t>
  </si>
  <si>
    <t xml:space="preserve">000000488 </t>
  </si>
  <si>
    <t>Оператор ЭВМ</t>
  </si>
  <si>
    <t>19.04.1997</t>
  </si>
  <si>
    <t>Соковнин Сергей Анатольевич  (совм.)</t>
  </si>
  <si>
    <t xml:space="preserve">000000253 </t>
  </si>
  <si>
    <t>сверловщик 5 разр.</t>
  </si>
  <si>
    <t>03.05.1957</t>
  </si>
  <si>
    <t>Соколов Сергей Борисович (совм.)</t>
  </si>
  <si>
    <t xml:space="preserve">000000443 </t>
  </si>
  <si>
    <t>наладчик технологического оборудования 6р</t>
  </si>
  <si>
    <t>27.11.1965</t>
  </si>
  <si>
    <t>Соколова Валентина Михайловна</t>
  </si>
  <si>
    <t xml:space="preserve">000000012 </t>
  </si>
  <si>
    <t>Заместитель Генерального директора по качеству</t>
  </si>
  <si>
    <t>01.07.1947</t>
  </si>
  <si>
    <t>Сорокина Ярослава Валерьевна</t>
  </si>
  <si>
    <t xml:space="preserve">000000433 </t>
  </si>
  <si>
    <t>06.08.1970</t>
  </si>
  <si>
    <t>Табакова Татьяна Николаевна  (совм.)</t>
  </si>
  <si>
    <t xml:space="preserve">000000244 </t>
  </si>
  <si>
    <t>07.01.1952</t>
  </si>
  <si>
    <t>Тимофеев Владимир Вениаминович</t>
  </si>
  <si>
    <t xml:space="preserve">000000044 </t>
  </si>
  <si>
    <t>Слесарь-наладчик 6р.</t>
  </si>
  <si>
    <t>28.09.1950</t>
  </si>
  <si>
    <t>Трудолюбова Раиса Анатольевна  (совм.)</t>
  </si>
  <si>
    <t xml:space="preserve">000000248 </t>
  </si>
  <si>
    <t>03.03.1961</t>
  </si>
  <si>
    <t>Угдыжекова Илона Викторовна</t>
  </si>
  <si>
    <t xml:space="preserve">000000136 </t>
  </si>
  <si>
    <t>инженер-технолог-аналитик 1категории</t>
  </si>
  <si>
    <t>17.05.1966</t>
  </si>
  <si>
    <t>Федоров Игорь Юрьевич</t>
  </si>
  <si>
    <t xml:space="preserve">000000231 </t>
  </si>
  <si>
    <t>14.08.1974</t>
  </si>
  <si>
    <t>Фисенко Тамара Васильевна</t>
  </si>
  <si>
    <t xml:space="preserve">000000390 </t>
  </si>
  <si>
    <t>16.03.1953</t>
  </si>
  <si>
    <t>Чумакова Елена Александровна  (совм.)</t>
  </si>
  <si>
    <t xml:space="preserve">000000403 </t>
  </si>
  <si>
    <t>17.10.1961</t>
  </si>
  <si>
    <t>Шевченко Алла Марковна</t>
  </si>
  <si>
    <t xml:space="preserve">000000372 </t>
  </si>
  <si>
    <t>24.01.1964</t>
  </si>
  <si>
    <t>Юрочкина Людмила Хаметовна  (совм.)</t>
  </si>
  <si>
    <t xml:space="preserve">000000297 </t>
  </si>
  <si>
    <t>06.09.1954</t>
  </si>
  <si>
    <t>Абрамова</t>
  </si>
  <si>
    <t>Ольга</t>
  </si>
  <si>
    <t>Геннадьевна</t>
  </si>
  <si>
    <t>(совм.)</t>
  </si>
  <si>
    <t>Агеенко</t>
  </si>
  <si>
    <t>Арина</t>
  </si>
  <si>
    <t>Владимировна</t>
  </si>
  <si>
    <t>Афонин</t>
  </si>
  <si>
    <t>Михаил</t>
  </si>
  <si>
    <t>Владимирович</t>
  </si>
  <si>
    <t>Балуков</t>
  </si>
  <si>
    <t>Андрей</t>
  </si>
  <si>
    <t>Николаевич</t>
  </si>
  <si>
    <t>Батова</t>
  </si>
  <si>
    <t>Жанна</t>
  </si>
  <si>
    <t>Боровикова</t>
  </si>
  <si>
    <t>Татьяна</t>
  </si>
  <si>
    <t>Дмитриевна</t>
  </si>
  <si>
    <t>Бражников</t>
  </si>
  <si>
    <t>Егор</t>
  </si>
  <si>
    <t>Денисович</t>
  </si>
  <si>
    <t>Васильев</t>
  </si>
  <si>
    <t>Станислав</t>
  </si>
  <si>
    <t>Борисович</t>
  </si>
  <si>
    <t>Величко</t>
  </si>
  <si>
    <t>Нина</t>
  </si>
  <si>
    <t>Ивановна</t>
  </si>
  <si>
    <t>Владимирова</t>
  </si>
  <si>
    <t>Виктория</t>
  </si>
  <si>
    <t>Александровна</t>
  </si>
  <si>
    <t>Неонэла</t>
  </si>
  <si>
    <t>Власова</t>
  </si>
  <si>
    <t>Ирина</t>
  </si>
  <si>
    <t>Федоровна</t>
  </si>
  <si>
    <t>Тамара</t>
  </si>
  <si>
    <t>Воронин</t>
  </si>
  <si>
    <t>Антон</t>
  </si>
  <si>
    <t>Андреевич</t>
  </si>
  <si>
    <t>Гольдман</t>
  </si>
  <si>
    <t>Васильевна</t>
  </si>
  <si>
    <t>Горницкий</t>
  </si>
  <si>
    <t>Иван</t>
  </si>
  <si>
    <t>Викторович</t>
  </si>
  <si>
    <t>Горчакова</t>
  </si>
  <si>
    <t>Галина</t>
  </si>
  <si>
    <t>Николаевна</t>
  </si>
  <si>
    <t>Гулак</t>
  </si>
  <si>
    <t>Сергеевич</t>
  </si>
  <si>
    <t>Денисова</t>
  </si>
  <si>
    <t>Светлана</t>
  </si>
  <si>
    <t>Анатольевна</t>
  </si>
  <si>
    <t>Жинкин</t>
  </si>
  <si>
    <t>Игоревич</t>
  </si>
  <si>
    <t>Замалутдинов</t>
  </si>
  <si>
    <t>Ильдар</t>
  </si>
  <si>
    <t>Рашитович</t>
  </si>
  <si>
    <t>Иванов</t>
  </si>
  <si>
    <t>Александр</t>
  </si>
  <si>
    <t>Иванова</t>
  </si>
  <si>
    <t>Ильина</t>
  </si>
  <si>
    <t>Сергеевна</t>
  </si>
  <si>
    <t>Калядина</t>
  </si>
  <si>
    <t>Людмила</t>
  </si>
  <si>
    <t>Касаткина</t>
  </si>
  <si>
    <t>Вера</t>
  </si>
  <si>
    <t>Китуничев</t>
  </si>
  <si>
    <t>Дмитрий</t>
  </si>
  <si>
    <t>Кондряков</t>
  </si>
  <si>
    <t>Вячеслав</t>
  </si>
  <si>
    <t>Георгиевич</t>
  </si>
  <si>
    <t>Коптюх</t>
  </si>
  <si>
    <t>Глеб</t>
  </si>
  <si>
    <t>Васильевич</t>
  </si>
  <si>
    <t>Красулина</t>
  </si>
  <si>
    <t>Юлия</t>
  </si>
  <si>
    <t>Валерьевна</t>
  </si>
  <si>
    <t>Кривова</t>
  </si>
  <si>
    <t>Любовь</t>
  </si>
  <si>
    <t>Григорьевна</t>
  </si>
  <si>
    <t>Кузнецов</t>
  </si>
  <si>
    <t>Денис</t>
  </si>
  <si>
    <t>Кузнецова</t>
  </si>
  <si>
    <t>Мария</t>
  </si>
  <si>
    <t>Кукушкина</t>
  </si>
  <si>
    <t>Куренков</t>
  </si>
  <si>
    <t>Леонид</t>
  </si>
  <si>
    <t>Евгеньевич</t>
  </si>
  <si>
    <t>Куренкова</t>
  </si>
  <si>
    <t>Курочкина</t>
  </si>
  <si>
    <t>Марина</t>
  </si>
  <si>
    <t>Кучерявый</t>
  </si>
  <si>
    <t>Олег</t>
  </si>
  <si>
    <t>Анатольевич</t>
  </si>
  <si>
    <t>Левитская</t>
  </si>
  <si>
    <t>Надежда</t>
  </si>
  <si>
    <t>Петровна</t>
  </si>
  <si>
    <t>Легоньков</t>
  </si>
  <si>
    <t>Владимир</t>
  </si>
  <si>
    <t>Адольфович</t>
  </si>
  <si>
    <t>Литвинова</t>
  </si>
  <si>
    <t>Евгеньевна</t>
  </si>
  <si>
    <t>Лочмелис</t>
  </si>
  <si>
    <t>Дарья</t>
  </si>
  <si>
    <t>Макаров</t>
  </si>
  <si>
    <t>Борис</t>
  </si>
  <si>
    <t>Константинович</t>
  </si>
  <si>
    <t>Макарова</t>
  </si>
  <si>
    <t>Леонидовна</t>
  </si>
  <si>
    <t>Макина</t>
  </si>
  <si>
    <t>Марченко</t>
  </si>
  <si>
    <t>Мракова</t>
  </si>
  <si>
    <t>Николайчук</t>
  </si>
  <si>
    <t>Иванович</t>
  </si>
  <si>
    <t>Осипова</t>
  </si>
  <si>
    <t>Наталья</t>
  </si>
  <si>
    <t>Михайловна</t>
  </si>
  <si>
    <t>Осоченко</t>
  </si>
  <si>
    <t>Евгения</t>
  </si>
  <si>
    <t>Юрьевна</t>
  </si>
  <si>
    <t>Палотай</t>
  </si>
  <si>
    <t>Ильинична</t>
  </si>
  <si>
    <t>Полушкин</t>
  </si>
  <si>
    <t>Юрьевич</t>
  </si>
  <si>
    <t>Попов</t>
  </si>
  <si>
    <t>Сергей</t>
  </si>
  <si>
    <t>Олегович</t>
  </si>
  <si>
    <t>Попова</t>
  </si>
  <si>
    <t>Римма</t>
  </si>
  <si>
    <t>Прокофьева</t>
  </si>
  <si>
    <t>Ржанова</t>
  </si>
  <si>
    <t>Викторовна</t>
  </si>
  <si>
    <t>Романова</t>
  </si>
  <si>
    <t>Валентина</t>
  </si>
  <si>
    <t>Рытова</t>
  </si>
  <si>
    <t>Алексеевна</t>
  </si>
  <si>
    <t>Самойлова</t>
  </si>
  <si>
    <t>Алена</t>
  </si>
  <si>
    <t>Семенихин</t>
  </si>
  <si>
    <t>Алексей</t>
  </si>
  <si>
    <t>Сисина</t>
  </si>
  <si>
    <t>Смирнов</t>
  </si>
  <si>
    <t>Виктор</t>
  </si>
  <si>
    <t>Смирнова</t>
  </si>
  <si>
    <t>Соковнин</t>
  </si>
  <si>
    <t>Соколов</t>
  </si>
  <si>
    <t>Соколова</t>
  </si>
  <si>
    <t>Сорокина</t>
  </si>
  <si>
    <t>Ярослава</t>
  </si>
  <si>
    <t>Табакова</t>
  </si>
  <si>
    <t>Тимофеев</t>
  </si>
  <si>
    <t>Вениаминович</t>
  </si>
  <si>
    <t>Трудолюбова</t>
  </si>
  <si>
    <t>Раиса</t>
  </si>
  <si>
    <t>Угдыжекова</t>
  </si>
  <si>
    <t>Илона</t>
  </si>
  <si>
    <t>Федоров</t>
  </si>
  <si>
    <t>Игорь</t>
  </si>
  <si>
    <t>Фисенко</t>
  </si>
  <si>
    <t>Чумакова</t>
  </si>
  <si>
    <t>Елена</t>
  </si>
  <si>
    <t>Шевченко</t>
  </si>
  <si>
    <t>Алла</t>
  </si>
  <si>
    <t>Марковна</t>
  </si>
  <si>
    <t>Юрочкина</t>
  </si>
  <si>
    <t>Хаметовна</t>
  </si>
  <si>
    <t>23</t>
  </si>
  <si>
    <t>08</t>
  </si>
  <si>
    <t>1959</t>
  </si>
  <si>
    <t>13</t>
  </si>
  <si>
    <t>09</t>
  </si>
  <si>
    <t>1981</t>
  </si>
  <si>
    <t>02</t>
  </si>
  <si>
    <t>01</t>
  </si>
  <si>
    <t>1982</t>
  </si>
  <si>
    <t>03</t>
  </si>
  <si>
    <t>1949</t>
  </si>
  <si>
    <t>24</t>
  </si>
  <si>
    <t>1973</t>
  </si>
  <si>
    <t>05</t>
  </si>
  <si>
    <t>06</t>
  </si>
  <si>
    <t>1962</t>
  </si>
  <si>
    <t>27</t>
  </si>
  <si>
    <t>1989</t>
  </si>
  <si>
    <t>12</t>
  </si>
  <si>
    <t>28</t>
  </si>
  <si>
    <t>07</t>
  </si>
  <si>
    <t>1984</t>
  </si>
  <si>
    <t>29</t>
  </si>
  <si>
    <t>1996</t>
  </si>
  <si>
    <t>11</t>
  </si>
  <si>
    <t>1969</t>
  </si>
  <si>
    <t>1958</t>
  </si>
  <si>
    <t>18</t>
  </si>
  <si>
    <t>04</t>
  </si>
  <si>
    <t>1993</t>
  </si>
  <si>
    <t>10</t>
  </si>
  <si>
    <t>1952</t>
  </si>
  <si>
    <t>1987</t>
  </si>
  <si>
    <t>1960</t>
  </si>
  <si>
    <t>1995</t>
  </si>
  <si>
    <t>1968</t>
  </si>
  <si>
    <t>30</t>
  </si>
  <si>
    <t>1955</t>
  </si>
  <si>
    <t>17</t>
  </si>
  <si>
    <t>1979</t>
  </si>
  <si>
    <t>26</t>
  </si>
  <si>
    <t>1983</t>
  </si>
  <si>
    <t>16</t>
  </si>
  <si>
    <t>1975</t>
  </si>
  <si>
    <t>15</t>
  </si>
  <si>
    <t>1954</t>
  </si>
  <si>
    <t>1970</t>
  </si>
  <si>
    <t>25</t>
  </si>
  <si>
    <t>1948</t>
  </si>
  <si>
    <t>1990</t>
  </si>
  <si>
    <t>22</t>
  </si>
  <si>
    <t>1986</t>
  </si>
  <si>
    <t>1967</t>
  </si>
  <si>
    <t>1956</t>
  </si>
  <si>
    <t>1947</t>
  </si>
  <si>
    <t>1957</t>
  </si>
  <si>
    <t>1976</t>
  </si>
  <si>
    <t>1985</t>
  </si>
  <si>
    <t>1946</t>
  </si>
  <si>
    <t>19</t>
  </si>
  <si>
    <t>1966</t>
  </si>
  <si>
    <t>20</t>
  </si>
  <si>
    <t>1965</t>
  </si>
  <si>
    <t>14</t>
  </si>
  <si>
    <t>1964</t>
  </si>
  <si>
    <t>1961</t>
  </si>
  <si>
    <t>1951</t>
  </si>
  <si>
    <t>21</t>
  </si>
  <si>
    <t>1997</t>
  </si>
  <si>
    <t>1950</t>
  </si>
  <si>
    <t>1974</t>
  </si>
  <si>
    <t>1953</t>
  </si>
  <si>
    <t>INSERT INTO `workers` ( `tabn`,`fio`, `f`, `i`, `o`, `dolz`, `dr`) VALUES ('000000300 ','Абрамова Ольга Геннадьевна  (совм.)','Абрамова','Ольга','Геннадьевна','Контролер ОТК 4раз.','1959-08-23');</t>
  </si>
  <si>
    <t>INSERT INTO `workers` ( `tabn`,`fio`, `f`, `i`, `o`, `dolz`, `dr`) VALUES ('000000471 ','Агеенко Арина Владимировна','Агеенко','Арина','Владимировна','Изготовитель трафаретов шкал и плат 2р','1981-09-13');</t>
  </si>
  <si>
    <t>INSERT INTO `workers` ( `tabn`,`fio`, `f`, `i`, `o`, `dolz`, `dr`) VALUES ('000000493 ','Афонин Михаил Владимирович  (совм.)','Афонин','Михаил','Владимирович','Инженер','1982-01-02');</t>
  </si>
  <si>
    <t>INSERT INTO `workers` ( `tabn`,`fio`, `f`, `i`, `o`, `dolz`, `dr`) VALUES ('000000349 ','Балуков Андрей Николаевич (совм.)','Балуков','Андрей','Николаевич','Инженер','1949-03-03');</t>
  </si>
  <si>
    <t>INSERT INTO `workers` ( `tabn`,`fio`, `f`, `i`, `o`, `dolz`, `dr`) VALUES ('000000370 ','Батова Жанна Владимировна','Батова','Жанна','Владимировна','Изготовитель трафаретов шкал и плат 3р','1973-08-24');</t>
  </si>
  <si>
    <t>INSERT INTO `workers` ( `tabn`,`fio`, `f`, `i`, `o`, `dolz`, `dr`) VALUES ('000000263 ','Боровикова Татьяна Дмитриевна','Боровикова','Татьяна','Дмитриевна','Изготовитель трафаретов шкал и плат 3р','1962-06-05');</t>
  </si>
  <si>
    <t>INSERT INTO `workers` ( `tabn`,`fio`, `f`, `i`, `o`, `dolz`, `dr`) VALUES ('000000483 ','Бражников Егор Денисович','Бражников','Егор','Денисович','Инженер-технолог 2 категории','1989-09-27');</t>
  </si>
  <si>
    <t>INSERT INTO `workers` ( `tabn`,`fio`, `f`, `i`, `o`, `dolz`, `dr`) VALUES ('000000364 ','Васильев Станислав Борисович','Васильев','Станислав','Борисович','Оператор станков с прогр. управлением 4р','1982-06-12');</t>
  </si>
  <si>
    <t>INSERT INTO `workers` ( `tabn`,`fio`, `f`, `i`, `o`, `dolz`, `dr`) VALUES ('000000431 ','Величко Нина Ивановна','Величко','Нина','Ивановна','Инженер-технолог 1 категории','1984-07-28');</t>
  </si>
  <si>
    <t>INSERT INTO `workers` ( `tabn`,`fio`, `f`, `i`, `o`, `dolz`, `dr`) VALUES ('000000481 ','Владимирова Виктория Александровна','Владимирова','Виктория','Александровна','Изготовитель трафаретов шкал и плат 2р','1996-08-29');</t>
  </si>
  <si>
    <t>INSERT INTO `workers` ( `tabn`,`fio`, `f`, `i`, `o`, `dolz`, `dr`) VALUES ('000000366 ','Владимирова Неонэла Владимировна  (совм.)','Владимирова','Неонэла','Владимировна','Монтажник радиоэлектронной аппаратуры и приборов 3р.','1969-11-09');</t>
  </si>
  <si>
    <t>INSERT INTO `workers` ( `tabn`,`fio`, `f`, `i`, `o`, `dolz`, `dr`) VALUES ('000000233 ','Власова Ирина Федоровна  (совм.)','Власова','Ирина','Федоровна','прессовщик листовых материалов 2р.','1962-05-12');</t>
  </si>
  <si>
    <t>INSERT INTO `workers` ( `tabn`,`fio`, `f`, `i`, `o`, `dolz`, `dr`) VALUES ('000000333 ','Власова Тамара Владимировна','Власова','Тамара','Владимировна','Изготовитель трафаретов шкал и плат 2р','1958-08-01');</t>
  </si>
  <si>
    <t>INSERT INTO `workers` ( `tabn`,`fio`, `f`, `i`, `o`, `dolz`, `dr`) VALUES ('000000494 ','Воронин Антон Андреевич','Воронин','Антон','Андреевич','Изготовитель трафаретов шкал и плат 3р','1993-04-18');</t>
  </si>
  <si>
    <t>INSERT INTO `workers` ( `tabn`,`fio`, `f`, `i`, `o`, `dolz`, `dr`) VALUES ('000000469 ','Гольдман Татьяна Васильевна (совм.)','Гольдман','Татьяна','Васильевна','техник-технолог','1952-10-10');</t>
  </si>
  <si>
    <t>INSERT INTO `workers` ( `tabn`,`fio`, `f`, `i`, `o`, `dolz`, `dr`) VALUES ('000000400 ','Горницкий Иван Викторович','Горницкий','Иван','Викторович','начальник группы','1987-06-12');</t>
  </si>
  <si>
    <t>INSERT INTO `workers` ( `tabn`,`fio`, `f`, `i`, `o`, `dolz`, `dr`) VALUES ('000000241 ','Горчакова Галина Николаевна  (совм.)','Горчакова','Галина','Николаевна','Изготовитель трафаретов шкал и плат 3р','1960-10-05');</t>
  </si>
  <si>
    <t>INSERT INTO `workers` ( `tabn`,`fio`, `f`, `i`, `o`, `dolz`, `dr`) VALUES ('000000497 ','Гулак Станислав Сергеевич','Гулак','Станислав','Сергеевич','слесарь механосборочных работ 4р','1995-11-28');</t>
  </si>
  <si>
    <t>INSERT INTO `workers` ( `tabn`,`fio`, `f`, `i`, `o`, `dolz`, `dr`) VALUES ('000000498 ','Денисова Светлана Анатольевна  (совм.)','Денисова','Светлана','Анатольевна','Уборщик производственных и служебных помещений','1968-09-02');</t>
  </si>
  <si>
    <t>INSERT INTO `workers` ( `tabn`,`fio`, `f`, `i`, `o`, `dolz`, `dr`) VALUES ('000000098 ','Жинкин Андрей Игоревич','Жинкин','Андрей','Игоревич','инженер-программист','1955-10-30');</t>
  </si>
  <si>
    <t>INSERT INTO `workers` ( `tabn`,`fio`, `f`, `i`, `o`, `dolz`, `dr`) VALUES ('000000432 ','Замалутдинов Ильдар Рашитович','Замалутдинов','Ильдар','Рашитович','начальник группы','1979-01-17');</t>
  </si>
  <si>
    <t>INSERT INTO `workers` ( `tabn`,`fio`, `f`, `i`, `o`, `dolz`, `dr`) VALUES ('000000438 ','Иванов Александр Викторович','Иванов','Александр','Викторович','инженер-технолог','1983-07-26');</t>
  </si>
  <si>
    <t>INSERT INTO `workers` ( `tabn`,`fio`, `f`, `i`, `o`, `dolz`, `dr`) VALUES ('000000457 ','Иванова Ольга Дмитриевна','Иванова','Ольга','Дмитриевна','Изготовитель трафаретов шкал и плат 3р','1960-08-16');</t>
  </si>
  <si>
    <t>INSERT INTO `workers` ( `tabn`,`fio`, `f`, `i`, `o`, `dolz`, `dr`) VALUES ('000000369 ','Ильина Ольга Сергеевна (совм.)','Ильина','Ольга','Сергеевна','Секретарь руководителя','1975-02-10');</t>
  </si>
  <si>
    <t>INSERT INTO `workers` ( `tabn`,`fio`, `f`, `i`, `o`, `dolz`, `dr`) VALUES ('000000410 ','Калядина Людмила Александровна  (совм.)','Калядина','Людмила','Александровна','Изготовитель трафаретов шкал и плат 2р','1973-08-04');</t>
  </si>
  <si>
    <t>INSERT INTO `workers` ( `tabn`,`fio`, `f`, `i`, `o`, `dolz`, `dr`) VALUES ('000000476 ','Касаткина Вера Александровна  (совм.)','Касаткина','Вера','Александровна','укладчик деталей и изделий 2 разряда','1954-03-15');</t>
  </si>
  <si>
    <t>INSERT INTO `workers` ( `tabn`,`fio`, `f`, `i`, `o`, `dolz`, `dr`) VALUES ('000000370 ','Китуничев Дмитрий Сергеевич','Китуничев','Дмитрий','Сергеевич','Заместитель Генерального директора по общим вопросам','1970-04-07');</t>
  </si>
  <si>
    <t>INSERT INTO `workers` ( `tabn`,`fio`, `f`, `i`, `o`, `dolz`, `dr`) VALUES ('000000492 ','Кондряков Вячеслав Георгиевич (совм.)','Кондряков','Вячеслав','Георгиевич','специалист по охране труда ','1948-01-25');</t>
  </si>
  <si>
    <t>INSERT INTO `workers` ( `tabn`,`fio`, `f`, `i`, `o`, `dolz`, `dr`) VALUES ('000000475 ','Коптюх Глеб Васильевич','Коптюх','Глеб','Васильевич','Изготовитель трафаретов шкал и плат 3р','1989-09-01');</t>
  </si>
  <si>
    <t>INSERT INTO `workers` ( `tabn`,`fio`, `f`, `i`, `o`, `dolz`, `dr`) VALUES ('000000499 ','Красулина Юлия Валерьевна','Красулина','Юлия','Валерьевна','измеритель электрофизических параметров 2р','1990-01-09');</t>
  </si>
  <si>
    <t>INSERT INTO `workers` ( `tabn`,`fio`, `f`, `i`, `o`, `dolz`, `dr`) VALUES ('000000444 ','Кривова Любовь Григорьевна  (совм.)','Кривова','Любовь','Григорьевна','Изготовитель трафаретов шкал и плат 4р','1960-10-26');</t>
  </si>
  <si>
    <t>INSERT INTO `workers` ( `tabn`,`fio`, `f`, `i`, `o`, `dolz`, `dr`) VALUES ('000000479 ','Кузнецов Денис Игоревич','Кузнецов','Денис','Игоревич','Слесарь-электромеханик 4р.','1987-07-11');</t>
  </si>
  <si>
    <t>INSERT INTO `workers` ( `tabn`,`fio`, `f`, `i`, `o`, `dolz`, `dr`) VALUES ('000000489 ','Кузнецова Мария Александровна (совм.)','Кузнецова','Мария','Александровна','инженер по охране окружающей среды (эколог)','1986-07-22');</t>
  </si>
  <si>
    <t>INSERT INTO `workers` ( `tabn`,`fio`, `f`, `i`, `o`, `dolz`, `dr`) VALUES ('000000462 ','Кукушкина Галина Владимировна  (совм.)','Кукушкина','Галина','Владимировна','Изготовитель трафаретов шкал и плат 3р','1967-01-16');</t>
  </si>
  <si>
    <t>INSERT INTO `workers` ( `tabn`,`fio`, `f`, `i`, `o`, `dolz`, `dr`) VALUES ('000000168 ','Куренков Леонид Евгеньевич','Куренков','Леонид','Евгеньевич','инженер-наладчик КИП и автоматики','1960-11-09');</t>
  </si>
  <si>
    <t>INSERT INTO `workers` ( `tabn`,`fio`, `f`, `i`, `o`, `dolz`, `dr`) VALUES ('000000426 ','Куренкова Татьяна Геннадьевна','Куренкова','Татьяна','Геннадьевна','Изготовитель трафаретов шкал и плат 3р','1960-09-25');</t>
  </si>
  <si>
    <t>INSERT INTO `workers` ( `tabn`,`fio`, `f`, `i`, `o`, `dolz`, `dr`) VALUES ('000000272 ','Курочкина Марина Александровна','Курочкина','Марина','Александровна','Изготовитель трафаретов шкал и плат 3р','1959-01-16');</t>
  </si>
  <si>
    <t>INSERT INTO `workers` ( `tabn`,`fio`, `f`, `i`, `o`, `dolz`, `dr`) VALUES ('000000484 ','Кучерявый Олег Анатольевич  (совм.)','Кучерявый','Олег','Анатольевич','Помощник Генерального директора  по режиму','1956-04-08');</t>
  </si>
  <si>
    <t>INSERT INTO `workers` ( `tabn`,`fio`, `f`, `i`, `o`, `dolz`, `dr`) VALUES ('000000137 ','Левитская Надежда Петровна','Левитская','Надежда','Петровна','инженер-технолог-аналитик','1947-05-07');</t>
  </si>
  <si>
    <t>INSERT INTO `workers` ( `tabn`,`fio`, `f`, `i`, `o`, `dolz`, `dr`) VALUES ('000000407 ','Легоньков Владимир Адольфович  (совм.)','Легоньков','Владимир','Адольфович','слесарь механосборочных работ 4р','1957-06-29');</t>
  </si>
  <si>
    <t>INSERT INTO `workers` ( `tabn`,`fio`, `f`, `i`, `o`, `dolz`, `dr`) VALUES ('000000421 ','Литвинова Юлия Евгеньевна','Литвинова','Юлия','Евгеньевна','Изготовитель трафаретов шкал и плат 4р','1968-06-18');</t>
  </si>
  <si>
    <t>INSERT INTO `workers` ( `tabn`,`fio`, `f`, `i`, `o`, `dolz`, `dr`) VALUES ('459','Лочмелис Дарья Александровна','Лочмелис','Дарья','Александровна','Бухгалтер','1993-12-22');</t>
  </si>
  <si>
    <t>INSERT INTO `workers` ( `tabn`,`fio`, `f`, `i`, `o`, `dolz`, `dr`) VALUES ('000000269 ','Макаров Борис Константинович (совм.)','Макаров','Борис','Константинович','менеджер по качеству','1948-02-26');</t>
  </si>
  <si>
    <t>INSERT INTO `workers` ( `tabn`,`fio`, `f`, `i`, `o`, `dolz`, `dr`) VALUES ('000000322 ','Макарова Татьяна Леонидовна  (совм.)','Макарова','Татьяна','Леонидовна','Заместитель начальника производства','1976-04-13');</t>
  </si>
  <si>
    <t>INSERT INTO `workers` ( `tabn`,`fio`, `f`, `i`, `o`, `dolz`, `dr`) VALUES ('000000386 ','Макина Юлия Сергеевна','Макина','Юлия','Сергеевна','контролер ОТК 3раз.','1985-11-27');</t>
  </si>
  <si>
    <t>INSERT INTO `workers` ( `tabn`,`fio`, `f`, `i`, `o`, `dolz`, `dr`) VALUES ('000000303 ','Марченко Владимир Викторович (совм.)','Марченко','Владимир','Викторович','Менеджер по персоналу','1956-03-16');</t>
  </si>
  <si>
    <t>INSERT INTO `workers` ( `tabn`,`fio`, `f`, `i`, `o`, `dolz`, `dr`) VALUES ('000000467 ','Мракова Любовь Васильевна','Мракова','Любовь','Васильевна','Изготовитель трафаретов шкал и плат 2р','1968-08-10');</t>
  </si>
  <si>
    <t>INSERT INTO `workers` ( `tabn`,`fio`, `f`, `i`, `o`, `dolz`, `dr`) VALUES ('1','Николайчук Иван Иванович (совм.)','Николайчук','Иван','Иванович','Генеральный директор','1946-10-07');</t>
  </si>
  <si>
    <t>INSERT INTO `workers` ( `tabn`,`fio`, `f`, `i`, `o`, `dolz`, `dr`) VALUES ('000000451 ','Осипова Наталья Михайловна','Осипова','Наталья','Михайловна','Изготовитель трафаретов шкал и плат 3р','1967-03-19');</t>
  </si>
  <si>
    <t>INSERT INTO `workers` ( `tabn`,`fio`, `f`, `i`, `o`, `dolz`, `dr`) VALUES ('000000438 ','Осоченко Евгения Юрьевна','Осоченко','Евгения','Юрьевна','Изготовитель трафаретов шкал и плат 3р','1966-08-13');</t>
  </si>
  <si>
    <t>INSERT INTO `workers` ( `tabn`,`fio`, `f`, `i`, `o`, `dolz`, `dr`) VALUES ('000000490 ','Палотай Ирина Ильинична','Палотай','Ирина','Ильинична','Изготовитель трафаретов шкал и плат 3р','1966-04-07');</t>
  </si>
  <si>
    <t>INSERT INTO `workers` ( `tabn`,`fio`, `f`, `i`, `o`, `dolz`, `dr`) VALUES ('000000171 ','Полушкин Владимир Юрьевич','Полушкин','Владимир','Юрьевич','фотограф 5 разряда','1965-12-20');</t>
  </si>
  <si>
    <t>INSERT INTO `workers` ( `tabn`,`fio`, `f`, `i`, `o`, `dolz`, `dr`) VALUES ('000000374 ','Попов Сергей Олегович','Попов','Сергей','Олегович','слесарь механосборочных работ 5р','1967-07-07');</t>
  </si>
  <si>
    <t>INSERT INTO `workers` ( `tabn`,`fio`, `f`, `i`, `o`, `dolz`, `dr`) VALUES ('57','Попова Римма Владимировна','Попова','Римма','Владимировна','Главный бухгалтер','1964-06-14');</t>
  </si>
  <si>
    <t>INSERT INTO `workers` ( `tabn`,`fio`, `f`, `i`, `o`, `dolz`, `dr`) VALUES ('000000406 ','Прокофьева Светлана Владимировна  (совм.)','Прокофьева','Светлана','Владимировна','Изготовитель трафаретов шкал и плат 2р','1961-05-23');</t>
  </si>
  <si>
    <t>INSERT INTO `workers` ( `tabn`,`fio`, `f`, `i`, `o`, `dolz`, `dr`) VALUES ('000000304 ','Ржанова Марина Викторовна  (совм.)','Ржанова','Марина','Викторовна','Делопроизводитель','1961-03-14');</t>
  </si>
  <si>
    <t>INSERT INTO `workers` ( `tabn`,`fio`, `f`, `i`, `o`, `dolz`, `dr`) VALUES ('000000252 ','Романова Валентина Анатольевна  (совм.)','Романова','Валентина','Анатольевна','Кладовщик','1955-03-28');</t>
  </si>
  <si>
    <t>INSERT INTO `workers` ( `tabn`,`fio`, `f`, `i`, `o`, `dolz`, `dr`) VALUES ('000000368 ','Рытова Ольга Алексеевна','Рытова','Ольга','Алексеевна','Инженер-конструктор 1 категории','1951-05-10');</t>
  </si>
  <si>
    <t>INSERT INTO `workers` ( `tabn`,`fio`, `f`, `i`, `o`, `dolz`, `dr`) VALUES ('000000491 ','Самойлова Алена Валерьевна','Самойлова','Алена','Валерьевна','Изготовитель трафаретов шкал и плат 3р','1987-07-05');</t>
  </si>
  <si>
    <t>INSERT INTO `workers` ( `tabn`,`fio`, `f`, `i`, `o`, `dolz`, `dr`) VALUES ('000000413 ','Семенихин Алексей Олегович','Семенихин','Алексей','Олегович','слесарь-ремонтник 4 р.','1976-09-27');</t>
  </si>
  <si>
    <t>INSERT INTO `workers` ( `tabn`,`fio`, `f`, `i`, `o`, `dolz`, `dr`) VALUES ('000000485 ','Семенихин Антон Олегович','Семенихин','Антон','Олегович','слесарь-ремонтник 4 р.','1987-03-16');</t>
  </si>
  <si>
    <t>INSERT INTO `workers` ( `tabn`,`fio`, `f`, `i`, `o`, `dolz`, `dr`) VALUES ('000000398 ','Сисина Людмила Алексеевна','Сисина','Людмила','Алексеевна','Изготовитель трафаретов шкал и плат 3р','1960-05-22');</t>
  </si>
  <si>
    <t>INSERT INTO `workers` ( `tabn`,`fio`, `f`, `i`, `o`, `dolz`, `dr`) VALUES ('000000008 ','Смирнов Виктор Анатольевич','Смирнов','Виктор','Анатольевич','Ведущий конструктор','1964-06-21');</t>
  </si>
  <si>
    <t>INSERT INTO `workers` ( `tabn`,`fio`, `f`, `i`, `o`, `dolz`, `dr`) VALUES ('000000488 ','Смирнова Мария Викторовна','Смирнова','Мария','Викторовна','Оператор ЭВМ','1997-04-19');</t>
  </si>
  <si>
    <t>INSERT INTO `workers` ( `tabn`,`fio`, `f`, `i`, `o`, `dolz`, `dr`) VALUES ('000000253 ','Соковнин Сергей Анатольевич  (совм.)','Соковнин','Сергей','Анатольевич','сверловщик 5 разр.','1957-05-03');</t>
  </si>
  <si>
    <t>INSERT INTO `workers` ( `tabn`,`fio`, `f`, `i`, `o`, `dolz`, `dr`) VALUES ('000000443 ','Соколов Сергей Борисович (совм.)','Соколов','Сергей','Борисович','наладчик технологического оборудования 6р','1965-11-27');</t>
  </si>
  <si>
    <t>INSERT INTO `workers` ( `tabn`,`fio`, `f`, `i`, `o`, `dolz`, `dr`) VALUES ('000000012 ','Соколова Валентина Михайловна','Соколова','Валентина','Михайловна','Заместитель Генерального директора по качеству','1947-07-01');</t>
  </si>
  <si>
    <t>INSERT INTO `workers` ( `tabn`,`fio`, `f`, `i`, `o`, `dolz`, `dr`) VALUES ('000000433 ','Сорокина Ярослава Валерьевна','Сорокина','Ярослава','Валерьевна','Изготовитель трафаретов шкал и плат 3р','1970-08-06');</t>
  </si>
  <si>
    <t>INSERT INTO `workers` ( `tabn`,`fio`, `f`, `i`, `o`, `dolz`, `dr`) VALUES ('000000244 ','Табакова Татьяна Николаевна  (совм.)','Табакова','Татьяна','Николаевна','Изготовитель трафаретов шкал и плат 3р','1952-01-07');</t>
  </si>
  <si>
    <t>INSERT INTO `workers` ( `tabn`,`fio`, `f`, `i`, `o`, `dolz`, `dr`) VALUES ('000000044 ','Тимофеев Владимир Вениаминович','Тимофеев','Владимир','Вениаминович','Слесарь-наладчик 6р.','1950-09-28');</t>
  </si>
  <si>
    <t>INSERT INTO `workers` ( `tabn`,`fio`, `f`, `i`, `o`, `dolz`, `dr`) VALUES ('000000248 ','Трудолюбова Раиса Анатольевна  (совм.)','Трудолюбова','Раиса','Анатольевна','Изготовитель трафаретов шкал и плат 3р','1961-03-03');</t>
  </si>
  <si>
    <t>INSERT INTO `workers` ( `tabn`,`fio`, `f`, `i`, `o`, `dolz`, `dr`) VALUES ('000000136 ','Угдыжекова Илона Викторовна','Угдыжекова','Илона','Викторовна','инженер-технолог-аналитик 1категории','1966-05-17');</t>
  </si>
  <si>
    <t>INSERT INTO `workers` ( `tabn`,`fio`, `f`, `i`, `o`, `dolz`, `dr`) VALUES ('000000231 ','Федоров Игорь Юрьевич','Федоров','Игорь','Юрьевич','инженер-программист','1974-08-14');</t>
  </si>
  <si>
    <t>INSERT INTO `workers` ( `tabn`,`fio`, `f`, `i`, `o`, `dolz`, `dr`) VALUES ('000000390 ','Фисенко Тамара Васильевна','Фисенко','Тамара','Васильевна','Изготовитель трафаретов шкал и плат 4р','1953-03-16');</t>
  </si>
  <si>
    <t>INSERT INTO `workers` ( `tabn`,`fio`, `f`, `i`, `o`, `dolz`, `dr`) VALUES ('000000403 ','Чумакова Елена Александровна  (совм.)','Чумакова','Елена','Александровна','Изготовитель трафаретов шкал и плат 3р','1961-10-17');</t>
  </si>
  <si>
    <t>INSERT INTO `workers` ( `tabn`,`fio`, `f`, `i`, `o`, `dolz`, `dr`) VALUES ('000000372 ','Шевченко Алла Марковна','Шевченко','Алла','Марковна','Изготовитель трафаретов шкал и плат 3р','1964-01-24');</t>
  </si>
  <si>
    <t>INSERT INTO `workers` ( `tabn`,`fio`, `f`, `i`, `o`, `dolz`, `dr`) VALUES ('000000297 ','Юрочкина Людмила Хаметовна  (совм.)','Юрочкина','Людмила','Хаметовна','техник-технолог','1954-09-06');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</si>
</sst>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000000"/>
  </numFmts>
  <fonts count="2" x14ac:knownFonts="1">
    <font>
      <sz val="11"/>
      <color theme="1"/>
      <name val="Calibri"/>
      <family val="2"/>
      <charset val="204"/>
      <scheme val="minor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1" fillId="0" borderId="1" xfId="1" applyNumberFormat="1" applyFont="1" applyBorder="1" applyAlignment="1">
      <alignment horizontal="left" vertical="top"/>
    </xf>
    <xf numFmtId="0" fontId="0" fillId="0" borderId="0" xfId="0" applyAlignment="1"/>
    <xf numFmtId="164" fontId="1" fillId="0" borderId="1" xfId="1" applyNumberFormat="1" applyFont="1" applyBorder="1" applyAlignment="1">
      <alignment horizontal="left" vertical="top"/>
    </xf>
    <xf numFmtId="49" fontId="1" fillId="0" borderId="1" xfId="1" applyNumberFormat="1" applyFont="1" applyBorder="1" applyAlignment="1">
      <alignment horizontal="left" vertical="top"/>
    </xf>
    <xf numFmtId="49" fontId="0" fillId="0" borderId="0" xfId="0" applyNumberFormat="1" applyAlignment="1"/>
  </cellXfs>
  <cellStyles count="2">
    <cellStyle name="Обычный" xfId="0" builtinId="0"/>
    <cellStyle name="Обычный_Лист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77"/>
  <sheetViews>
    <sheetView tabSelected="1" topLeftCell="B1" workbookViewId="0">
      <selection activeCell="N1" sqref="N1:N77"/>
    </sheetView>
  </sheetViews>
  <sheetFormatPr defaultColWidth="49.28515625" defaultRowHeight="15" x14ac:dyDescent="0.25"/>
  <cols>
    <col min="1" max="1" width="36" style="2" bestFit="1" customWidth="1"/>
    <col min="2" max="2" width="11.85546875" style="2" bestFit="1" customWidth="1"/>
    <col min="3" max="3" width="9" style="2" bestFit="1" customWidth="1"/>
    <col min="4" max="4" width="13.42578125" style="2" bestFit="1" customWidth="1"/>
    <col min="5" max="5" width="6.42578125" style="2" bestFit="1" customWidth="1"/>
    <col min="6" max="6" width="9.5703125" style="2" bestFit="1" customWidth="1"/>
    <col min="7" max="7" width="45.5703125" style="2" bestFit="1" customWidth="1"/>
    <col min="8" max="8" width="8.7109375" style="2" bestFit="1" customWidth="1"/>
    <col min="9" max="9" width="2.7109375" style="2" bestFit="1" customWidth="1"/>
    <col min="10" max="10" width="3" style="2" bestFit="1" customWidth="1"/>
    <col min="11" max="11" width="5" style="2" bestFit="1" customWidth="1"/>
    <col min="12" max="12" width="10.42578125" style="2" bestFit="1" customWidth="1"/>
    <col min="13" max="13" width="77" style="2" customWidth="1"/>
    <col min="14" max="16384" width="49.28515625" style="2"/>
  </cols>
  <sheetData>
    <row r="1" spans="1:14" x14ac:dyDescent="0.25">
      <c r="A1" s="1" t="s">
        <v>0</v>
      </c>
      <c r="B1" s="4" t="s">
        <v>272</v>
      </c>
      <c r="C1" s="4" t="s">
        <v>273</v>
      </c>
      <c r="D1" s="4" t="s">
        <v>274</v>
      </c>
      <c r="E1" s="4" t="s">
        <v>275</v>
      </c>
      <c r="F1" s="1" t="s">
        <v>1</v>
      </c>
      <c r="G1" s="1" t="s">
        <v>2</v>
      </c>
      <c r="H1" s="1" t="s">
        <v>3</v>
      </c>
      <c r="I1" s="4" t="s">
        <v>437</v>
      </c>
      <c r="J1" s="5" t="s">
        <v>438</v>
      </c>
      <c r="K1" s="5" t="s">
        <v>439</v>
      </c>
      <c r="L1" s="2" t="str">
        <f>K1&amp;"-"&amp;TEXT(J1,"00")&amp;"-"&amp;TEXT(I1,"00")</f>
        <v>1959-08-23</v>
      </c>
      <c r="M1" s="2" t="str">
        <f>"INSERT INTO `workers` ( `tabn`,`fio`, `f`, `i`, `o`, `dolz`, `dr`) VALUES ('"&amp;F1&amp;"','"&amp;A1&amp;"','"&amp;B1&amp;"','"&amp;C1&amp;"','"&amp;D1&amp;"','"&amp;G1&amp;"','"&amp;L1&amp;"');"</f>
        <v>INSERT INTO `workers` ( `tabn`,`fio`, `f`, `i`, `o`, `dolz`, `dr`) VALUES ('000000300 ','Абрамова Ольга Геннадьевна  (совм.)','Абрамова','Ольга','Геннадьевна','Контролер ОТК 4раз.','1959-08-23');</v>
      </c>
      <c r="N1" s="2" t="s">
        <v>509</v>
      </c>
    </row>
    <row r="2" spans="1:14" x14ac:dyDescent="0.25">
      <c r="A2" s="1" t="s">
        <v>4</v>
      </c>
      <c r="B2" s="4" t="s">
        <v>276</v>
      </c>
      <c r="C2" s="4" t="s">
        <v>277</v>
      </c>
      <c r="D2" s="4" t="s">
        <v>278</v>
      </c>
      <c r="E2" s="1"/>
      <c r="F2" s="1" t="s">
        <v>5</v>
      </c>
      <c r="G2" s="1" t="s">
        <v>6</v>
      </c>
      <c r="H2" s="1" t="s">
        <v>7</v>
      </c>
      <c r="I2" s="4" t="s">
        <v>440</v>
      </c>
      <c r="J2" s="5" t="s">
        <v>441</v>
      </c>
      <c r="K2" s="5" t="s">
        <v>442</v>
      </c>
      <c r="L2" s="2" t="str">
        <f t="shared" ref="L2:L65" si="0">K2&amp;"-"&amp;TEXT(J2,"00")&amp;"-"&amp;TEXT(I2,"00")</f>
        <v>1981-09-13</v>
      </c>
      <c r="M2" s="2" t="str">
        <f t="shared" ref="M2:M65" si="1">"INSERT INTO `workers` ( `tabn`,`fio`, `f`, `i`, `o`, `dolz`, `dr`) VALUES ('"&amp;F2&amp;"','"&amp;A2&amp;"','"&amp;B2&amp;"','"&amp;C2&amp;"','"&amp;D2&amp;"','"&amp;G2&amp;"','"&amp;L2&amp;"');"</f>
        <v>INSERT INTO `workers` ( `tabn`,`fio`, `f`, `i`, `o`, `dolz`, `dr`) VALUES ('000000471 ','Агеенко Арина Владимировна','Агеенко','Арина','Владимировна','Изготовитель трафаретов шкал и плат 2р','1981-09-13');</v>
      </c>
      <c r="N2" s="2" t="s">
        <v>510</v>
      </c>
    </row>
    <row r="3" spans="1:14" x14ac:dyDescent="0.25">
      <c r="A3" s="1" t="s">
        <v>8</v>
      </c>
      <c r="B3" s="4" t="s">
        <v>279</v>
      </c>
      <c r="C3" s="4" t="s">
        <v>280</v>
      </c>
      <c r="D3" s="4" t="s">
        <v>281</v>
      </c>
      <c r="E3" s="4" t="s">
        <v>275</v>
      </c>
      <c r="F3" s="1" t="s">
        <v>9</v>
      </c>
      <c r="G3" s="1" t="s">
        <v>10</v>
      </c>
      <c r="H3" s="1" t="s">
        <v>11</v>
      </c>
      <c r="I3" s="4" t="s">
        <v>443</v>
      </c>
      <c r="J3" s="5" t="s">
        <v>444</v>
      </c>
      <c r="K3" s="5" t="s">
        <v>445</v>
      </c>
      <c r="L3" s="2" t="str">
        <f t="shared" si="0"/>
        <v>1982-01-02</v>
      </c>
      <c r="M3" s="2" t="str">
        <f t="shared" si="1"/>
        <v>INSERT INTO `workers` ( `tabn`,`fio`, `f`, `i`, `o`, `dolz`, `dr`) VALUES ('000000493 ','Афонин Михаил Владимирович  (совм.)','Афонин','Михаил','Владимирович','Инженер','1982-01-02');</v>
      </c>
      <c r="N3" s="2" t="s">
        <v>511</v>
      </c>
    </row>
    <row r="4" spans="1:14" x14ac:dyDescent="0.25">
      <c r="A4" s="1" t="s">
        <v>12</v>
      </c>
      <c r="B4" s="4" t="s">
        <v>282</v>
      </c>
      <c r="C4" s="4" t="s">
        <v>283</v>
      </c>
      <c r="D4" s="4" t="s">
        <v>284</v>
      </c>
      <c r="E4" s="4" t="s">
        <v>275</v>
      </c>
      <c r="F4" s="1" t="s">
        <v>13</v>
      </c>
      <c r="G4" s="1" t="s">
        <v>10</v>
      </c>
      <c r="H4" s="1" t="s">
        <v>14</v>
      </c>
      <c r="I4" s="4" t="s">
        <v>446</v>
      </c>
      <c r="J4" s="5" t="s">
        <v>446</v>
      </c>
      <c r="K4" s="5" t="s">
        <v>447</v>
      </c>
      <c r="L4" s="2" t="str">
        <f t="shared" si="0"/>
        <v>1949-03-03</v>
      </c>
      <c r="M4" s="2" t="str">
        <f t="shared" si="1"/>
        <v>INSERT INTO `workers` ( `tabn`,`fio`, `f`, `i`, `o`, `dolz`, `dr`) VALUES ('000000349 ','Балуков Андрей Николаевич (совм.)','Балуков','Андрей','Николаевич','Инженер','1949-03-03');</v>
      </c>
      <c r="N4" s="2" t="s">
        <v>512</v>
      </c>
    </row>
    <row r="5" spans="1:14" x14ac:dyDescent="0.25">
      <c r="A5" s="1" t="s">
        <v>15</v>
      </c>
      <c r="B5" s="4" t="s">
        <v>285</v>
      </c>
      <c r="C5" s="4" t="s">
        <v>286</v>
      </c>
      <c r="D5" s="4" t="s">
        <v>278</v>
      </c>
      <c r="E5" s="1"/>
      <c r="F5" s="1" t="s">
        <v>16</v>
      </c>
      <c r="G5" s="1" t="s">
        <v>17</v>
      </c>
      <c r="H5" s="1" t="s">
        <v>18</v>
      </c>
      <c r="I5" s="4" t="s">
        <v>448</v>
      </c>
      <c r="J5" s="5" t="s">
        <v>438</v>
      </c>
      <c r="K5" s="5" t="s">
        <v>449</v>
      </c>
      <c r="L5" s="2" t="str">
        <f t="shared" si="0"/>
        <v>1973-08-24</v>
      </c>
      <c r="M5" s="2" t="str">
        <f t="shared" si="1"/>
        <v>INSERT INTO `workers` ( `tabn`,`fio`, `f`, `i`, `o`, `dolz`, `dr`) VALUES ('000000370 ','Батова Жанна Владимировна','Батова','Жанна','Владимировна','Изготовитель трафаретов шкал и плат 3р','1973-08-24');</v>
      </c>
      <c r="N5" s="2" t="s">
        <v>513</v>
      </c>
    </row>
    <row r="6" spans="1:14" x14ac:dyDescent="0.25">
      <c r="A6" s="1" t="s">
        <v>19</v>
      </c>
      <c r="B6" s="4" t="s">
        <v>287</v>
      </c>
      <c r="C6" s="4" t="s">
        <v>288</v>
      </c>
      <c r="D6" s="4" t="s">
        <v>289</v>
      </c>
      <c r="E6" s="1"/>
      <c r="F6" s="1" t="s">
        <v>20</v>
      </c>
      <c r="G6" s="1" t="s">
        <v>17</v>
      </c>
      <c r="H6" s="1" t="s">
        <v>21</v>
      </c>
      <c r="I6" s="4" t="s">
        <v>450</v>
      </c>
      <c r="J6" s="5" t="s">
        <v>451</v>
      </c>
      <c r="K6" s="5" t="s">
        <v>452</v>
      </c>
      <c r="L6" s="2" t="str">
        <f t="shared" si="0"/>
        <v>1962-06-05</v>
      </c>
      <c r="M6" s="2" t="str">
        <f t="shared" si="1"/>
        <v>INSERT INTO `workers` ( `tabn`,`fio`, `f`, `i`, `o`, `dolz`, `dr`) VALUES ('000000263 ','Боровикова Татьяна Дмитриевна','Боровикова','Татьяна','Дмитриевна','Изготовитель трафаретов шкал и плат 3р','1962-06-05');</v>
      </c>
      <c r="N6" s="2" t="s">
        <v>514</v>
      </c>
    </row>
    <row r="7" spans="1:14" x14ac:dyDescent="0.25">
      <c r="A7" s="1" t="s">
        <v>22</v>
      </c>
      <c r="B7" s="4" t="s">
        <v>290</v>
      </c>
      <c r="C7" s="4" t="s">
        <v>291</v>
      </c>
      <c r="D7" s="4" t="s">
        <v>292</v>
      </c>
      <c r="E7" s="1"/>
      <c r="F7" s="1" t="s">
        <v>23</v>
      </c>
      <c r="G7" s="1" t="s">
        <v>24</v>
      </c>
      <c r="H7" s="1" t="s">
        <v>25</v>
      </c>
      <c r="I7" s="4" t="s">
        <v>453</v>
      </c>
      <c r="J7" s="5" t="s">
        <v>441</v>
      </c>
      <c r="K7" s="5" t="s">
        <v>454</v>
      </c>
      <c r="L7" s="2" t="str">
        <f t="shared" si="0"/>
        <v>1989-09-27</v>
      </c>
      <c r="M7" s="2" t="str">
        <f t="shared" si="1"/>
        <v>INSERT INTO `workers` ( `tabn`,`fio`, `f`, `i`, `o`, `dolz`, `dr`) VALUES ('000000483 ','Бражников Егор Денисович','Бражников','Егор','Денисович','Инженер-технолог 2 категории','1989-09-27');</v>
      </c>
      <c r="N7" s="2" t="s">
        <v>515</v>
      </c>
    </row>
    <row r="8" spans="1:14" x14ac:dyDescent="0.25">
      <c r="A8" s="1" t="s">
        <v>26</v>
      </c>
      <c r="B8" s="4" t="s">
        <v>293</v>
      </c>
      <c r="C8" s="4" t="s">
        <v>294</v>
      </c>
      <c r="D8" s="4" t="s">
        <v>295</v>
      </c>
      <c r="E8" s="1"/>
      <c r="F8" s="1" t="s">
        <v>27</v>
      </c>
      <c r="G8" s="1" t="s">
        <v>28</v>
      </c>
      <c r="H8" s="1" t="s">
        <v>29</v>
      </c>
      <c r="I8" s="4" t="s">
        <v>455</v>
      </c>
      <c r="J8" s="5" t="s">
        <v>451</v>
      </c>
      <c r="K8" s="5" t="s">
        <v>445</v>
      </c>
      <c r="L8" s="2" t="str">
        <f t="shared" si="0"/>
        <v>1982-06-12</v>
      </c>
      <c r="M8" s="2" t="str">
        <f t="shared" si="1"/>
        <v>INSERT INTO `workers` ( `tabn`,`fio`, `f`, `i`, `o`, `dolz`, `dr`) VALUES ('000000364 ','Васильев Станислав Борисович','Васильев','Станислав','Борисович','Оператор станков с прогр. управлением 4р','1982-06-12');</v>
      </c>
      <c r="N8" s="2" t="s">
        <v>516</v>
      </c>
    </row>
    <row r="9" spans="1:14" x14ac:dyDescent="0.25">
      <c r="A9" s="1" t="s">
        <v>30</v>
      </c>
      <c r="B9" s="4" t="s">
        <v>296</v>
      </c>
      <c r="C9" s="4" t="s">
        <v>297</v>
      </c>
      <c r="D9" s="4" t="s">
        <v>298</v>
      </c>
      <c r="E9" s="1"/>
      <c r="F9" s="1" t="s">
        <v>31</v>
      </c>
      <c r="G9" s="1" t="s">
        <v>32</v>
      </c>
      <c r="H9" s="1" t="s">
        <v>33</v>
      </c>
      <c r="I9" s="4" t="s">
        <v>456</v>
      </c>
      <c r="J9" s="5" t="s">
        <v>457</v>
      </c>
      <c r="K9" s="5" t="s">
        <v>458</v>
      </c>
      <c r="L9" s="2" t="str">
        <f t="shared" si="0"/>
        <v>1984-07-28</v>
      </c>
      <c r="M9" s="2" t="str">
        <f t="shared" si="1"/>
        <v>INSERT INTO `workers` ( `tabn`,`fio`, `f`, `i`, `o`, `dolz`, `dr`) VALUES ('000000431 ','Величко Нина Ивановна','Величко','Нина','Ивановна','Инженер-технолог 1 категории','1984-07-28');</v>
      </c>
      <c r="N9" s="2" t="s">
        <v>517</v>
      </c>
    </row>
    <row r="10" spans="1:14" x14ac:dyDescent="0.25">
      <c r="A10" s="1" t="s">
        <v>34</v>
      </c>
      <c r="B10" s="4" t="s">
        <v>299</v>
      </c>
      <c r="C10" s="4" t="s">
        <v>300</v>
      </c>
      <c r="D10" s="4" t="s">
        <v>301</v>
      </c>
      <c r="E10" s="1"/>
      <c r="F10" s="1" t="s">
        <v>35</v>
      </c>
      <c r="G10" s="1" t="s">
        <v>6</v>
      </c>
      <c r="H10" s="1" t="s">
        <v>36</v>
      </c>
      <c r="I10" s="4" t="s">
        <v>459</v>
      </c>
      <c r="J10" s="5" t="s">
        <v>438</v>
      </c>
      <c r="K10" s="5" t="s">
        <v>460</v>
      </c>
      <c r="L10" s="2" t="str">
        <f t="shared" si="0"/>
        <v>1996-08-29</v>
      </c>
      <c r="M10" s="2" t="str">
        <f t="shared" si="1"/>
        <v>INSERT INTO `workers` ( `tabn`,`fio`, `f`, `i`, `o`, `dolz`, `dr`) VALUES ('000000481 ','Владимирова Виктория Александровна','Владимирова','Виктория','Александровна','Изготовитель трафаретов шкал и плат 2р','1996-08-29');</v>
      </c>
      <c r="N10" s="2" t="s">
        <v>518</v>
      </c>
    </row>
    <row r="11" spans="1:14" x14ac:dyDescent="0.25">
      <c r="A11" s="1" t="s">
        <v>37</v>
      </c>
      <c r="B11" s="4" t="s">
        <v>299</v>
      </c>
      <c r="C11" s="4" t="s">
        <v>302</v>
      </c>
      <c r="D11" s="4" t="s">
        <v>278</v>
      </c>
      <c r="E11" s="4" t="s">
        <v>275</v>
      </c>
      <c r="F11" s="1" t="s">
        <v>38</v>
      </c>
      <c r="G11" s="1" t="s">
        <v>39</v>
      </c>
      <c r="H11" s="1" t="s">
        <v>40</v>
      </c>
      <c r="I11" s="4" t="s">
        <v>441</v>
      </c>
      <c r="J11" s="5" t="s">
        <v>461</v>
      </c>
      <c r="K11" s="5" t="s">
        <v>462</v>
      </c>
      <c r="L11" s="2" t="str">
        <f t="shared" si="0"/>
        <v>1969-11-09</v>
      </c>
      <c r="M11" s="2" t="str">
        <f t="shared" si="1"/>
        <v>INSERT INTO `workers` ( `tabn`,`fio`, `f`, `i`, `o`, `dolz`, `dr`) VALUES ('000000366 ','Владимирова Неонэла Владимировна  (совм.)','Владимирова','Неонэла','Владимировна','Монтажник радиоэлектронной аппаратуры и приборов 3р.','1969-11-09');</v>
      </c>
      <c r="N11" s="2" t="s">
        <v>519</v>
      </c>
    </row>
    <row r="12" spans="1:14" x14ac:dyDescent="0.25">
      <c r="A12" s="1" t="s">
        <v>41</v>
      </c>
      <c r="B12" s="4" t="s">
        <v>303</v>
      </c>
      <c r="C12" s="4" t="s">
        <v>304</v>
      </c>
      <c r="D12" s="4" t="s">
        <v>305</v>
      </c>
      <c r="E12" s="4" t="s">
        <v>275</v>
      </c>
      <c r="F12" s="1" t="s">
        <v>42</v>
      </c>
      <c r="G12" s="1" t="s">
        <v>43</v>
      </c>
      <c r="H12" s="1" t="s">
        <v>44</v>
      </c>
      <c r="I12" s="4" t="s">
        <v>455</v>
      </c>
      <c r="J12" s="5" t="s">
        <v>450</v>
      </c>
      <c r="K12" s="5" t="s">
        <v>452</v>
      </c>
      <c r="L12" s="2" t="str">
        <f t="shared" si="0"/>
        <v>1962-05-12</v>
      </c>
      <c r="M12" s="2" t="str">
        <f t="shared" si="1"/>
        <v>INSERT INTO `workers` ( `tabn`,`fio`, `f`, `i`, `o`, `dolz`, `dr`) VALUES ('000000233 ','Власова Ирина Федоровна  (совм.)','Власова','Ирина','Федоровна','прессовщик листовых материалов 2р.','1962-05-12');</v>
      </c>
      <c r="N12" s="2" t="s">
        <v>520</v>
      </c>
    </row>
    <row r="13" spans="1:14" x14ac:dyDescent="0.25">
      <c r="A13" s="1" t="s">
        <v>45</v>
      </c>
      <c r="B13" s="4" t="s">
        <v>303</v>
      </c>
      <c r="C13" s="4" t="s">
        <v>306</v>
      </c>
      <c r="D13" s="4" t="s">
        <v>278</v>
      </c>
      <c r="E13" s="1"/>
      <c r="F13" s="1" t="s">
        <v>46</v>
      </c>
      <c r="G13" s="1" t="s">
        <v>6</v>
      </c>
      <c r="H13" s="1" t="s">
        <v>47</v>
      </c>
      <c r="I13" s="4" t="s">
        <v>444</v>
      </c>
      <c r="J13" s="5" t="s">
        <v>438</v>
      </c>
      <c r="K13" s="5" t="s">
        <v>463</v>
      </c>
      <c r="L13" s="2" t="str">
        <f t="shared" si="0"/>
        <v>1958-08-01</v>
      </c>
      <c r="M13" s="2" t="str">
        <f t="shared" si="1"/>
        <v>INSERT INTO `workers` ( `tabn`,`fio`, `f`, `i`, `o`, `dolz`, `dr`) VALUES ('000000333 ','Власова Тамара Владимировна','Власова','Тамара','Владимировна','Изготовитель трафаретов шкал и плат 2р','1958-08-01');</v>
      </c>
      <c r="N13" s="2" t="s">
        <v>521</v>
      </c>
    </row>
    <row r="14" spans="1:14" x14ac:dyDescent="0.25">
      <c r="A14" s="1" t="s">
        <v>48</v>
      </c>
      <c r="B14" s="4" t="s">
        <v>307</v>
      </c>
      <c r="C14" s="4" t="s">
        <v>308</v>
      </c>
      <c r="D14" s="4" t="s">
        <v>309</v>
      </c>
      <c r="E14" s="1"/>
      <c r="F14" s="1" t="s">
        <v>49</v>
      </c>
      <c r="G14" s="1" t="s">
        <v>17</v>
      </c>
      <c r="H14" s="1" t="s">
        <v>50</v>
      </c>
      <c r="I14" s="4" t="s">
        <v>464</v>
      </c>
      <c r="J14" s="5" t="s">
        <v>465</v>
      </c>
      <c r="K14" s="5" t="s">
        <v>466</v>
      </c>
      <c r="L14" s="2" t="str">
        <f t="shared" si="0"/>
        <v>1993-04-18</v>
      </c>
      <c r="M14" s="2" t="str">
        <f t="shared" si="1"/>
        <v>INSERT INTO `workers` ( `tabn`,`fio`, `f`, `i`, `o`, `dolz`, `dr`) VALUES ('000000494 ','Воронин Антон Андреевич','Воронин','Антон','Андреевич','Изготовитель трафаретов шкал и плат 3р','1993-04-18');</v>
      </c>
      <c r="N14" s="2" t="s">
        <v>522</v>
      </c>
    </row>
    <row r="15" spans="1:14" x14ac:dyDescent="0.25">
      <c r="A15" s="1" t="s">
        <v>51</v>
      </c>
      <c r="B15" s="4" t="s">
        <v>310</v>
      </c>
      <c r="C15" s="4" t="s">
        <v>288</v>
      </c>
      <c r="D15" s="4" t="s">
        <v>311</v>
      </c>
      <c r="E15" s="4" t="s">
        <v>275</v>
      </c>
      <c r="F15" s="1" t="s">
        <v>52</v>
      </c>
      <c r="G15" s="1" t="s">
        <v>53</v>
      </c>
      <c r="H15" s="1" t="s">
        <v>54</v>
      </c>
      <c r="I15" s="4" t="s">
        <v>467</v>
      </c>
      <c r="J15" s="5" t="s">
        <v>467</v>
      </c>
      <c r="K15" s="5" t="s">
        <v>468</v>
      </c>
      <c r="L15" s="2" t="str">
        <f t="shared" si="0"/>
        <v>1952-10-10</v>
      </c>
      <c r="M15" s="2" t="str">
        <f t="shared" si="1"/>
        <v>INSERT INTO `workers` ( `tabn`,`fio`, `f`, `i`, `o`, `dolz`, `dr`) VALUES ('000000469 ','Гольдман Татьяна Васильевна (совм.)','Гольдман','Татьяна','Васильевна','техник-технолог','1952-10-10');</v>
      </c>
      <c r="N15" s="2" t="s">
        <v>523</v>
      </c>
    </row>
    <row r="16" spans="1:14" x14ac:dyDescent="0.25">
      <c r="A16" s="1" t="s">
        <v>55</v>
      </c>
      <c r="B16" s="4" t="s">
        <v>312</v>
      </c>
      <c r="C16" s="4" t="s">
        <v>313</v>
      </c>
      <c r="D16" s="4" t="s">
        <v>314</v>
      </c>
      <c r="E16" s="1"/>
      <c r="F16" s="1" t="s">
        <v>56</v>
      </c>
      <c r="G16" s="1" t="s">
        <v>57</v>
      </c>
      <c r="H16" s="1" t="s">
        <v>58</v>
      </c>
      <c r="I16" s="4" t="s">
        <v>455</v>
      </c>
      <c r="J16" s="5" t="s">
        <v>451</v>
      </c>
      <c r="K16" s="5" t="s">
        <v>469</v>
      </c>
      <c r="L16" s="2" t="str">
        <f t="shared" si="0"/>
        <v>1987-06-12</v>
      </c>
      <c r="M16" s="2" t="str">
        <f t="shared" si="1"/>
        <v>INSERT INTO `workers` ( `tabn`,`fio`, `f`, `i`, `o`, `dolz`, `dr`) VALUES ('000000400 ','Горницкий Иван Викторович','Горницкий','Иван','Викторович','начальник группы','1987-06-12');</v>
      </c>
      <c r="N16" s="2" t="s">
        <v>524</v>
      </c>
    </row>
    <row r="17" spans="1:14" x14ac:dyDescent="0.25">
      <c r="A17" s="1" t="s">
        <v>59</v>
      </c>
      <c r="B17" s="4" t="s">
        <v>315</v>
      </c>
      <c r="C17" s="4" t="s">
        <v>316</v>
      </c>
      <c r="D17" s="4" t="s">
        <v>317</v>
      </c>
      <c r="E17" s="4" t="s">
        <v>275</v>
      </c>
      <c r="F17" s="1" t="s">
        <v>60</v>
      </c>
      <c r="G17" s="1" t="s">
        <v>17</v>
      </c>
      <c r="H17" s="1" t="s">
        <v>61</v>
      </c>
      <c r="I17" s="4" t="s">
        <v>450</v>
      </c>
      <c r="J17" s="5" t="s">
        <v>467</v>
      </c>
      <c r="K17" s="5" t="s">
        <v>470</v>
      </c>
      <c r="L17" s="2" t="str">
        <f t="shared" si="0"/>
        <v>1960-10-05</v>
      </c>
      <c r="M17" s="2" t="str">
        <f t="shared" si="1"/>
        <v>INSERT INTO `workers` ( `tabn`,`fio`, `f`, `i`, `o`, `dolz`, `dr`) VALUES ('000000241 ','Горчакова Галина Николаевна  (совм.)','Горчакова','Галина','Николаевна','Изготовитель трафаретов шкал и плат 3р','1960-10-05');</v>
      </c>
      <c r="N17" s="2" t="s">
        <v>525</v>
      </c>
    </row>
    <row r="18" spans="1:14" x14ac:dyDescent="0.25">
      <c r="A18" s="1" t="s">
        <v>62</v>
      </c>
      <c r="B18" s="4" t="s">
        <v>318</v>
      </c>
      <c r="C18" s="4" t="s">
        <v>294</v>
      </c>
      <c r="D18" s="4" t="s">
        <v>319</v>
      </c>
      <c r="E18" s="1"/>
      <c r="F18" s="1" t="s">
        <v>63</v>
      </c>
      <c r="G18" s="1" t="s">
        <v>64</v>
      </c>
      <c r="H18" s="1" t="s">
        <v>65</v>
      </c>
      <c r="I18" s="4" t="s">
        <v>456</v>
      </c>
      <c r="J18" s="5" t="s">
        <v>461</v>
      </c>
      <c r="K18" s="5" t="s">
        <v>471</v>
      </c>
      <c r="L18" s="2" t="str">
        <f t="shared" si="0"/>
        <v>1995-11-28</v>
      </c>
      <c r="M18" s="2" t="str">
        <f t="shared" si="1"/>
        <v>INSERT INTO `workers` ( `tabn`,`fio`, `f`, `i`, `o`, `dolz`, `dr`) VALUES ('000000497 ','Гулак Станислав Сергеевич','Гулак','Станислав','Сергеевич','слесарь механосборочных работ 4р','1995-11-28');</v>
      </c>
      <c r="N18" s="2" t="s">
        <v>526</v>
      </c>
    </row>
    <row r="19" spans="1:14" x14ac:dyDescent="0.25">
      <c r="A19" s="1" t="s">
        <v>66</v>
      </c>
      <c r="B19" s="4" t="s">
        <v>320</v>
      </c>
      <c r="C19" s="4" t="s">
        <v>321</v>
      </c>
      <c r="D19" s="4" t="s">
        <v>322</v>
      </c>
      <c r="E19" s="4" t="s">
        <v>275</v>
      </c>
      <c r="F19" s="1" t="s">
        <v>67</v>
      </c>
      <c r="G19" s="1" t="s">
        <v>68</v>
      </c>
      <c r="H19" s="1" t="s">
        <v>69</v>
      </c>
      <c r="I19" s="4" t="s">
        <v>443</v>
      </c>
      <c r="J19" s="5" t="s">
        <v>441</v>
      </c>
      <c r="K19" s="5" t="s">
        <v>472</v>
      </c>
      <c r="L19" s="2" t="str">
        <f t="shared" si="0"/>
        <v>1968-09-02</v>
      </c>
      <c r="M19" s="2" t="str">
        <f t="shared" si="1"/>
        <v>INSERT INTO `workers` ( `tabn`,`fio`, `f`, `i`, `o`, `dolz`, `dr`) VALUES ('000000498 ','Денисова Светлана Анатольевна  (совм.)','Денисова','Светлана','Анатольевна','Уборщик производственных и служебных помещений','1968-09-02');</v>
      </c>
      <c r="N19" s="2" t="s">
        <v>527</v>
      </c>
    </row>
    <row r="20" spans="1:14" x14ac:dyDescent="0.25">
      <c r="A20" s="1" t="s">
        <v>70</v>
      </c>
      <c r="B20" s="4" t="s">
        <v>323</v>
      </c>
      <c r="C20" s="4" t="s">
        <v>283</v>
      </c>
      <c r="D20" s="4" t="s">
        <v>324</v>
      </c>
      <c r="E20" s="1"/>
      <c r="F20" s="1" t="s">
        <v>71</v>
      </c>
      <c r="G20" s="1" t="s">
        <v>72</v>
      </c>
      <c r="H20" s="1" t="s">
        <v>73</v>
      </c>
      <c r="I20" s="4" t="s">
        <v>473</v>
      </c>
      <c r="J20" s="5" t="s">
        <v>467</v>
      </c>
      <c r="K20" s="5" t="s">
        <v>474</v>
      </c>
      <c r="L20" s="2" t="str">
        <f t="shared" si="0"/>
        <v>1955-10-30</v>
      </c>
      <c r="M20" s="2" t="str">
        <f t="shared" si="1"/>
        <v>INSERT INTO `workers` ( `tabn`,`fio`, `f`, `i`, `o`, `dolz`, `dr`) VALUES ('000000098 ','Жинкин Андрей Игоревич','Жинкин','Андрей','Игоревич','инженер-программист','1955-10-30');</v>
      </c>
      <c r="N20" s="2" t="s">
        <v>528</v>
      </c>
    </row>
    <row r="21" spans="1:14" x14ac:dyDescent="0.25">
      <c r="A21" s="1" t="s">
        <v>74</v>
      </c>
      <c r="B21" s="4" t="s">
        <v>325</v>
      </c>
      <c r="C21" s="4" t="s">
        <v>326</v>
      </c>
      <c r="D21" s="4" t="s">
        <v>327</v>
      </c>
      <c r="E21" s="1"/>
      <c r="F21" s="1" t="s">
        <v>75</v>
      </c>
      <c r="G21" s="1" t="s">
        <v>57</v>
      </c>
      <c r="H21" s="1" t="s">
        <v>76</v>
      </c>
      <c r="I21" s="4" t="s">
        <v>475</v>
      </c>
      <c r="J21" s="5" t="s">
        <v>444</v>
      </c>
      <c r="K21" s="5" t="s">
        <v>476</v>
      </c>
      <c r="L21" s="2" t="str">
        <f t="shared" si="0"/>
        <v>1979-01-17</v>
      </c>
      <c r="M21" s="2" t="str">
        <f t="shared" si="1"/>
        <v>INSERT INTO `workers` ( `tabn`,`fio`, `f`, `i`, `o`, `dolz`, `dr`) VALUES ('000000432 ','Замалутдинов Ильдар Рашитович','Замалутдинов','Ильдар','Рашитович','начальник группы','1979-01-17');</v>
      </c>
      <c r="N21" s="2" t="s">
        <v>529</v>
      </c>
    </row>
    <row r="22" spans="1:14" x14ac:dyDescent="0.25">
      <c r="A22" s="1" t="s">
        <v>77</v>
      </c>
      <c r="B22" s="4" t="s">
        <v>328</v>
      </c>
      <c r="C22" s="4" t="s">
        <v>329</v>
      </c>
      <c r="D22" s="4" t="s">
        <v>314</v>
      </c>
      <c r="E22" s="1"/>
      <c r="F22" s="1" t="s">
        <v>78</v>
      </c>
      <c r="G22" s="1" t="s">
        <v>79</v>
      </c>
      <c r="H22" s="1" t="s">
        <v>80</v>
      </c>
      <c r="I22" s="4" t="s">
        <v>477</v>
      </c>
      <c r="J22" s="5" t="s">
        <v>457</v>
      </c>
      <c r="K22" s="5" t="s">
        <v>478</v>
      </c>
      <c r="L22" s="2" t="str">
        <f t="shared" si="0"/>
        <v>1983-07-26</v>
      </c>
      <c r="M22" s="2" t="str">
        <f t="shared" si="1"/>
        <v>INSERT INTO `workers` ( `tabn`,`fio`, `f`, `i`, `o`, `dolz`, `dr`) VALUES ('000000438 ','Иванов Александр Викторович','Иванов','Александр','Викторович','инженер-технолог','1983-07-26');</v>
      </c>
      <c r="N22" s="2" t="s">
        <v>530</v>
      </c>
    </row>
    <row r="23" spans="1:14" x14ac:dyDescent="0.25">
      <c r="A23" s="1" t="s">
        <v>81</v>
      </c>
      <c r="B23" s="4" t="s">
        <v>330</v>
      </c>
      <c r="C23" s="4" t="s">
        <v>273</v>
      </c>
      <c r="D23" s="4" t="s">
        <v>289</v>
      </c>
      <c r="E23" s="1"/>
      <c r="F23" s="1" t="s">
        <v>82</v>
      </c>
      <c r="G23" s="1" t="s">
        <v>17</v>
      </c>
      <c r="H23" s="1" t="s">
        <v>83</v>
      </c>
      <c r="I23" s="4" t="s">
        <v>479</v>
      </c>
      <c r="J23" s="5" t="s">
        <v>438</v>
      </c>
      <c r="K23" s="5" t="s">
        <v>470</v>
      </c>
      <c r="L23" s="2" t="str">
        <f t="shared" si="0"/>
        <v>1960-08-16</v>
      </c>
      <c r="M23" s="2" t="str">
        <f t="shared" si="1"/>
        <v>INSERT INTO `workers` ( `tabn`,`fio`, `f`, `i`, `o`, `dolz`, `dr`) VALUES ('000000457 ','Иванова Ольга Дмитриевна','Иванова','Ольга','Дмитриевна','Изготовитель трафаретов шкал и плат 3р','1960-08-16');</v>
      </c>
      <c r="N23" s="2" t="s">
        <v>531</v>
      </c>
    </row>
    <row r="24" spans="1:14" x14ac:dyDescent="0.25">
      <c r="A24" s="1" t="s">
        <v>84</v>
      </c>
      <c r="B24" s="4" t="s">
        <v>331</v>
      </c>
      <c r="C24" s="4" t="s">
        <v>273</v>
      </c>
      <c r="D24" s="4" t="s">
        <v>332</v>
      </c>
      <c r="E24" s="4" t="s">
        <v>275</v>
      </c>
      <c r="F24" s="1" t="s">
        <v>85</v>
      </c>
      <c r="G24" s="1" t="s">
        <v>86</v>
      </c>
      <c r="H24" s="1" t="s">
        <v>87</v>
      </c>
      <c r="I24" s="4" t="s">
        <v>467</v>
      </c>
      <c r="J24" s="5" t="s">
        <v>443</v>
      </c>
      <c r="K24" s="5" t="s">
        <v>480</v>
      </c>
      <c r="L24" s="2" t="str">
        <f t="shared" si="0"/>
        <v>1975-02-10</v>
      </c>
      <c r="M24" s="2" t="str">
        <f t="shared" si="1"/>
        <v>INSERT INTO `workers` ( `tabn`,`fio`, `f`, `i`, `o`, `dolz`, `dr`) VALUES ('000000369 ','Ильина Ольга Сергеевна (совм.)','Ильина','Ольга','Сергеевна','Секретарь руководителя','1975-02-10');</v>
      </c>
      <c r="N24" s="2" t="s">
        <v>532</v>
      </c>
    </row>
    <row r="25" spans="1:14" x14ac:dyDescent="0.25">
      <c r="A25" s="1" t="s">
        <v>88</v>
      </c>
      <c r="B25" s="4" t="s">
        <v>333</v>
      </c>
      <c r="C25" s="4" t="s">
        <v>334</v>
      </c>
      <c r="D25" s="4" t="s">
        <v>301</v>
      </c>
      <c r="E25" s="4" t="s">
        <v>275</v>
      </c>
      <c r="F25" s="1" t="s">
        <v>89</v>
      </c>
      <c r="G25" s="1" t="s">
        <v>6</v>
      </c>
      <c r="H25" s="1" t="s">
        <v>90</v>
      </c>
      <c r="I25" s="4" t="s">
        <v>465</v>
      </c>
      <c r="J25" s="5" t="s">
        <v>438</v>
      </c>
      <c r="K25" s="5" t="s">
        <v>449</v>
      </c>
      <c r="L25" s="2" t="str">
        <f t="shared" si="0"/>
        <v>1973-08-04</v>
      </c>
      <c r="M25" s="2" t="str">
        <f t="shared" si="1"/>
        <v>INSERT INTO `workers` ( `tabn`,`fio`, `f`, `i`, `o`, `dolz`, `dr`) VALUES ('000000410 ','Калядина Людмила Александровна  (совм.)','Калядина','Людмила','Александровна','Изготовитель трафаретов шкал и плат 2р','1973-08-04');</v>
      </c>
      <c r="N25" s="2" t="s">
        <v>533</v>
      </c>
    </row>
    <row r="26" spans="1:14" x14ac:dyDescent="0.25">
      <c r="A26" s="1" t="s">
        <v>91</v>
      </c>
      <c r="B26" s="4" t="s">
        <v>335</v>
      </c>
      <c r="C26" s="4" t="s">
        <v>336</v>
      </c>
      <c r="D26" s="4" t="s">
        <v>301</v>
      </c>
      <c r="E26" s="4" t="s">
        <v>275</v>
      </c>
      <c r="F26" s="1" t="s">
        <v>92</v>
      </c>
      <c r="G26" s="1" t="s">
        <v>93</v>
      </c>
      <c r="H26" s="1" t="s">
        <v>94</v>
      </c>
      <c r="I26" s="4" t="s">
        <v>481</v>
      </c>
      <c r="J26" s="5" t="s">
        <v>446</v>
      </c>
      <c r="K26" s="5" t="s">
        <v>482</v>
      </c>
      <c r="L26" s="2" t="str">
        <f t="shared" si="0"/>
        <v>1954-03-15</v>
      </c>
      <c r="M26" s="2" t="str">
        <f t="shared" si="1"/>
        <v>INSERT INTO `workers` ( `tabn`,`fio`, `f`, `i`, `o`, `dolz`, `dr`) VALUES ('000000476 ','Касаткина Вера Александровна  (совм.)','Касаткина','Вера','Александровна','укладчик деталей и изделий 2 разряда','1954-03-15');</v>
      </c>
      <c r="N26" s="2" t="s">
        <v>534</v>
      </c>
    </row>
    <row r="27" spans="1:14" x14ac:dyDescent="0.25">
      <c r="A27" s="1" t="s">
        <v>95</v>
      </c>
      <c r="B27" s="4" t="s">
        <v>337</v>
      </c>
      <c r="C27" s="4" t="s">
        <v>338</v>
      </c>
      <c r="D27" s="4" t="s">
        <v>319</v>
      </c>
      <c r="E27" s="1"/>
      <c r="F27" s="1" t="s">
        <v>16</v>
      </c>
      <c r="G27" s="1" t="s">
        <v>96</v>
      </c>
      <c r="H27" s="1" t="s">
        <v>97</v>
      </c>
      <c r="I27" s="4" t="s">
        <v>457</v>
      </c>
      <c r="J27" s="5" t="s">
        <v>465</v>
      </c>
      <c r="K27" s="5" t="s">
        <v>483</v>
      </c>
      <c r="L27" s="2" t="str">
        <f t="shared" si="0"/>
        <v>1970-04-07</v>
      </c>
      <c r="M27" s="2" t="str">
        <f t="shared" si="1"/>
        <v>INSERT INTO `workers` ( `tabn`,`fio`, `f`, `i`, `o`, `dolz`, `dr`) VALUES ('000000370 ','Китуничев Дмитрий Сергеевич','Китуничев','Дмитрий','Сергеевич','Заместитель Генерального директора по общим вопросам','1970-04-07');</v>
      </c>
      <c r="N27" s="2" t="s">
        <v>535</v>
      </c>
    </row>
    <row r="28" spans="1:14" x14ac:dyDescent="0.25">
      <c r="A28" s="1" t="s">
        <v>98</v>
      </c>
      <c r="B28" s="4" t="s">
        <v>339</v>
      </c>
      <c r="C28" s="4" t="s">
        <v>340</v>
      </c>
      <c r="D28" s="4" t="s">
        <v>341</v>
      </c>
      <c r="E28" s="4" t="s">
        <v>275</v>
      </c>
      <c r="F28" s="1" t="s">
        <v>99</v>
      </c>
      <c r="G28" s="1" t="s">
        <v>100</v>
      </c>
      <c r="H28" s="1" t="s">
        <v>101</v>
      </c>
      <c r="I28" s="4" t="s">
        <v>484</v>
      </c>
      <c r="J28" s="5" t="s">
        <v>444</v>
      </c>
      <c r="K28" s="5" t="s">
        <v>485</v>
      </c>
      <c r="L28" s="2" t="str">
        <f t="shared" si="0"/>
        <v>1948-01-25</v>
      </c>
      <c r="M28" s="2" t="str">
        <f t="shared" si="1"/>
        <v>INSERT INTO `workers` ( `tabn`,`fio`, `f`, `i`, `o`, `dolz`, `dr`) VALUES ('000000492 ','Кондряков Вячеслав Георгиевич (совм.)','Кондряков','Вячеслав','Георгиевич','специалист по охране труда ','1948-01-25');</v>
      </c>
      <c r="N28" s="2" t="s">
        <v>536</v>
      </c>
    </row>
    <row r="29" spans="1:14" x14ac:dyDescent="0.25">
      <c r="A29" s="1" t="s">
        <v>102</v>
      </c>
      <c r="B29" s="4" t="s">
        <v>342</v>
      </c>
      <c r="C29" s="4" t="s">
        <v>343</v>
      </c>
      <c r="D29" s="4" t="s">
        <v>344</v>
      </c>
      <c r="E29" s="1"/>
      <c r="F29" s="1" t="s">
        <v>103</v>
      </c>
      <c r="G29" s="1" t="s">
        <v>17</v>
      </c>
      <c r="H29" s="1" t="s">
        <v>104</v>
      </c>
      <c r="I29" s="4" t="s">
        <v>444</v>
      </c>
      <c r="J29" s="5" t="s">
        <v>441</v>
      </c>
      <c r="K29" s="5" t="s">
        <v>454</v>
      </c>
      <c r="L29" s="2" t="str">
        <f t="shared" si="0"/>
        <v>1989-09-01</v>
      </c>
      <c r="M29" s="2" t="str">
        <f t="shared" si="1"/>
        <v>INSERT INTO `workers` ( `tabn`,`fio`, `f`, `i`, `o`, `dolz`, `dr`) VALUES ('000000475 ','Коптюх Глеб Васильевич','Коптюх','Глеб','Васильевич','Изготовитель трафаретов шкал и плат 3р','1989-09-01');</v>
      </c>
      <c r="N29" s="2" t="s">
        <v>537</v>
      </c>
    </row>
    <row r="30" spans="1:14" x14ac:dyDescent="0.25">
      <c r="A30" s="1" t="s">
        <v>105</v>
      </c>
      <c r="B30" s="4" t="s">
        <v>345</v>
      </c>
      <c r="C30" s="4" t="s">
        <v>346</v>
      </c>
      <c r="D30" s="4" t="s">
        <v>347</v>
      </c>
      <c r="E30" s="1"/>
      <c r="F30" s="1" t="s">
        <v>106</v>
      </c>
      <c r="G30" s="1" t="s">
        <v>107</v>
      </c>
      <c r="H30" s="1" t="s">
        <v>108</v>
      </c>
      <c r="I30" s="4" t="s">
        <v>441</v>
      </c>
      <c r="J30" s="5" t="s">
        <v>444</v>
      </c>
      <c r="K30" s="5" t="s">
        <v>486</v>
      </c>
      <c r="L30" s="2" t="str">
        <f t="shared" si="0"/>
        <v>1990-01-09</v>
      </c>
      <c r="M30" s="2" t="str">
        <f t="shared" si="1"/>
        <v>INSERT INTO `workers` ( `tabn`,`fio`, `f`, `i`, `o`, `dolz`, `dr`) VALUES ('000000499 ','Красулина Юлия Валерьевна','Красулина','Юлия','Валерьевна','измеритель электрофизических параметров 2р','1990-01-09');</v>
      </c>
      <c r="N30" s="2" t="s">
        <v>538</v>
      </c>
    </row>
    <row r="31" spans="1:14" x14ac:dyDescent="0.25">
      <c r="A31" s="1" t="s">
        <v>109</v>
      </c>
      <c r="B31" s="4" t="s">
        <v>348</v>
      </c>
      <c r="C31" s="4" t="s">
        <v>349</v>
      </c>
      <c r="D31" s="4" t="s">
        <v>350</v>
      </c>
      <c r="E31" s="4" t="s">
        <v>275</v>
      </c>
      <c r="F31" s="1" t="s">
        <v>110</v>
      </c>
      <c r="G31" s="1" t="s">
        <v>111</v>
      </c>
      <c r="H31" s="1" t="s">
        <v>112</v>
      </c>
      <c r="I31" s="4" t="s">
        <v>477</v>
      </c>
      <c r="J31" s="5" t="s">
        <v>467</v>
      </c>
      <c r="K31" s="5" t="s">
        <v>470</v>
      </c>
      <c r="L31" s="2" t="str">
        <f t="shared" si="0"/>
        <v>1960-10-26</v>
      </c>
      <c r="M31" s="2" t="str">
        <f t="shared" si="1"/>
        <v>INSERT INTO `workers` ( `tabn`,`fio`, `f`, `i`, `o`, `dolz`, `dr`) VALUES ('000000444 ','Кривова Любовь Григорьевна  (совм.)','Кривова','Любовь','Григорьевна','Изготовитель трафаретов шкал и плат 4р','1960-10-26');</v>
      </c>
      <c r="N31" s="2" t="s">
        <v>539</v>
      </c>
    </row>
    <row r="32" spans="1:14" x14ac:dyDescent="0.25">
      <c r="A32" s="1" t="s">
        <v>113</v>
      </c>
      <c r="B32" s="4" t="s">
        <v>351</v>
      </c>
      <c r="C32" s="4" t="s">
        <v>352</v>
      </c>
      <c r="D32" s="4" t="s">
        <v>324</v>
      </c>
      <c r="E32" s="1"/>
      <c r="F32" s="1" t="s">
        <v>114</v>
      </c>
      <c r="G32" s="1" t="s">
        <v>115</v>
      </c>
      <c r="H32" s="1" t="s">
        <v>116</v>
      </c>
      <c r="I32" s="4" t="s">
        <v>461</v>
      </c>
      <c r="J32" s="5" t="s">
        <v>457</v>
      </c>
      <c r="K32" s="5" t="s">
        <v>469</v>
      </c>
      <c r="L32" s="2" t="str">
        <f t="shared" si="0"/>
        <v>1987-07-11</v>
      </c>
      <c r="M32" s="2" t="str">
        <f t="shared" si="1"/>
        <v>INSERT INTO `workers` ( `tabn`,`fio`, `f`, `i`, `o`, `dolz`, `dr`) VALUES ('000000479 ','Кузнецов Денис Игоревич','Кузнецов','Денис','Игоревич','Слесарь-электромеханик 4р.','1987-07-11');</v>
      </c>
      <c r="N32" s="2" t="s">
        <v>540</v>
      </c>
    </row>
    <row r="33" spans="1:14" x14ac:dyDescent="0.25">
      <c r="A33" s="1" t="s">
        <v>117</v>
      </c>
      <c r="B33" s="4" t="s">
        <v>353</v>
      </c>
      <c r="C33" s="4" t="s">
        <v>354</v>
      </c>
      <c r="D33" s="4" t="s">
        <v>301</v>
      </c>
      <c r="E33" s="4" t="s">
        <v>275</v>
      </c>
      <c r="F33" s="1" t="s">
        <v>118</v>
      </c>
      <c r="G33" s="1" t="s">
        <v>119</v>
      </c>
      <c r="H33" s="1" t="s">
        <v>120</v>
      </c>
      <c r="I33" s="4" t="s">
        <v>487</v>
      </c>
      <c r="J33" s="5" t="s">
        <v>457</v>
      </c>
      <c r="K33" s="5" t="s">
        <v>488</v>
      </c>
      <c r="L33" s="2" t="str">
        <f t="shared" si="0"/>
        <v>1986-07-22</v>
      </c>
      <c r="M33" s="2" t="str">
        <f t="shared" si="1"/>
        <v>INSERT INTO `workers` ( `tabn`,`fio`, `f`, `i`, `o`, `dolz`, `dr`) VALUES ('000000489 ','Кузнецова Мария Александровна (совм.)','Кузнецова','Мария','Александровна','инженер по охране окружающей среды (эколог)','1986-07-22');</v>
      </c>
      <c r="N33" s="2" t="s">
        <v>541</v>
      </c>
    </row>
    <row r="34" spans="1:14" x14ac:dyDescent="0.25">
      <c r="A34" s="1" t="s">
        <v>121</v>
      </c>
      <c r="B34" s="4" t="s">
        <v>355</v>
      </c>
      <c r="C34" s="4" t="s">
        <v>316</v>
      </c>
      <c r="D34" s="4" t="s">
        <v>278</v>
      </c>
      <c r="E34" s="4" t="s">
        <v>275</v>
      </c>
      <c r="F34" s="1" t="s">
        <v>122</v>
      </c>
      <c r="G34" s="1" t="s">
        <v>17</v>
      </c>
      <c r="H34" s="1" t="s">
        <v>123</v>
      </c>
      <c r="I34" s="4" t="s">
        <v>479</v>
      </c>
      <c r="J34" s="5" t="s">
        <v>444</v>
      </c>
      <c r="K34" s="5" t="s">
        <v>489</v>
      </c>
      <c r="L34" s="2" t="str">
        <f t="shared" si="0"/>
        <v>1967-01-16</v>
      </c>
      <c r="M34" s="2" t="str">
        <f t="shared" si="1"/>
        <v>INSERT INTO `workers` ( `tabn`,`fio`, `f`, `i`, `o`, `dolz`, `dr`) VALUES ('000000462 ','Кукушкина Галина Владимировна  (совм.)','Кукушкина','Галина','Владимировна','Изготовитель трафаретов шкал и плат 3р','1967-01-16');</v>
      </c>
      <c r="N34" s="2" t="s">
        <v>542</v>
      </c>
    </row>
    <row r="35" spans="1:14" x14ac:dyDescent="0.25">
      <c r="A35" s="1" t="s">
        <v>124</v>
      </c>
      <c r="B35" s="4" t="s">
        <v>356</v>
      </c>
      <c r="C35" s="4" t="s">
        <v>357</v>
      </c>
      <c r="D35" s="4" t="s">
        <v>358</v>
      </c>
      <c r="E35" s="1"/>
      <c r="F35" s="1" t="s">
        <v>125</v>
      </c>
      <c r="G35" s="1" t="s">
        <v>126</v>
      </c>
      <c r="H35" s="1" t="s">
        <v>127</v>
      </c>
      <c r="I35" s="4" t="s">
        <v>441</v>
      </c>
      <c r="J35" s="5" t="s">
        <v>461</v>
      </c>
      <c r="K35" s="5" t="s">
        <v>470</v>
      </c>
      <c r="L35" s="2" t="str">
        <f t="shared" si="0"/>
        <v>1960-11-09</v>
      </c>
      <c r="M35" s="2" t="str">
        <f t="shared" si="1"/>
        <v>INSERT INTO `workers` ( `tabn`,`fio`, `f`, `i`, `o`, `dolz`, `dr`) VALUES ('000000168 ','Куренков Леонид Евгеньевич','Куренков','Леонид','Евгеньевич','инженер-наладчик КИП и автоматики','1960-11-09');</v>
      </c>
      <c r="N35" s="2" t="s">
        <v>543</v>
      </c>
    </row>
    <row r="36" spans="1:14" x14ac:dyDescent="0.25">
      <c r="A36" s="1" t="s">
        <v>128</v>
      </c>
      <c r="B36" s="4" t="s">
        <v>359</v>
      </c>
      <c r="C36" s="4" t="s">
        <v>288</v>
      </c>
      <c r="D36" s="4" t="s">
        <v>274</v>
      </c>
      <c r="E36" s="1"/>
      <c r="F36" s="1" t="s">
        <v>129</v>
      </c>
      <c r="G36" s="1" t="s">
        <v>17</v>
      </c>
      <c r="H36" s="1" t="s">
        <v>130</v>
      </c>
      <c r="I36" s="4" t="s">
        <v>484</v>
      </c>
      <c r="J36" s="5" t="s">
        <v>441</v>
      </c>
      <c r="K36" s="5" t="s">
        <v>470</v>
      </c>
      <c r="L36" s="2" t="str">
        <f t="shared" si="0"/>
        <v>1960-09-25</v>
      </c>
      <c r="M36" s="2" t="str">
        <f t="shared" si="1"/>
        <v>INSERT INTO `workers` ( `tabn`,`fio`, `f`, `i`, `o`, `dolz`, `dr`) VALUES ('000000426 ','Куренкова Татьяна Геннадьевна','Куренкова','Татьяна','Геннадьевна','Изготовитель трафаретов шкал и плат 3р','1960-09-25');</v>
      </c>
      <c r="N36" s="2" t="s">
        <v>544</v>
      </c>
    </row>
    <row r="37" spans="1:14" x14ac:dyDescent="0.25">
      <c r="A37" s="1" t="s">
        <v>131</v>
      </c>
      <c r="B37" s="4" t="s">
        <v>360</v>
      </c>
      <c r="C37" s="4" t="s">
        <v>361</v>
      </c>
      <c r="D37" s="4" t="s">
        <v>301</v>
      </c>
      <c r="E37" s="1"/>
      <c r="F37" s="1" t="s">
        <v>132</v>
      </c>
      <c r="G37" s="1" t="s">
        <v>17</v>
      </c>
      <c r="H37" s="1" t="s">
        <v>133</v>
      </c>
      <c r="I37" s="4" t="s">
        <v>479</v>
      </c>
      <c r="J37" s="5" t="s">
        <v>444</v>
      </c>
      <c r="K37" s="5" t="s">
        <v>439</v>
      </c>
      <c r="L37" s="2" t="str">
        <f t="shared" si="0"/>
        <v>1959-01-16</v>
      </c>
      <c r="M37" s="2" t="str">
        <f t="shared" si="1"/>
        <v>INSERT INTO `workers` ( `tabn`,`fio`, `f`, `i`, `o`, `dolz`, `dr`) VALUES ('000000272 ','Курочкина Марина Александровна','Курочкина','Марина','Александровна','Изготовитель трафаретов шкал и плат 3р','1959-01-16');</v>
      </c>
      <c r="N37" s="2" t="s">
        <v>545</v>
      </c>
    </row>
    <row r="38" spans="1:14" x14ac:dyDescent="0.25">
      <c r="A38" s="1" t="s">
        <v>134</v>
      </c>
      <c r="B38" s="4" t="s">
        <v>362</v>
      </c>
      <c r="C38" s="4" t="s">
        <v>363</v>
      </c>
      <c r="D38" s="4" t="s">
        <v>364</v>
      </c>
      <c r="E38" s="4" t="s">
        <v>275</v>
      </c>
      <c r="F38" s="1" t="s">
        <v>135</v>
      </c>
      <c r="G38" s="1" t="s">
        <v>136</v>
      </c>
      <c r="H38" s="1" t="s">
        <v>137</v>
      </c>
      <c r="I38" s="4" t="s">
        <v>438</v>
      </c>
      <c r="J38" s="5" t="s">
        <v>465</v>
      </c>
      <c r="K38" s="5" t="s">
        <v>490</v>
      </c>
      <c r="L38" s="2" t="str">
        <f t="shared" si="0"/>
        <v>1956-04-08</v>
      </c>
      <c r="M38" s="2" t="str">
        <f t="shared" si="1"/>
        <v>INSERT INTO `workers` ( `tabn`,`fio`, `f`, `i`, `o`, `dolz`, `dr`) VALUES ('000000484 ','Кучерявый Олег Анатольевич  (совм.)','Кучерявый','Олег','Анатольевич','Помощник Генерального директора  по режиму','1956-04-08');</v>
      </c>
      <c r="N38" s="2" t="s">
        <v>546</v>
      </c>
    </row>
    <row r="39" spans="1:14" x14ac:dyDescent="0.25">
      <c r="A39" s="1" t="s">
        <v>138</v>
      </c>
      <c r="B39" s="4" t="s">
        <v>365</v>
      </c>
      <c r="C39" s="4" t="s">
        <v>366</v>
      </c>
      <c r="D39" s="4" t="s">
        <v>367</v>
      </c>
      <c r="E39" s="1"/>
      <c r="F39" s="1" t="s">
        <v>139</v>
      </c>
      <c r="G39" s="1" t="s">
        <v>140</v>
      </c>
      <c r="H39" s="1" t="s">
        <v>141</v>
      </c>
      <c r="I39" s="4" t="s">
        <v>457</v>
      </c>
      <c r="J39" s="5" t="s">
        <v>450</v>
      </c>
      <c r="K39" s="5" t="s">
        <v>491</v>
      </c>
      <c r="L39" s="2" t="str">
        <f t="shared" si="0"/>
        <v>1947-05-07</v>
      </c>
      <c r="M39" s="2" t="str">
        <f t="shared" si="1"/>
        <v>INSERT INTO `workers` ( `tabn`,`fio`, `f`, `i`, `o`, `dolz`, `dr`) VALUES ('000000137 ','Левитская Надежда Петровна','Левитская','Надежда','Петровна','инженер-технолог-аналитик','1947-05-07');</v>
      </c>
      <c r="N39" s="2" t="s">
        <v>547</v>
      </c>
    </row>
    <row r="40" spans="1:14" x14ac:dyDescent="0.25">
      <c r="A40" s="1" t="s">
        <v>142</v>
      </c>
      <c r="B40" s="4" t="s">
        <v>368</v>
      </c>
      <c r="C40" s="4" t="s">
        <v>369</v>
      </c>
      <c r="D40" s="4" t="s">
        <v>370</v>
      </c>
      <c r="E40" s="4" t="s">
        <v>275</v>
      </c>
      <c r="F40" s="1" t="s">
        <v>143</v>
      </c>
      <c r="G40" s="1" t="s">
        <v>64</v>
      </c>
      <c r="H40" s="1" t="s">
        <v>144</v>
      </c>
      <c r="I40" s="4" t="s">
        <v>459</v>
      </c>
      <c r="J40" s="5" t="s">
        <v>451</v>
      </c>
      <c r="K40" s="5" t="s">
        <v>492</v>
      </c>
      <c r="L40" s="2" t="str">
        <f t="shared" si="0"/>
        <v>1957-06-29</v>
      </c>
      <c r="M40" s="2" t="str">
        <f t="shared" si="1"/>
        <v>INSERT INTO `workers` ( `tabn`,`fio`, `f`, `i`, `o`, `dolz`, `dr`) VALUES ('000000407 ','Легоньков Владимир Адольфович  (совм.)','Легоньков','Владимир','Адольфович','слесарь механосборочных работ 4р','1957-06-29');</v>
      </c>
      <c r="N40" s="2" t="s">
        <v>548</v>
      </c>
    </row>
    <row r="41" spans="1:14" x14ac:dyDescent="0.25">
      <c r="A41" s="1" t="s">
        <v>145</v>
      </c>
      <c r="B41" s="4" t="s">
        <v>371</v>
      </c>
      <c r="C41" s="4" t="s">
        <v>346</v>
      </c>
      <c r="D41" s="4" t="s">
        <v>372</v>
      </c>
      <c r="E41" s="1"/>
      <c r="F41" s="1" t="s">
        <v>146</v>
      </c>
      <c r="G41" s="1" t="s">
        <v>111</v>
      </c>
      <c r="H41" s="1" t="s">
        <v>147</v>
      </c>
      <c r="I41" s="4" t="s">
        <v>464</v>
      </c>
      <c r="J41" s="5" t="s">
        <v>451</v>
      </c>
      <c r="K41" s="5" t="s">
        <v>472</v>
      </c>
      <c r="L41" s="2" t="str">
        <f t="shared" si="0"/>
        <v>1968-06-18</v>
      </c>
      <c r="M41" s="2" t="str">
        <f t="shared" si="1"/>
        <v>INSERT INTO `workers` ( `tabn`,`fio`, `f`, `i`, `o`, `dolz`, `dr`) VALUES ('000000421 ','Литвинова Юлия Евгеньевна','Литвинова','Юлия','Евгеньевна','Изготовитель трафаретов шкал и плат 4р','1968-06-18');</v>
      </c>
      <c r="N41" s="2" t="s">
        <v>549</v>
      </c>
    </row>
    <row r="42" spans="1:14" x14ac:dyDescent="0.25">
      <c r="A42" s="1" t="s">
        <v>148</v>
      </c>
      <c r="B42" s="4" t="s">
        <v>373</v>
      </c>
      <c r="C42" s="4" t="s">
        <v>374</v>
      </c>
      <c r="D42" s="4" t="s">
        <v>301</v>
      </c>
      <c r="E42" s="1"/>
      <c r="F42" s="3">
        <v>459</v>
      </c>
      <c r="G42" s="1" t="s">
        <v>149</v>
      </c>
      <c r="H42" s="1" t="s">
        <v>150</v>
      </c>
      <c r="I42" s="4" t="s">
        <v>487</v>
      </c>
      <c r="J42" s="5" t="s">
        <v>455</v>
      </c>
      <c r="K42" s="5" t="s">
        <v>466</v>
      </c>
      <c r="L42" s="2" t="str">
        <f t="shared" si="0"/>
        <v>1993-12-22</v>
      </c>
      <c r="M42" s="2" t="str">
        <f t="shared" si="1"/>
        <v>INSERT INTO `workers` ( `tabn`,`fio`, `f`, `i`, `o`, `dolz`, `dr`) VALUES ('459','Лочмелис Дарья Александровна','Лочмелис','Дарья','Александровна','Бухгалтер','1993-12-22');</v>
      </c>
      <c r="N42" s="2" t="s">
        <v>550</v>
      </c>
    </row>
    <row r="43" spans="1:14" x14ac:dyDescent="0.25">
      <c r="A43" s="1" t="s">
        <v>151</v>
      </c>
      <c r="B43" s="4" t="s">
        <v>375</v>
      </c>
      <c r="C43" s="4" t="s">
        <v>376</v>
      </c>
      <c r="D43" s="4" t="s">
        <v>377</v>
      </c>
      <c r="E43" s="4" t="s">
        <v>275</v>
      </c>
      <c r="F43" s="1" t="s">
        <v>152</v>
      </c>
      <c r="G43" s="1" t="s">
        <v>153</v>
      </c>
      <c r="H43" s="1" t="s">
        <v>154</v>
      </c>
      <c r="I43" s="4" t="s">
        <v>477</v>
      </c>
      <c r="J43" s="5" t="s">
        <v>443</v>
      </c>
      <c r="K43" s="5" t="s">
        <v>485</v>
      </c>
      <c r="L43" s="2" t="str">
        <f t="shared" si="0"/>
        <v>1948-02-26</v>
      </c>
      <c r="M43" s="2" t="str">
        <f t="shared" si="1"/>
        <v>INSERT INTO `workers` ( `tabn`,`fio`, `f`, `i`, `o`, `dolz`, `dr`) VALUES ('000000269 ','Макаров Борис Константинович (совм.)','Макаров','Борис','Константинович','менеджер по качеству','1948-02-26');</v>
      </c>
      <c r="N43" s="2" t="s">
        <v>551</v>
      </c>
    </row>
    <row r="44" spans="1:14" x14ac:dyDescent="0.25">
      <c r="A44" s="1" t="s">
        <v>155</v>
      </c>
      <c r="B44" s="4" t="s">
        <v>378</v>
      </c>
      <c r="C44" s="4" t="s">
        <v>288</v>
      </c>
      <c r="D44" s="4" t="s">
        <v>379</v>
      </c>
      <c r="E44" s="4" t="s">
        <v>275</v>
      </c>
      <c r="F44" s="1" t="s">
        <v>156</v>
      </c>
      <c r="G44" s="1" t="s">
        <v>157</v>
      </c>
      <c r="H44" s="1" t="s">
        <v>158</v>
      </c>
      <c r="I44" s="4" t="s">
        <v>440</v>
      </c>
      <c r="J44" s="5" t="s">
        <v>465</v>
      </c>
      <c r="K44" s="5" t="s">
        <v>493</v>
      </c>
      <c r="L44" s="2" t="str">
        <f t="shared" si="0"/>
        <v>1976-04-13</v>
      </c>
      <c r="M44" s="2" t="str">
        <f t="shared" si="1"/>
        <v>INSERT INTO `workers` ( `tabn`,`fio`, `f`, `i`, `o`, `dolz`, `dr`) VALUES ('000000322 ','Макарова Татьяна Леонидовна  (совм.)','Макарова','Татьяна','Леонидовна','Заместитель начальника производства','1976-04-13');</v>
      </c>
      <c r="N44" s="2" t="s">
        <v>552</v>
      </c>
    </row>
    <row r="45" spans="1:14" x14ac:dyDescent="0.25">
      <c r="A45" s="1" t="s">
        <v>159</v>
      </c>
      <c r="B45" s="4" t="s">
        <v>380</v>
      </c>
      <c r="C45" s="4" t="s">
        <v>346</v>
      </c>
      <c r="D45" s="4" t="s">
        <v>332</v>
      </c>
      <c r="E45" s="1"/>
      <c r="F45" s="1" t="s">
        <v>160</v>
      </c>
      <c r="G45" s="1" t="s">
        <v>161</v>
      </c>
      <c r="H45" s="1" t="s">
        <v>162</v>
      </c>
      <c r="I45" s="4" t="s">
        <v>453</v>
      </c>
      <c r="J45" s="5" t="s">
        <v>461</v>
      </c>
      <c r="K45" s="5" t="s">
        <v>494</v>
      </c>
      <c r="L45" s="2" t="str">
        <f t="shared" si="0"/>
        <v>1985-11-27</v>
      </c>
      <c r="M45" s="2" t="str">
        <f t="shared" si="1"/>
        <v>INSERT INTO `workers` ( `tabn`,`fio`, `f`, `i`, `o`, `dolz`, `dr`) VALUES ('000000386 ','Макина Юлия Сергеевна','Макина','Юлия','Сергеевна','контролер ОТК 3раз.','1985-11-27');</v>
      </c>
      <c r="N45" s="2" t="s">
        <v>553</v>
      </c>
    </row>
    <row r="46" spans="1:14" x14ac:dyDescent="0.25">
      <c r="A46" s="1" t="s">
        <v>163</v>
      </c>
      <c r="B46" s="4" t="s">
        <v>381</v>
      </c>
      <c r="C46" s="4" t="s">
        <v>369</v>
      </c>
      <c r="D46" s="4" t="s">
        <v>314</v>
      </c>
      <c r="E46" s="4" t="s">
        <v>275</v>
      </c>
      <c r="F46" s="1" t="s">
        <v>164</v>
      </c>
      <c r="G46" s="1" t="s">
        <v>165</v>
      </c>
      <c r="H46" s="1" t="s">
        <v>166</v>
      </c>
      <c r="I46" s="4" t="s">
        <v>479</v>
      </c>
      <c r="J46" s="5" t="s">
        <v>446</v>
      </c>
      <c r="K46" s="5" t="s">
        <v>490</v>
      </c>
      <c r="L46" s="2" t="str">
        <f t="shared" si="0"/>
        <v>1956-03-16</v>
      </c>
      <c r="M46" s="2" t="str">
        <f t="shared" si="1"/>
        <v>INSERT INTO `workers` ( `tabn`,`fio`, `f`, `i`, `o`, `dolz`, `dr`) VALUES ('000000303 ','Марченко Владимир Викторович (совм.)','Марченко','Владимир','Викторович','Менеджер по персоналу','1956-03-16');</v>
      </c>
      <c r="N46" s="2" t="s">
        <v>554</v>
      </c>
    </row>
    <row r="47" spans="1:14" x14ac:dyDescent="0.25">
      <c r="A47" s="1" t="s">
        <v>167</v>
      </c>
      <c r="B47" s="4" t="s">
        <v>382</v>
      </c>
      <c r="C47" s="4" t="s">
        <v>349</v>
      </c>
      <c r="D47" s="4" t="s">
        <v>311</v>
      </c>
      <c r="E47" s="1"/>
      <c r="F47" s="1" t="s">
        <v>168</v>
      </c>
      <c r="G47" s="1" t="s">
        <v>6</v>
      </c>
      <c r="H47" s="1" t="s">
        <v>169</v>
      </c>
      <c r="I47" s="4" t="s">
        <v>467</v>
      </c>
      <c r="J47" s="5" t="s">
        <v>438</v>
      </c>
      <c r="K47" s="5" t="s">
        <v>472</v>
      </c>
      <c r="L47" s="2" t="str">
        <f t="shared" si="0"/>
        <v>1968-08-10</v>
      </c>
      <c r="M47" s="2" t="str">
        <f t="shared" si="1"/>
        <v>INSERT INTO `workers` ( `tabn`,`fio`, `f`, `i`, `o`, `dolz`, `dr`) VALUES ('000000467 ','Мракова Любовь Васильевна','Мракова','Любовь','Васильевна','Изготовитель трафаретов шкал и плат 2р','1968-08-10');</v>
      </c>
      <c r="N47" s="2" t="s">
        <v>555</v>
      </c>
    </row>
    <row r="48" spans="1:14" x14ac:dyDescent="0.25">
      <c r="A48" s="1" t="s">
        <v>170</v>
      </c>
      <c r="B48" s="4" t="s">
        <v>383</v>
      </c>
      <c r="C48" s="4" t="s">
        <v>313</v>
      </c>
      <c r="D48" s="4" t="s">
        <v>384</v>
      </c>
      <c r="E48" s="4" t="s">
        <v>275</v>
      </c>
      <c r="F48" s="3">
        <v>1</v>
      </c>
      <c r="G48" s="1" t="s">
        <v>171</v>
      </c>
      <c r="H48" s="1" t="s">
        <v>172</v>
      </c>
      <c r="I48" s="4" t="s">
        <v>457</v>
      </c>
      <c r="J48" s="5" t="s">
        <v>467</v>
      </c>
      <c r="K48" s="5" t="s">
        <v>495</v>
      </c>
      <c r="L48" s="2" t="str">
        <f t="shared" si="0"/>
        <v>1946-10-07</v>
      </c>
      <c r="M48" s="2" t="str">
        <f t="shared" si="1"/>
        <v>INSERT INTO `workers` ( `tabn`,`fio`, `f`, `i`, `o`, `dolz`, `dr`) VALUES ('1','Николайчук Иван Иванович (совм.)','Николайчук','Иван','Иванович','Генеральный директор','1946-10-07');</v>
      </c>
      <c r="N48" s="2" t="s">
        <v>556</v>
      </c>
    </row>
    <row r="49" spans="1:14" x14ac:dyDescent="0.25">
      <c r="A49" s="1" t="s">
        <v>173</v>
      </c>
      <c r="B49" s="4" t="s">
        <v>385</v>
      </c>
      <c r="C49" s="4" t="s">
        <v>386</v>
      </c>
      <c r="D49" s="4" t="s">
        <v>387</v>
      </c>
      <c r="E49" s="1"/>
      <c r="F49" s="1" t="s">
        <v>174</v>
      </c>
      <c r="G49" s="1" t="s">
        <v>17</v>
      </c>
      <c r="H49" s="1" t="s">
        <v>175</v>
      </c>
      <c r="I49" s="4" t="s">
        <v>496</v>
      </c>
      <c r="J49" s="5" t="s">
        <v>446</v>
      </c>
      <c r="K49" s="5" t="s">
        <v>489</v>
      </c>
      <c r="L49" s="2" t="str">
        <f t="shared" si="0"/>
        <v>1967-03-19</v>
      </c>
      <c r="M49" s="2" t="str">
        <f t="shared" si="1"/>
        <v>INSERT INTO `workers` ( `tabn`,`fio`, `f`, `i`, `o`, `dolz`, `dr`) VALUES ('000000451 ','Осипова Наталья Михайловна','Осипова','Наталья','Михайловна','Изготовитель трафаретов шкал и плат 3р','1967-03-19');</v>
      </c>
      <c r="N49" s="2" t="s">
        <v>557</v>
      </c>
    </row>
    <row r="50" spans="1:14" x14ac:dyDescent="0.25">
      <c r="A50" s="1" t="s">
        <v>176</v>
      </c>
      <c r="B50" s="4" t="s">
        <v>388</v>
      </c>
      <c r="C50" s="4" t="s">
        <v>389</v>
      </c>
      <c r="D50" s="4" t="s">
        <v>390</v>
      </c>
      <c r="E50" s="1"/>
      <c r="F50" s="1" t="s">
        <v>78</v>
      </c>
      <c r="G50" s="1" t="s">
        <v>17</v>
      </c>
      <c r="H50" s="1" t="s">
        <v>177</v>
      </c>
      <c r="I50" s="4" t="s">
        <v>440</v>
      </c>
      <c r="J50" s="5" t="s">
        <v>438</v>
      </c>
      <c r="K50" s="5" t="s">
        <v>497</v>
      </c>
      <c r="L50" s="2" t="str">
        <f t="shared" si="0"/>
        <v>1966-08-13</v>
      </c>
      <c r="M50" s="2" t="str">
        <f t="shared" si="1"/>
        <v>INSERT INTO `workers` ( `tabn`,`fio`, `f`, `i`, `o`, `dolz`, `dr`) VALUES ('000000438 ','Осоченко Евгения Юрьевна','Осоченко','Евгения','Юрьевна','Изготовитель трафаретов шкал и плат 3р','1966-08-13');</v>
      </c>
      <c r="N50" s="2" t="s">
        <v>558</v>
      </c>
    </row>
    <row r="51" spans="1:14" x14ac:dyDescent="0.25">
      <c r="A51" s="1" t="s">
        <v>178</v>
      </c>
      <c r="B51" s="4" t="s">
        <v>391</v>
      </c>
      <c r="C51" s="4" t="s">
        <v>304</v>
      </c>
      <c r="D51" s="4" t="s">
        <v>392</v>
      </c>
      <c r="E51" s="1"/>
      <c r="F51" s="1" t="s">
        <v>179</v>
      </c>
      <c r="G51" s="1" t="s">
        <v>17</v>
      </c>
      <c r="H51" s="1" t="s">
        <v>180</v>
      </c>
      <c r="I51" s="4" t="s">
        <v>457</v>
      </c>
      <c r="J51" s="5" t="s">
        <v>465</v>
      </c>
      <c r="K51" s="5" t="s">
        <v>497</v>
      </c>
      <c r="L51" s="2" t="str">
        <f t="shared" si="0"/>
        <v>1966-04-07</v>
      </c>
      <c r="M51" s="2" t="str">
        <f t="shared" si="1"/>
        <v>INSERT INTO `workers` ( `tabn`,`fio`, `f`, `i`, `o`, `dolz`, `dr`) VALUES ('000000490 ','Палотай Ирина Ильинична','Палотай','Ирина','Ильинична','Изготовитель трафаретов шкал и плат 3р','1966-04-07');</v>
      </c>
      <c r="N51" s="2" t="s">
        <v>559</v>
      </c>
    </row>
    <row r="52" spans="1:14" x14ac:dyDescent="0.25">
      <c r="A52" s="1" t="s">
        <v>181</v>
      </c>
      <c r="B52" s="4" t="s">
        <v>393</v>
      </c>
      <c r="C52" s="4" t="s">
        <v>369</v>
      </c>
      <c r="D52" s="4" t="s">
        <v>394</v>
      </c>
      <c r="E52" s="1"/>
      <c r="F52" s="1" t="s">
        <v>182</v>
      </c>
      <c r="G52" s="1" t="s">
        <v>183</v>
      </c>
      <c r="H52" s="1" t="s">
        <v>184</v>
      </c>
      <c r="I52" s="4" t="s">
        <v>498</v>
      </c>
      <c r="J52" s="5" t="s">
        <v>455</v>
      </c>
      <c r="K52" s="5" t="s">
        <v>499</v>
      </c>
      <c r="L52" s="2" t="str">
        <f t="shared" si="0"/>
        <v>1965-12-20</v>
      </c>
      <c r="M52" s="2" t="str">
        <f t="shared" si="1"/>
        <v>INSERT INTO `workers` ( `tabn`,`fio`, `f`, `i`, `o`, `dolz`, `dr`) VALUES ('000000171 ','Полушкин Владимир Юрьевич','Полушкин','Владимир','Юрьевич','фотограф 5 разряда','1965-12-20');</v>
      </c>
      <c r="N52" s="2" t="s">
        <v>560</v>
      </c>
    </row>
    <row r="53" spans="1:14" x14ac:dyDescent="0.25">
      <c r="A53" s="1" t="s">
        <v>185</v>
      </c>
      <c r="B53" s="4" t="s">
        <v>395</v>
      </c>
      <c r="C53" s="4" t="s">
        <v>396</v>
      </c>
      <c r="D53" s="4" t="s">
        <v>397</v>
      </c>
      <c r="E53" s="1"/>
      <c r="F53" s="1" t="s">
        <v>186</v>
      </c>
      <c r="G53" s="1" t="s">
        <v>187</v>
      </c>
      <c r="H53" s="1" t="s">
        <v>188</v>
      </c>
      <c r="I53" s="4" t="s">
        <v>457</v>
      </c>
      <c r="J53" s="5" t="s">
        <v>457</v>
      </c>
      <c r="K53" s="5" t="s">
        <v>489</v>
      </c>
      <c r="L53" s="2" t="str">
        <f t="shared" si="0"/>
        <v>1967-07-07</v>
      </c>
      <c r="M53" s="2" t="str">
        <f t="shared" si="1"/>
        <v>INSERT INTO `workers` ( `tabn`,`fio`, `f`, `i`, `o`, `dolz`, `dr`) VALUES ('000000374 ','Попов Сергей Олегович','Попов','Сергей','Олегович','слесарь механосборочных работ 5р','1967-07-07');</v>
      </c>
      <c r="N53" s="2" t="s">
        <v>561</v>
      </c>
    </row>
    <row r="54" spans="1:14" x14ac:dyDescent="0.25">
      <c r="A54" s="1" t="s">
        <v>189</v>
      </c>
      <c r="B54" s="4" t="s">
        <v>398</v>
      </c>
      <c r="C54" s="4" t="s">
        <v>399</v>
      </c>
      <c r="D54" s="4" t="s">
        <v>278</v>
      </c>
      <c r="E54" s="1"/>
      <c r="F54" s="3">
        <v>57</v>
      </c>
      <c r="G54" s="1" t="s">
        <v>190</v>
      </c>
      <c r="H54" s="1" t="s">
        <v>191</v>
      </c>
      <c r="I54" s="4" t="s">
        <v>500</v>
      </c>
      <c r="J54" s="5" t="s">
        <v>451</v>
      </c>
      <c r="K54" s="5" t="s">
        <v>501</v>
      </c>
      <c r="L54" s="2" t="str">
        <f t="shared" si="0"/>
        <v>1964-06-14</v>
      </c>
      <c r="M54" s="2" t="str">
        <f t="shared" si="1"/>
        <v>INSERT INTO `workers` ( `tabn`,`fio`, `f`, `i`, `o`, `dolz`, `dr`) VALUES ('57','Попова Римма Владимировна','Попова','Римма','Владимировна','Главный бухгалтер','1964-06-14');</v>
      </c>
      <c r="N54" s="2" t="s">
        <v>562</v>
      </c>
    </row>
    <row r="55" spans="1:14" x14ac:dyDescent="0.25">
      <c r="A55" s="1" t="s">
        <v>192</v>
      </c>
      <c r="B55" s="4" t="s">
        <v>400</v>
      </c>
      <c r="C55" s="4" t="s">
        <v>321</v>
      </c>
      <c r="D55" s="4" t="s">
        <v>278</v>
      </c>
      <c r="E55" s="4" t="s">
        <v>275</v>
      </c>
      <c r="F55" s="1" t="s">
        <v>193</v>
      </c>
      <c r="G55" s="1" t="s">
        <v>6</v>
      </c>
      <c r="H55" s="1" t="s">
        <v>194</v>
      </c>
      <c r="I55" s="4" t="s">
        <v>437</v>
      </c>
      <c r="J55" s="5" t="s">
        <v>450</v>
      </c>
      <c r="K55" s="5" t="s">
        <v>502</v>
      </c>
      <c r="L55" s="2" t="str">
        <f t="shared" si="0"/>
        <v>1961-05-23</v>
      </c>
      <c r="M55" s="2" t="str">
        <f t="shared" si="1"/>
        <v>INSERT INTO `workers` ( `tabn`,`fio`, `f`, `i`, `o`, `dolz`, `dr`) VALUES ('000000406 ','Прокофьева Светлана Владимировна  (совм.)','Прокофьева','Светлана','Владимировна','Изготовитель трафаретов шкал и плат 2р','1961-05-23');</v>
      </c>
      <c r="N55" s="2" t="s">
        <v>563</v>
      </c>
    </row>
    <row r="56" spans="1:14" x14ac:dyDescent="0.25">
      <c r="A56" s="1" t="s">
        <v>195</v>
      </c>
      <c r="B56" s="4" t="s">
        <v>401</v>
      </c>
      <c r="C56" s="4" t="s">
        <v>361</v>
      </c>
      <c r="D56" s="4" t="s">
        <v>402</v>
      </c>
      <c r="E56" s="4" t="s">
        <v>275</v>
      </c>
      <c r="F56" s="1" t="s">
        <v>196</v>
      </c>
      <c r="G56" s="1" t="s">
        <v>197</v>
      </c>
      <c r="H56" s="1" t="s">
        <v>198</v>
      </c>
      <c r="I56" s="4" t="s">
        <v>500</v>
      </c>
      <c r="J56" s="5" t="s">
        <v>446</v>
      </c>
      <c r="K56" s="5" t="s">
        <v>502</v>
      </c>
      <c r="L56" s="2" t="str">
        <f t="shared" si="0"/>
        <v>1961-03-14</v>
      </c>
      <c r="M56" s="2" t="str">
        <f t="shared" si="1"/>
        <v>INSERT INTO `workers` ( `tabn`,`fio`, `f`, `i`, `o`, `dolz`, `dr`) VALUES ('000000304 ','Ржанова Марина Викторовна  (совм.)','Ржанова','Марина','Викторовна','Делопроизводитель','1961-03-14');</v>
      </c>
      <c r="N56" s="2" t="s">
        <v>564</v>
      </c>
    </row>
    <row r="57" spans="1:14" x14ac:dyDescent="0.25">
      <c r="A57" s="1" t="s">
        <v>199</v>
      </c>
      <c r="B57" s="4" t="s">
        <v>403</v>
      </c>
      <c r="C57" s="4" t="s">
        <v>404</v>
      </c>
      <c r="D57" s="4" t="s">
        <v>322</v>
      </c>
      <c r="E57" s="4" t="s">
        <v>275</v>
      </c>
      <c r="F57" s="1" t="s">
        <v>200</v>
      </c>
      <c r="G57" s="1" t="s">
        <v>201</v>
      </c>
      <c r="H57" s="1" t="s">
        <v>202</v>
      </c>
      <c r="I57" s="4" t="s">
        <v>456</v>
      </c>
      <c r="J57" s="5" t="s">
        <v>446</v>
      </c>
      <c r="K57" s="5" t="s">
        <v>474</v>
      </c>
      <c r="L57" s="2" t="str">
        <f t="shared" si="0"/>
        <v>1955-03-28</v>
      </c>
      <c r="M57" s="2" t="str">
        <f t="shared" si="1"/>
        <v>INSERT INTO `workers` ( `tabn`,`fio`, `f`, `i`, `o`, `dolz`, `dr`) VALUES ('000000252 ','Романова Валентина Анатольевна  (совм.)','Романова','Валентина','Анатольевна','Кладовщик','1955-03-28');</v>
      </c>
      <c r="N57" s="2" t="s">
        <v>565</v>
      </c>
    </row>
    <row r="58" spans="1:14" x14ac:dyDescent="0.25">
      <c r="A58" s="1" t="s">
        <v>203</v>
      </c>
      <c r="B58" s="4" t="s">
        <v>405</v>
      </c>
      <c r="C58" s="4" t="s">
        <v>273</v>
      </c>
      <c r="D58" s="4" t="s">
        <v>406</v>
      </c>
      <c r="E58" s="1"/>
      <c r="F58" s="1" t="s">
        <v>204</v>
      </c>
      <c r="G58" s="1" t="s">
        <v>205</v>
      </c>
      <c r="H58" s="1" t="s">
        <v>206</v>
      </c>
      <c r="I58" s="4" t="s">
        <v>467</v>
      </c>
      <c r="J58" s="5" t="s">
        <v>450</v>
      </c>
      <c r="K58" s="5" t="s">
        <v>503</v>
      </c>
      <c r="L58" s="2" t="str">
        <f t="shared" si="0"/>
        <v>1951-05-10</v>
      </c>
      <c r="M58" s="2" t="str">
        <f t="shared" si="1"/>
        <v>INSERT INTO `workers` ( `tabn`,`fio`, `f`, `i`, `o`, `dolz`, `dr`) VALUES ('000000368 ','Рытова Ольга Алексеевна','Рытова','Ольга','Алексеевна','Инженер-конструктор 1 категории','1951-05-10');</v>
      </c>
      <c r="N58" s="2" t="s">
        <v>566</v>
      </c>
    </row>
    <row r="59" spans="1:14" x14ac:dyDescent="0.25">
      <c r="A59" s="1" t="s">
        <v>207</v>
      </c>
      <c r="B59" s="4" t="s">
        <v>407</v>
      </c>
      <c r="C59" s="4" t="s">
        <v>408</v>
      </c>
      <c r="D59" s="4" t="s">
        <v>347</v>
      </c>
      <c r="E59" s="1"/>
      <c r="F59" s="1" t="s">
        <v>208</v>
      </c>
      <c r="G59" s="1" t="s">
        <v>17</v>
      </c>
      <c r="H59" s="1" t="s">
        <v>209</v>
      </c>
      <c r="I59" s="4" t="s">
        <v>450</v>
      </c>
      <c r="J59" s="5" t="s">
        <v>457</v>
      </c>
      <c r="K59" s="5" t="s">
        <v>469</v>
      </c>
      <c r="L59" s="2" t="str">
        <f t="shared" si="0"/>
        <v>1987-07-05</v>
      </c>
      <c r="M59" s="2" t="str">
        <f t="shared" si="1"/>
        <v>INSERT INTO `workers` ( `tabn`,`fio`, `f`, `i`, `o`, `dolz`, `dr`) VALUES ('000000491 ','Самойлова Алена Валерьевна','Самойлова','Алена','Валерьевна','Изготовитель трафаретов шкал и плат 3р','1987-07-05');</v>
      </c>
      <c r="N59" s="2" t="s">
        <v>567</v>
      </c>
    </row>
    <row r="60" spans="1:14" x14ac:dyDescent="0.25">
      <c r="A60" s="1" t="s">
        <v>210</v>
      </c>
      <c r="B60" s="4" t="s">
        <v>409</v>
      </c>
      <c r="C60" s="4" t="s">
        <v>410</v>
      </c>
      <c r="D60" s="4" t="s">
        <v>397</v>
      </c>
      <c r="E60" s="1"/>
      <c r="F60" s="1" t="s">
        <v>211</v>
      </c>
      <c r="G60" s="1" t="s">
        <v>212</v>
      </c>
      <c r="H60" s="1" t="s">
        <v>213</v>
      </c>
      <c r="I60" s="4" t="s">
        <v>453</v>
      </c>
      <c r="J60" s="5" t="s">
        <v>441</v>
      </c>
      <c r="K60" s="5" t="s">
        <v>493</v>
      </c>
      <c r="L60" s="2" t="str">
        <f t="shared" si="0"/>
        <v>1976-09-27</v>
      </c>
      <c r="M60" s="2" t="str">
        <f t="shared" si="1"/>
        <v>INSERT INTO `workers` ( `tabn`,`fio`, `f`, `i`, `o`, `dolz`, `dr`) VALUES ('000000413 ','Семенихин Алексей Олегович','Семенихин','Алексей','Олегович','слесарь-ремонтник 4 р.','1976-09-27');</v>
      </c>
      <c r="N60" s="2" t="s">
        <v>568</v>
      </c>
    </row>
    <row r="61" spans="1:14" x14ac:dyDescent="0.25">
      <c r="A61" s="1" t="s">
        <v>214</v>
      </c>
      <c r="B61" s="4" t="s">
        <v>409</v>
      </c>
      <c r="C61" s="4" t="s">
        <v>308</v>
      </c>
      <c r="D61" s="4" t="s">
        <v>397</v>
      </c>
      <c r="E61" s="1"/>
      <c r="F61" s="1" t="s">
        <v>215</v>
      </c>
      <c r="G61" s="1" t="s">
        <v>212</v>
      </c>
      <c r="H61" s="1" t="s">
        <v>216</v>
      </c>
      <c r="I61" s="4" t="s">
        <v>479</v>
      </c>
      <c r="J61" s="5" t="s">
        <v>446</v>
      </c>
      <c r="K61" s="5" t="s">
        <v>469</v>
      </c>
      <c r="L61" s="2" t="str">
        <f t="shared" si="0"/>
        <v>1987-03-16</v>
      </c>
      <c r="M61" s="2" t="str">
        <f t="shared" si="1"/>
        <v>INSERT INTO `workers` ( `tabn`,`fio`, `f`, `i`, `o`, `dolz`, `dr`) VALUES ('000000485 ','Семенихин Антон Олегович','Семенихин','Антон','Олегович','слесарь-ремонтник 4 р.','1987-03-16');</v>
      </c>
      <c r="N61" s="2" t="s">
        <v>569</v>
      </c>
    </row>
    <row r="62" spans="1:14" x14ac:dyDescent="0.25">
      <c r="A62" s="1" t="s">
        <v>217</v>
      </c>
      <c r="B62" s="4" t="s">
        <v>411</v>
      </c>
      <c r="C62" s="4" t="s">
        <v>334</v>
      </c>
      <c r="D62" s="4" t="s">
        <v>406</v>
      </c>
      <c r="E62" s="1"/>
      <c r="F62" s="1" t="s">
        <v>218</v>
      </c>
      <c r="G62" s="1" t="s">
        <v>17</v>
      </c>
      <c r="H62" s="1" t="s">
        <v>219</v>
      </c>
      <c r="I62" s="4" t="s">
        <v>487</v>
      </c>
      <c r="J62" s="5" t="s">
        <v>450</v>
      </c>
      <c r="K62" s="5" t="s">
        <v>470</v>
      </c>
      <c r="L62" s="2" t="str">
        <f t="shared" si="0"/>
        <v>1960-05-22</v>
      </c>
      <c r="M62" s="2" t="str">
        <f t="shared" si="1"/>
        <v>INSERT INTO `workers` ( `tabn`,`fio`, `f`, `i`, `o`, `dolz`, `dr`) VALUES ('000000398 ','Сисина Людмила Алексеевна','Сисина','Людмила','Алексеевна','Изготовитель трафаретов шкал и плат 3р','1960-05-22');</v>
      </c>
      <c r="N62" s="2" t="s">
        <v>570</v>
      </c>
    </row>
    <row r="63" spans="1:14" x14ac:dyDescent="0.25">
      <c r="A63" s="1" t="s">
        <v>220</v>
      </c>
      <c r="B63" s="4" t="s">
        <v>412</v>
      </c>
      <c r="C63" s="4" t="s">
        <v>413</v>
      </c>
      <c r="D63" s="4" t="s">
        <v>364</v>
      </c>
      <c r="E63" s="1"/>
      <c r="F63" s="1" t="s">
        <v>221</v>
      </c>
      <c r="G63" s="1" t="s">
        <v>222</v>
      </c>
      <c r="H63" s="1" t="s">
        <v>223</v>
      </c>
      <c r="I63" s="4" t="s">
        <v>504</v>
      </c>
      <c r="J63" s="5" t="s">
        <v>451</v>
      </c>
      <c r="K63" s="5" t="s">
        <v>501</v>
      </c>
      <c r="L63" s="2" t="str">
        <f t="shared" si="0"/>
        <v>1964-06-21</v>
      </c>
      <c r="M63" s="2" t="str">
        <f t="shared" si="1"/>
        <v>INSERT INTO `workers` ( `tabn`,`fio`, `f`, `i`, `o`, `dolz`, `dr`) VALUES ('000000008 ','Смирнов Виктор Анатольевич','Смирнов','Виктор','Анатольевич','Ведущий конструктор','1964-06-21');</v>
      </c>
      <c r="N63" s="2" t="s">
        <v>571</v>
      </c>
    </row>
    <row r="64" spans="1:14" x14ac:dyDescent="0.25">
      <c r="A64" s="1" t="s">
        <v>224</v>
      </c>
      <c r="B64" s="4" t="s">
        <v>414</v>
      </c>
      <c r="C64" s="4" t="s">
        <v>354</v>
      </c>
      <c r="D64" s="4" t="s">
        <v>402</v>
      </c>
      <c r="E64" s="1"/>
      <c r="F64" s="1" t="s">
        <v>225</v>
      </c>
      <c r="G64" s="1" t="s">
        <v>226</v>
      </c>
      <c r="H64" s="1" t="s">
        <v>227</v>
      </c>
      <c r="I64" s="4" t="s">
        <v>496</v>
      </c>
      <c r="J64" s="5" t="s">
        <v>465</v>
      </c>
      <c r="K64" s="5" t="s">
        <v>505</v>
      </c>
      <c r="L64" s="2" t="str">
        <f t="shared" si="0"/>
        <v>1997-04-19</v>
      </c>
      <c r="M64" s="2" t="str">
        <f t="shared" si="1"/>
        <v>INSERT INTO `workers` ( `tabn`,`fio`, `f`, `i`, `o`, `dolz`, `dr`) VALUES ('000000488 ','Смирнова Мария Викторовна','Смирнова','Мария','Викторовна','Оператор ЭВМ','1997-04-19');</v>
      </c>
      <c r="N64" s="2" t="s">
        <v>572</v>
      </c>
    </row>
    <row r="65" spans="1:14" x14ac:dyDescent="0.25">
      <c r="A65" s="1" t="s">
        <v>228</v>
      </c>
      <c r="B65" s="4" t="s">
        <v>415</v>
      </c>
      <c r="C65" s="4" t="s">
        <v>396</v>
      </c>
      <c r="D65" s="4" t="s">
        <v>364</v>
      </c>
      <c r="E65" s="4" t="s">
        <v>275</v>
      </c>
      <c r="F65" s="1" t="s">
        <v>229</v>
      </c>
      <c r="G65" s="1" t="s">
        <v>230</v>
      </c>
      <c r="H65" s="1" t="s">
        <v>231</v>
      </c>
      <c r="I65" s="4" t="s">
        <v>446</v>
      </c>
      <c r="J65" s="5" t="s">
        <v>450</v>
      </c>
      <c r="K65" s="5" t="s">
        <v>492</v>
      </c>
      <c r="L65" s="2" t="str">
        <f t="shared" si="0"/>
        <v>1957-05-03</v>
      </c>
      <c r="M65" s="2" t="str">
        <f t="shared" si="1"/>
        <v>INSERT INTO `workers` ( `tabn`,`fio`, `f`, `i`, `o`, `dolz`, `dr`) VALUES ('000000253 ','Соковнин Сергей Анатольевич  (совм.)','Соковнин','Сергей','Анатольевич','сверловщик 5 разр.','1957-05-03');</v>
      </c>
      <c r="N65" s="2" t="s">
        <v>573</v>
      </c>
    </row>
    <row r="66" spans="1:14" x14ac:dyDescent="0.25">
      <c r="A66" s="1" t="s">
        <v>232</v>
      </c>
      <c r="B66" s="4" t="s">
        <v>416</v>
      </c>
      <c r="C66" s="4" t="s">
        <v>396</v>
      </c>
      <c r="D66" s="4" t="s">
        <v>295</v>
      </c>
      <c r="E66" s="4" t="s">
        <v>275</v>
      </c>
      <c r="F66" s="1" t="s">
        <v>233</v>
      </c>
      <c r="G66" s="1" t="s">
        <v>234</v>
      </c>
      <c r="H66" s="1" t="s">
        <v>235</v>
      </c>
      <c r="I66" s="4" t="s">
        <v>453</v>
      </c>
      <c r="J66" s="5" t="s">
        <v>461</v>
      </c>
      <c r="K66" s="5" t="s">
        <v>499</v>
      </c>
      <c r="L66" s="2" t="str">
        <f t="shared" ref="L66:L77" si="2">K66&amp;"-"&amp;TEXT(J66,"00")&amp;"-"&amp;TEXT(I66,"00")</f>
        <v>1965-11-27</v>
      </c>
      <c r="M66" s="2" t="str">
        <f t="shared" ref="M66:M77" si="3">"INSERT INTO `workers` ( `tabn`,`fio`, `f`, `i`, `o`, `dolz`, `dr`) VALUES ('"&amp;F66&amp;"','"&amp;A66&amp;"','"&amp;B66&amp;"','"&amp;C66&amp;"','"&amp;D66&amp;"','"&amp;G66&amp;"','"&amp;L66&amp;"');"</f>
        <v>INSERT INTO `workers` ( `tabn`,`fio`, `f`, `i`, `o`, `dolz`, `dr`) VALUES ('000000443 ','Соколов Сергей Борисович (совм.)','Соколов','Сергей','Борисович','наладчик технологического оборудования 6р','1965-11-27');</v>
      </c>
      <c r="N66" s="2" t="s">
        <v>574</v>
      </c>
    </row>
    <row r="67" spans="1:14" x14ac:dyDescent="0.25">
      <c r="A67" s="1" t="s">
        <v>236</v>
      </c>
      <c r="B67" s="4" t="s">
        <v>417</v>
      </c>
      <c r="C67" s="4" t="s">
        <v>404</v>
      </c>
      <c r="D67" s="4" t="s">
        <v>387</v>
      </c>
      <c r="E67" s="1"/>
      <c r="F67" s="1" t="s">
        <v>237</v>
      </c>
      <c r="G67" s="1" t="s">
        <v>238</v>
      </c>
      <c r="H67" s="1" t="s">
        <v>239</v>
      </c>
      <c r="I67" s="4" t="s">
        <v>444</v>
      </c>
      <c r="J67" s="5" t="s">
        <v>457</v>
      </c>
      <c r="K67" s="5" t="s">
        <v>491</v>
      </c>
      <c r="L67" s="2" t="str">
        <f t="shared" si="2"/>
        <v>1947-07-01</v>
      </c>
      <c r="M67" s="2" t="str">
        <f t="shared" si="3"/>
        <v>INSERT INTO `workers` ( `tabn`,`fio`, `f`, `i`, `o`, `dolz`, `dr`) VALUES ('000000012 ','Соколова Валентина Михайловна','Соколова','Валентина','Михайловна','Заместитель Генерального директора по качеству','1947-07-01');</v>
      </c>
      <c r="N67" s="2" t="s">
        <v>575</v>
      </c>
    </row>
    <row r="68" spans="1:14" x14ac:dyDescent="0.25">
      <c r="A68" s="1" t="s">
        <v>240</v>
      </c>
      <c r="B68" s="4" t="s">
        <v>418</v>
      </c>
      <c r="C68" s="4" t="s">
        <v>419</v>
      </c>
      <c r="D68" s="4" t="s">
        <v>347</v>
      </c>
      <c r="E68" s="1"/>
      <c r="F68" s="1" t="s">
        <v>241</v>
      </c>
      <c r="G68" s="1" t="s">
        <v>17</v>
      </c>
      <c r="H68" s="1" t="s">
        <v>242</v>
      </c>
      <c r="I68" s="4" t="s">
        <v>451</v>
      </c>
      <c r="J68" s="5" t="s">
        <v>438</v>
      </c>
      <c r="K68" s="5" t="s">
        <v>483</v>
      </c>
      <c r="L68" s="2" t="str">
        <f t="shared" si="2"/>
        <v>1970-08-06</v>
      </c>
      <c r="M68" s="2" t="str">
        <f t="shared" si="3"/>
        <v>INSERT INTO `workers` ( `tabn`,`fio`, `f`, `i`, `o`, `dolz`, `dr`) VALUES ('000000433 ','Сорокина Ярослава Валерьевна','Сорокина','Ярослава','Валерьевна','Изготовитель трафаретов шкал и плат 3р','1970-08-06');</v>
      </c>
      <c r="N68" s="2" t="s">
        <v>576</v>
      </c>
    </row>
    <row r="69" spans="1:14" x14ac:dyDescent="0.25">
      <c r="A69" s="1" t="s">
        <v>243</v>
      </c>
      <c r="B69" s="4" t="s">
        <v>420</v>
      </c>
      <c r="C69" s="4" t="s">
        <v>288</v>
      </c>
      <c r="D69" s="4" t="s">
        <v>317</v>
      </c>
      <c r="E69" s="4" t="s">
        <v>275</v>
      </c>
      <c r="F69" s="1" t="s">
        <v>244</v>
      </c>
      <c r="G69" s="1" t="s">
        <v>17</v>
      </c>
      <c r="H69" s="1" t="s">
        <v>245</v>
      </c>
      <c r="I69" s="4" t="s">
        <v>457</v>
      </c>
      <c r="J69" s="5" t="s">
        <v>444</v>
      </c>
      <c r="K69" s="5" t="s">
        <v>468</v>
      </c>
      <c r="L69" s="2" t="str">
        <f t="shared" si="2"/>
        <v>1952-01-07</v>
      </c>
      <c r="M69" s="2" t="str">
        <f t="shared" si="3"/>
        <v>INSERT INTO `workers` ( `tabn`,`fio`, `f`, `i`, `o`, `dolz`, `dr`) VALUES ('000000244 ','Табакова Татьяна Николаевна  (совм.)','Табакова','Татьяна','Николаевна','Изготовитель трафаретов шкал и плат 3р','1952-01-07');</v>
      </c>
      <c r="N69" s="2" t="s">
        <v>577</v>
      </c>
    </row>
    <row r="70" spans="1:14" x14ac:dyDescent="0.25">
      <c r="A70" s="1" t="s">
        <v>246</v>
      </c>
      <c r="B70" s="4" t="s">
        <v>421</v>
      </c>
      <c r="C70" s="4" t="s">
        <v>369</v>
      </c>
      <c r="D70" s="4" t="s">
        <v>422</v>
      </c>
      <c r="E70" s="1"/>
      <c r="F70" s="1" t="s">
        <v>247</v>
      </c>
      <c r="G70" s="1" t="s">
        <v>248</v>
      </c>
      <c r="H70" s="1" t="s">
        <v>249</v>
      </c>
      <c r="I70" s="4" t="s">
        <v>456</v>
      </c>
      <c r="J70" s="5" t="s">
        <v>441</v>
      </c>
      <c r="K70" s="5" t="s">
        <v>506</v>
      </c>
      <c r="L70" s="2" t="str">
        <f t="shared" si="2"/>
        <v>1950-09-28</v>
      </c>
      <c r="M70" s="2" t="str">
        <f t="shared" si="3"/>
        <v>INSERT INTO `workers` ( `tabn`,`fio`, `f`, `i`, `o`, `dolz`, `dr`) VALUES ('000000044 ','Тимофеев Владимир Вениаминович','Тимофеев','Владимир','Вениаминович','Слесарь-наладчик 6р.','1950-09-28');</v>
      </c>
      <c r="N70" s="2" t="s">
        <v>578</v>
      </c>
    </row>
    <row r="71" spans="1:14" x14ac:dyDescent="0.25">
      <c r="A71" s="1" t="s">
        <v>250</v>
      </c>
      <c r="B71" s="4" t="s">
        <v>423</v>
      </c>
      <c r="C71" s="4" t="s">
        <v>424</v>
      </c>
      <c r="D71" s="4" t="s">
        <v>322</v>
      </c>
      <c r="E71" s="4" t="s">
        <v>275</v>
      </c>
      <c r="F71" s="1" t="s">
        <v>251</v>
      </c>
      <c r="G71" s="1" t="s">
        <v>17</v>
      </c>
      <c r="H71" s="1" t="s">
        <v>252</v>
      </c>
      <c r="I71" s="4" t="s">
        <v>446</v>
      </c>
      <c r="J71" s="5" t="s">
        <v>446</v>
      </c>
      <c r="K71" s="5" t="s">
        <v>502</v>
      </c>
      <c r="L71" s="2" t="str">
        <f t="shared" si="2"/>
        <v>1961-03-03</v>
      </c>
      <c r="M71" s="2" t="str">
        <f t="shared" si="3"/>
        <v>INSERT INTO `workers` ( `tabn`,`fio`, `f`, `i`, `o`, `dolz`, `dr`) VALUES ('000000248 ','Трудолюбова Раиса Анатольевна  (совм.)','Трудолюбова','Раиса','Анатольевна','Изготовитель трафаретов шкал и плат 3р','1961-03-03');</v>
      </c>
      <c r="N71" s="2" t="s">
        <v>579</v>
      </c>
    </row>
    <row r="72" spans="1:14" x14ac:dyDescent="0.25">
      <c r="A72" s="1" t="s">
        <v>253</v>
      </c>
      <c r="B72" s="4" t="s">
        <v>425</v>
      </c>
      <c r="C72" s="4" t="s">
        <v>426</v>
      </c>
      <c r="D72" s="4" t="s">
        <v>402</v>
      </c>
      <c r="E72" s="1"/>
      <c r="F72" s="1" t="s">
        <v>254</v>
      </c>
      <c r="G72" s="1" t="s">
        <v>255</v>
      </c>
      <c r="H72" s="1" t="s">
        <v>256</v>
      </c>
      <c r="I72" s="4" t="s">
        <v>475</v>
      </c>
      <c r="J72" s="5" t="s">
        <v>450</v>
      </c>
      <c r="K72" s="5" t="s">
        <v>497</v>
      </c>
      <c r="L72" s="2" t="str">
        <f t="shared" si="2"/>
        <v>1966-05-17</v>
      </c>
      <c r="M72" s="2" t="str">
        <f t="shared" si="3"/>
        <v>INSERT INTO `workers` ( `tabn`,`fio`, `f`, `i`, `o`, `dolz`, `dr`) VALUES ('000000136 ','Угдыжекова Илона Викторовна','Угдыжекова','Илона','Викторовна','инженер-технолог-аналитик 1категории','1966-05-17');</v>
      </c>
      <c r="N72" s="2" t="s">
        <v>580</v>
      </c>
    </row>
    <row r="73" spans="1:14" x14ac:dyDescent="0.25">
      <c r="A73" s="1" t="s">
        <v>257</v>
      </c>
      <c r="B73" s="4" t="s">
        <v>427</v>
      </c>
      <c r="C73" s="4" t="s">
        <v>428</v>
      </c>
      <c r="D73" s="4" t="s">
        <v>394</v>
      </c>
      <c r="E73" s="1"/>
      <c r="F73" s="1" t="s">
        <v>258</v>
      </c>
      <c r="G73" s="1" t="s">
        <v>72</v>
      </c>
      <c r="H73" s="1" t="s">
        <v>259</v>
      </c>
      <c r="I73" s="4" t="s">
        <v>500</v>
      </c>
      <c r="J73" s="5" t="s">
        <v>438</v>
      </c>
      <c r="K73" s="5" t="s">
        <v>507</v>
      </c>
      <c r="L73" s="2" t="str">
        <f t="shared" si="2"/>
        <v>1974-08-14</v>
      </c>
      <c r="M73" s="2" t="str">
        <f t="shared" si="3"/>
        <v>INSERT INTO `workers` ( `tabn`,`fio`, `f`, `i`, `o`, `dolz`, `dr`) VALUES ('000000231 ','Федоров Игорь Юрьевич','Федоров','Игорь','Юрьевич','инженер-программист','1974-08-14');</v>
      </c>
      <c r="N73" s="2" t="s">
        <v>581</v>
      </c>
    </row>
    <row r="74" spans="1:14" x14ac:dyDescent="0.25">
      <c r="A74" s="1" t="s">
        <v>260</v>
      </c>
      <c r="B74" s="4" t="s">
        <v>429</v>
      </c>
      <c r="C74" s="4" t="s">
        <v>306</v>
      </c>
      <c r="D74" s="4" t="s">
        <v>311</v>
      </c>
      <c r="E74" s="1"/>
      <c r="F74" s="1" t="s">
        <v>261</v>
      </c>
      <c r="G74" s="1" t="s">
        <v>111</v>
      </c>
      <c r="H74" s="1" t="s">
        <v>262</v>
      </c>
      <c r="I74" s="4" t="s">
        <v>479</v>
      </c>
      <c r="J74" s="5" t="s">
        <v>446</v>
      </c>
      <c r="K74" s="5" t="s">
        <v>508</v>
      </c>
      <c r="L74" s="2" t="str">
        <f t="shared" si="2"/>
        <v>1953-03-16</v>
      </c>
      <c r="M74" s="2" t="str">
        <f t="shared" si="3"/>
        <v>INSERT INTO `workers` ( `tabn`,`fio`, `f`, `i`, `o`, `dolz`, `dr`) VALUES ('000000390 ','Фисенко Тамара Васильевна','Фисенко','Тамара','Васильевна','Изготовитель трафаретов шкал и плат 4р','1953-03-16');</v>
      </c>
      <c r="N74" s="2" t="s">
        <v>582</v>
      </c>
    </row>
    <row r="75" spans="1:14" x14ac:dyDescent="0.25">
      <c r="A75" s="1" t="s">
        <v>263</v>
      </c>
      <c r="B75" s="4" t="s">
        <v>430</v>
      </c>
      <c r="C75" s="4" t="s">
        <v>431</v>
      </c>
      <c r="D75" s="4" t="s">
        <v>301</v>
      </c>
      <c r="E75" s="4" t="s">
        <v>275</v>
      </c>
      <c r="F75" s="1" t="s">
        <v>264</v>
      </c>
      <c r="G75" s="1" t="s">
        <v>17</v>
      </c>
      <c r="H75" s="1" t="s">
        <v>265</v>
      </c>
      <c r="I75" s="4" t="s">
        <v>475</v>
      </c>
      <c r="J75" s="5" t="s">
        <v>467</v>
      </c>
      <c r="K75" s="5" t="s">
        <v>502</v>
      </c>
      <c r="L75" s="2" t="str">
        <f t="shared" si="2"/>
        <v>1961-10-17</v>
      </c>
      <c r="M75" s="2" t="str">
        <f t="shared" si="3"/>
        <v>INSERT INTO `workers` ( `tabn`,`fio`, `f`, `i`, `o`, `dolz`, `dr`) VALUES ('000000403 ','Чумакова Елена Александровна  (совм.)','Чумакова','Елена','Александровна','Изготовитель трафаретов шкал и плат 3р','1961-10-17');</v>
      </c>
      <c r="N75" s="2" t="s">
        <v>583</v>
      </c>
    </row>
    <row r="76" spans="1:14" x14ac:dyDescent="0.25">
      <c r="A76" s="1" t="s">
        <v>266</v>
      </c>
      <c r="B76" s="4" t="s">
        <v>432</v>
      </c>
      <c r="C76" s="4" t="s">
        <v>433</v>
      </c>
      <c r="D76" s="4" t="s">
        <v>434</v>
      </c>
      <c r="E76" s="1"/>
      <c r="F76" s="1" t="s">
        <v>267</v>
      </c>
      <c r="G76" s="1" t="s">
        <v>17</v>
      </c>
      <c r="H76" s="1" t="s">
        <v>268</v>
      </c>
      <c r="I76" s="4" t="s">
        <v>448</v>
      </c>
      <c r="J76" s="5" t="s">
        <v>444</v>
      </c>
      <c r="K76" s="5" t="s">
        <v>501</v>
      </c>
      <c r="L76" s="2" t="str">
        <f t="shared" si="2"/>
        <v>1964-01-24</v>
      </c>
      <c r="M76" s="2" t="str">
        <f t="shared" si="3"/>
        <v>INSERT INTO `workers` ( `tabn`,`fio`, `f`, `i`, `o`, `dolz`, `dr`) VALUES ('000000372 ','Шевченко Алла Марковна','Шевченко','Алла','Марковна','Изготовитель трафаретов шкал и плат 3р','1964-01-24');</v>
      </c>
      <c r="N76" s="2" t="s">
        <v>584</v>
      </c>
    </row>
    <row r="77" spans="1:14" x14ac:dyDescent="0.25">
      <c r="A77" s="1" t="s">
        <v>269</v>
      </c>
      <c r="B77" s="4" t="s">
        <v>435</v>
      </c>
      <c r="C77" s="4" t="s">
        <v>334</v>
      </c>
      <c r="D77" s="4" t="s">
        <v>436</v>
      </c>
      <c r="E77" s="4" t="s">
        <v>275</v>
      </c>
      <c r="F77" s="1" t="s">
        <v>270</v>
      </c>
      <c r="G77" s="1" t="s">
        <v>53</v>
      </c>
      <c r="H77" s="1" t="s">
        <v>271</v>
      </c>
      <c r="I77" s="4" t="s">
        <v>451</v>
      </c>
      <c r="J77" s="5" t="s">
        <v>441</v>
      </c>
      <c r="K77" s="5" t="s">
        <v>482</v>
      </c>
      <c r="L77" s="2" t="str">
        <f t="shared" si="2"/>
        <v>1954-09-06</v>
      </c>
      <c r="M77" s="2" t="str">
        <f t="shared" si="3"/>
        <v>INSERT INTO `workers` ( `tabn`,`fio`, `f`, `i`, `o`, `dolz`, `dr`) VALUES ('000000297 ','Юрочкина Людмила Хаметовна  (совм.)','Юрочкина','Людмила','Хаметовна','техник-технолог','1954-09-06');</v>
      </c>
      <c r="N77" s="2" t="s">
        <v>585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ЗАО "Многослойные Печатные Платы"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dcterms:created xsi:type="dcterms:W3CDTF">2018-02-12T09:46:09Z</dcterms:created>
  <dcterms:modified xsi:type="dcterms:W3CDTF">2018-02-12T10:05:37Z</dcterms:modified>
</cp:coreProperties>
</file>